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gruijtadvies-my.sharepoint.com/personal/rik_gruijtadvies_nl/Documents/Documenten/02. Dartcoaching.nl/8. Producten/e-book/"/>
    </mc:Choice>
  </mc:AlternateContent>
  <xr:revisionPtr revIDLastSave="762" documentId="8_{A7A236A6-84BC-4664-98C0-F498D71FD43B}" xr6:coauthVersionLast="47" xr6:coauthVersionMax="47" xr10:uidLastSave="{89DBB8E4-50E1-41CA-83CD-8A3D08F871C4}"/>
  <bookViews>
    <workbookView xWindow="-105" yWindow="0" windowWidth="19410" windowHeight="20985" firstSheet="1" activeTab="7" xr2:uid="{EDAD0CF6-DB4B-4328-A3EE-832A11A16FB0}"/>
  </bookViews>
  <sheets>
    <sheet name="Inhoud" sheetId="9" r:id="rId1"/>
    <sheet name="Doelbepaling" sheetId="7" r:id="rId2"/>
    <sheet name="Dag 1" sheetId="8" r:id="rId3"/>
    <sheet name="Dag 2" sheetId="10" r:id="rId4"/>
    <sheet name="Dag 3" sheetId="11" r:id="rId5"/>
    <sheet name="Dag 4" sheetId="12" r:id="rId6"/>
    <sheet name="Score" sheetId="4" r:id="rId7"/>
    <sheet name="Grafiek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2" l="1"/>
  <c r="B19" i="12"/>
  <c r="B18" i="12"/>
  <c r="B17" i="12"/>
  <c r="B16" i="12"/>
  <c r="B15" i="12"/>
  <c r="B26" i="11"/>
  <c r="B25" i="11"/>
  <c r="B24" i="11"/>
  <c r="B23" i="11"/>
  <c r="B22" i="11"/>
  <c r="B21" i="11"/>
  <c r="M33" i="4"/>
  <c r="M20" i="4"/>
  <c r="B13" i="11"/>
  <c r="B28" i="10"/>
  <c r="M7" i="4"/>
  <c r="J3" i="5" s="1"/>
  <c r="B9" i="10"/>
  <c r="B18" i="8"/>
  <c r="B20" i="8"/>
  <c r="Y65" i="4"/>
  <c r="W65" i="4"/>
  <c r="U65" i="4"/>
  <c r="S65" i="4"/>
  <c r="Q65" i="4"/>
  <c r="AB60" i="4"/>
  <c r="AB57" i="4"/>
  <c r="AB56" i="4"/>
  <c r="AB55" i="4"/>
  <c r="AB58" i="4" s="1"/>
  <c r="AB59" i="4" s="1"/>
  <c r="Y52" i="4"/>
  <c r="W52" i="4"/>
  <c r="U52" i="4"/>
  <c r="S52" i="4"/>
  <c r="Q52" i="4"/>
  <c r="AB43" i="4" s="1"/>
  <c r="AB47" i="4"/>
  <c r="AB44" i="4"/>
  <c r="Y39" i="4"/>
  <c r="W39" i="4"/>
  <c r="U39" i="4"/>
  <c r="S39" i="4"/>
  <c r="Q39" i="4"/>
  <c r="AB30" i="4" s="1"/>
  <c r="AB34" i="4"/>
  <c r="AB31" i="4"/>
  <c r="Y25" i="4"/>
  <c r="W25" i="4"/>
  <c r="U25" i="4"/>
  <c r="S25" i="4"/>
  <c r="Q25" i="4"/>
  <c r="AB20" i="4"/>
  <c r="Y12" i="4"/>
  <c r="AB2" i="4" s="1"/>
  <c r="W12" i="4"/>
  <c r="U12" i="4"/>
  <c r="S12" i="4"/>
  <c r="Q12" i="4"/>
  <c r="AB7" i="4"/>
  <c r="J64" i="4"/>
  <c r="H64" i="4"/>
  <c r="F64" i="4"/>
  <c r="D64" i="4"/>
  <c r="B64" i="4"/>
  <c r="M56" i="4" s="1"/>
  <c r="M59" i="4"/>
  <c r="J51" i="4"/>
  <c r="H51" i="4"/>
  <c r="F51" i="4"/>
  <c r="D51" i="4"/>
  <c r="B51" i="4"/>
  <c r="M46" i="4"/>
  <c r="J38" i="4"/>
  <c r="H38" i="4"/>
  <c r="M30" i="4" s="1"/>
  <c r="F38" i="4"/>
  <c r="D38" i="4"/>
  <c r="B38" i="4"/>
  <c r="M29" i="4"/>
  <c r="J25" i="4"/>
  <c r="B15" i="10" s="1"/>
  <c r="H25" i="4"/>
  <c r="B14" i="10" s="1"/>
  <c r="F25" i="4"/>
  <c r="B13" i="10" s="1"/>
  <c r="D25" i="4"/>
  <c r="B12" i="10" s="1"/>
  <c r="B25" i="4"/>
  <c r="B11" i="10" s="1"/>
  <c r="J12" i="4"/>
  <c r="B24" i="8" s="1"/>
  <c r="H12" i="4"/>
  <c r="B23" i="8" s="1"/>
  <c r="F12" i="4"/>
  <c r="B22" i="8" s="1"/>
  <c r="D12" i="4"/>
  <c r="B21" i="8" s="1"/>
  <c r="B12" i="4"/>
  <c r="AB42" i="4" l="1"/>
  <c r="AB45" i="4" s="1"/>
  <c r="AB46" i="4" s="1"/>
  <c r="AB5" i="4"/>
  <c r="AB6" i="4" s="1"/>
  <c r="AB3" i="4"/>
  <c r="AB4" i="4"/>
  <c r="M43" i="4"/>
  <c r="M28" i="4"/>
  <c r="M31" i="4" s="1"/>
  <c r="M32" i="4" s="1"/>
  <c r="M2" i="4"/>
  <c r="AB17" i="4"/>
  <c r="AB16" i="4"/>
  <c r="AB29" i="4"/>
  <c r="AB32" i="4" s="1"/>
  <c r="AB33" i="4" s="1"/>
  <c r="AB15" i="4"/>
  <c r="AB18" i="4" s="1"/>
  <c r="AB19" i="4" s="1"/>
  <c r="M54" i="4"/>
  <c r="M55" i="4"/>
  <c r="M41" i="4"/>
  <c r="M42" i="4"/>
  <c r="M15" i="4"/>
  <c r="M17" i="4"/>
  <c r="M16" i="4"/>
  <c r="M4" i="4"/>
  <c r="L3" i="5" s="1"/>
  <c r="M3" i="4"/>
  <c r="M3" i="5" s="1"/>
  <c r="M57" i="4" l="1"/>
  <c r="M58" i="4" s="1"/>
  <c r="M44" i="4"/>
  <c r="M45" i="4" s="1"/>
  <c r="M18" i="4"/>
  <c r="M19" i="4" s="1"/>
  <c r="B16" i="10" s="1"/>
  <c r="M5" i="4"/>
  <c r="M6" i="4" s="1"/>
  <c r="K3" i="5" l="1"/>
  <c r="B25" i="8"/>
</calcChain>
</file>

<file path=xl/sharedStrings.xml><?xml version="1.0" encoding="utf-8"?>
<sst xmlns="http://schemas.openxmlformats.org/spreadsheetml/2006/main" count="290" uniqueCount="128">
  <si>
    <t>Datum</t>
  </si>
  <si>
    <t>Totaal</t>
  </si>
  <si>
    <t>Laagste</t>
  </si>
  <si>
    <t>Hoogste</t>
  </si>
  <si>
    <t>Subtotaal</t>
  </si>
  <si>
    <t>Gemiddelde</t>
  </si>
  <si>
    <t>Average</t>
  </si>
  <si>
    <r>
      <rPr>
        <sz val="12"/>
        <color theme="1"/>
        <rFont val="Aptos Narrow"/>
        <family val="2"/>
        <scheme val="minor"/>
      </rPr>
      <t xml:space="preserve">Copyright </t>
    </r>
    <r>
      <rPr>
        <sz val="12"/>
        <color theme="1"/>
        <rFont val="Aptos Narrow"/>
        <family val="2"/>
      </rPr>
      <t>© 2024 Dartcoaching.nl All rights reserved. Alle rechten voorbehouden.</t>
    </r>
  </si>
  <si>
    <t>Doelbepalingen - Wat wil je bereiken</t>
  </si>
  <si>
    <t>Wat wil je bereiken</t>
  </si>
  <si>
    <t>Wat is je streefdoel na 4 trainingsweken?</t>
  </si>
  <si>
    <t>Procesdoel 2</t>
  </si>
  <si>
    <t>Procesdoel 1</t>
  </si>
  <si>
    <t>Resultaatdoel 1</t>
  </si>
  <si>
    <t>Resultaatdoel 2</t>
  </si>
  <si>
    <t>Effectief trainen begint bij een plan!</t>
  </si>
  <si>
    <t>Inhoudsopgaven</t>
  </si>
  <si>
    <t>Onderwerp</t>
  </si>
  <si>
    <t>Snelkoppeling</t>
  </si>
  <si>
    <t xml:space="preserve">Doelbepaling </t>
  </si>
  <si>
    <t>Terug naar Inhoud</t>
  </si>
  <si>
    <t>Pagina eBook</t>
  </si>
  <si>
    <t>Dag 1</t>
  </si>
  <si>
    <t>Oefening 1</t>
  </si>
  <si>
    <t>Score Ronde 1</t>
  </si>
  <si>
    <t>Score Ronde 2</t>
  </si>
  <si>
    <t>Streefdoel</t>
  </si>
  <si>
    <t>Hoe ga je dit doel bereiken?</t>
  </si>
  <si>
    <t>Oefening 2</t>
  </si>
  <si>
    <t>Score aantal darts</t>
  </si>
  <si>
    <t>Oefening 3</t>
  </si>
  <si>
    <t>Score 1</t>
  </si>
  <si>
    <t>Score 2</t>
  </si>
  <si>
    <t>Score 3</t>
  </si>
  <si>
    <t>Gemiddelde (na streep)</t>
  </si>
  <si>
    <t>Dag 1 - Rust, Ritme, Richting</t>
  </si>
  <si>
    <t>Oefening 4</t>
  </si>
  <si>
    <t>Score 4</t>
  </si>
  <si>
    <t>Score 5</t>
  </si>
  <si>
    <t>Instructie</t>
  </si>
  <si>
    <t>Vul in de open velden de waarden in</t>
  </si>
  <si>
    <t>Oefening 1 t/m 3: vul in de open velden de waarden in. Oefening 4: klik op "oefening 4 en vul de waarde in het nieuwe tabblad in.</t>
  </si>
  <si>
    <t>Terug naar Dag 1</t>
  </si>
  <si>
    <t>Oefening 5</t>
  </si>
  <si>
    <t>Welke dubbels gingen goed?</t>
  </si>
  <si>
    <t>Met welke dubbels had je moeite</t>
  </si>
  <si>
    <t>Oefening 6</t>
  </si>
  <si>
    <t>Hoe ver ben je gekomen in 30 min</t>
  </si>
  <si>
    <t>Hoogste score bereikt</t>
  </si>
  <si>
    <t>Hoe voelde de warming-up vandaag?</t>
  </si>
  <si>
    <t>Welke score of resultaat wil je morgen verbeteren?</t>
  </si>
  <si>
    <t>Wat heb je vandaag geleerd over je eigen manier van trainen?</t>
  </si>
  <si>
    <t>Welke oefening ging het beste en waarom ?</t>
  </si>
  <si>
    <t>Waar had je moeite mee?</t>
  </si>
  <si>
    <t>Hoe voelde je focus tijdens de training?</t>
  </si>
  <si>
    <t>Wat wil je morgen herhalen?</t>
  </si>
  <si>
    <t>Dag 2 - Herhaling &amp; wedstrijddruk</t>
  </si>
  <si>
    <t>Terug naar Dag 2</t>
  </si>
  <si>
    <t>Streefscore</t>
  </si>
  <si>
    <t>Behaalde score</t>
  </si>
  <si>
    <t>Score Leg 1</t>
  </si>
  <si>
    <t>Score Leg 2</t>
  </si>
  <si>
    <t>Score Leg 3</t>
  </si>
  <si>
    <t>Score Leg 4</t>
  </si>
  <si>
    <t>Score Leg 5</t>
  </si>
  <si>
    <t>Dag 2</t>
  </si>
  <si>
    <t>Datum:</t>
  </si>
  <si>
    <t xml:space="preserve">Oefening 1 en 2: vul in de open velden de waarden in. Oefening 3: klik op "oefening 3" en vul de waarde in in het veld </t>
  </si>
  <si>
    <t>Nieuwe ijkscore</t>
  </si>
  <si>
    <t>Score Leg 6</t>
  </si>
  <si>
    <t>Eindscore</t>
  </si>
  <si>
    <t>Win - Verlies</t>
  </si>
  <si>
    <t>-</t>
  </si>
  <si>
    <t>Hoe voelde je lichaam vandaag bij het ingooien?</t>
  </si>
  <si>
    <t>Was je focus beter, slechter of hetzelfde als gisteren? Waarom?</t>
  </si>
  <si>
    <t>Welke oefening voelde het meest als 'wedstrijd'?</t>
  </si>
  <si>
    <t>Wat zegt de uitslag van je wedstrijdvorm over je niveau</t>
  </si>
  <si>
    <t>Heb je iets gedaan wat gisteren nog niet lukte?</t>
  </si>
  <si>
    <t>Welke mentale strategie hielp je het meest tijdens drukmomenten?</t>
  </si>
  <si>
    <t>Wat neem je mee naar dag 3?</t>
  </si>
  <si>
    <t>Wat heb je gegeten voor je ging trainen. Wat merk je daarvan terug in je focus of energie?</t>
  </si>
  <si>
    <t>Dag 3 - Verdieping &amp; Variatie</t>
  </si>
  <si>
    <t>Score op de 20, Poging 1</t>
  </si>
  <si>
    <t>Score op de 20, Poging 2</t>
  </si>
  <si>
    <t>Score op de 20, Poging 3</t>
  </si>
  <si>
    <t>Score op de 19, Poging 1</t>
  </si>
  <si>
    <t>Score op de 19, Poging 2</t>
  </si>
  <si>
    <t>Score op de 19, Poging 3</t>
  </si>
  <si>
    <t>Score op de 20/19/18, Poging 1</t>
  </si>
  <si>
    <t>Score op de 20/19/18, Poging 2</t>
  </si>
  <si>
    <t>Score op de 20/19/18, Poging 3</t>
  </si>
  <si>
    <t>Rondje singles score</t>
  </si>
  <si>
    <t>Tot waar ben je gekomen (15 min)</t>
  </si>
  <si>
    <t>Kijk naar je streefdoel (Dag 1, oefening 5)</t>
  </si>
  <si>
    <t>Dag 3</t>
  </si>
  <si>
    <t>Hoogste Finish gehaald</t>
  </si>
  <si>
    <t>De uitslag</t>
  </si>
  <si>
    <t>Reflectie Dag 3</t>
  </si>
  <si>
    <t>Reflectie Dag 2</t>
  </si>
  <si>
    <t>Reflectie Dag 1</t>
  </si>
  <si>
    <t>Terug naar Dag 3</t>
  </si>
  <si>
    <t>dd/mm/jjjj</t>
  </si>
  <si>
    <t>Hoe goed lukt het om te variëren zonder focus te verliezen?</t>
  </si>
  <si>
    <t>Welke oefening voelde vandaag het scherpst?</t>
  </si>
  <si>
    <t>Heb je vooruitgang geboekt op de scorers of finishes t.o.v. dag 2?</t>
  </si>
  <si>
    <t>Wat vond je moeilijk?</t>
  </si>
  <si>
    <t>Wat wil je op dag 4 vasthouden of verbeteren?</t>
  </si>
  <si>
    <t>Dag 4 - Wedstrijd of Vrije Training</t>
  </si>
  <si>
    <t>Potje 1 - Resultaat</t>
  </si>
  <si>
    <t>Potje 1 - Aantal darts nodig</t>
  </si>
  <si>
    <t>Potje 2 - Resultaat</t>
  </si>
  <si>
    <t>Potje 2 - Aantal darts nodig</t>
  </si>
  <si>
    <t>Potje 3 - Resultaat</t>
  </si>
  <si>
    <t>Potje 3 - Aantal darts nodig</t>
  </si>
  <si>
    <t>Gewonnen / verloren</t>
  </si>
  <si>
    <t>Potje 4 - Resultaat</t>
  </si>
  <si>
    <t>Potje 4 - Aantal darts nodig</t>
  </si>
  <si>
    <t>Potje 5 - Resultaat</t>
  </si>
  <si>
    <t>Potje 5 - Aantal darts nodig</t>
  </si>
  <si>
    <t>Hoogste Finish gehaald (na 1 uur)</t>
  </si>
  <si>
    <t>Wat doe je om in Zone 1 te komen?</t>
  </si>
  <si>
    <t xml:space="preserve">Slotreflectie </t>
  </si>
  <si>
    <t>Waar zie je je grootste groei?</t>
  </si>
  <si>
    <t>Wat heb je geleerd van deze 4 dagen?</t>
  </si>
  <si>
    <t>Wat wil je blijven herhalen?</t>
  </si>
  <si>
    <t>Wat is je volgende stap?</t>
  </si>
  <si>
    <t>Dag 4</t>
  </si>
  <si>
    <t>Doelbepaling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</si>
</sst>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theme="1"/>
      <name val="Aptos Narrow"/>
      <family val="2"/>
    </font>
    <font>
      <b/>
      <sz val="18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CC00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1F58E"/>
        <bgColor indexed="64"/>
      </patternFill>
    </fill>
    <fill>
      <patternFill patternType="solid">
        <fgColor rgb="FFE2FFDB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2CC00A"/>
      </left>
      <right/>
      <top style="thin">
        <color rgb="FF2CC00A"/>
      </top>
      <bottom style="thin">
        <color rgb="FF2CC00A"/>
      </bottom>
      <diagonal/>
    </border>
    <border>
      <left/>
      <right/>
      <top style="thin">
        <color rgb="FF2CC00A"/>
      </top>
      <bottom style="thin">
        <color rgb="FF2CC00A"/>
      </bottom>
      <diagonal/>
    </border>
    <border>
      <left/>
      <right style="thin">
        <color rgb="FF2CC00A"/>
      </right>
      <top style="thin">
        <color rgb="FF2CC00A"/>
      </top>
      <bottom style="thin">
        <color rgb="FF2CC00A"/>
      </bottom>
      <diagonal/>
    </border>
    <border>
      <left style="thin">
        <color rgb="FF2CC00A"/>
      </left>
      <right style="thin">
        <color rgb="FF2CC00A"/>
      </right>
      <top style="thin">
        <color rgb="FF2CC00A"/>
      </top>
      <bottom style="thin">
        <color rgb="FF2CC00A"/>
      </bottom>
      <diagonal/>
    </border>
    <border>
      <left style="thin">
        <color rgb="FF2CC00A"/>
      </left>
      <right/>
      <top style="thin">
        <color rgb="FF2CC00A"/>
      </top>
      <bottom/>
      <diagonal/>
    </border>
    <border>
      <left/>
      <right/>
      <top style="thin">
        <color rgb="FF2CC00A"/>
      </top>
      <bottom/>
      <diagonal/>
    </border>
    <border>
      <left style="thin">
        <color rgb="FF2CC00A"/>
      </left>
      <right/>
      <top/>
      <bottom style="thin">
        <color rgb="FF2CC00A"/>
      </bottom>
      <diagonal/>
    </border>
    <border>
      <left/>
      <right/>
      <top/>
      <bottom style="thin">
        <color rgb="FF2CC00A"/>
      </bottom>
      <diagonal/>
    </border>
    <border>
      <left style="thin">
        <color rgb="FF2CC00A"/>
      </left>
      <right/>
      <top/>
      <bottom/>
      <diagonal/>
    </border>
    <border>
      <left style="medium">
        <color rgb="FF2CC00A"/>
      </left>
      <right style="medium">
        <color rgb="FF2CC00A"/>
      </right>
      <top/>
      <bottom style="medium">
        <color rgb="FF2CC00A"/>
      </bottom>
      <diagonal/>
    </border>
    <border>
      <left style="thin">
        <color rgb="FF2CC00A"/>
      </left>
      <right style="thin">
        <color rgb="FF2CC00A"/>
      </right>
      <top style="thin">
        <color rgb="FF2CC00A"/>
      </top>
      <bottom/>
      <diagonal/>
    </border>
    <border>
      <left style="thin">
        <color rgb="FF2CC00A"/>
      </left>
      <right style="thin">
        <color rgb="FF2CC00A"/>
      </right>
      <top/>
      <bottom style="thin">
        <color rgb="FF2CC00A"/>
      </bottom>
      <diagonal/>
    </border>
    <border>
      <left/>
      <right style="thin">
        <color rgb="FF2CC00A"/>
      </right>
      <top/>
      <bottom style="thin">
        <color rgb="FF2CC00A"/>
      </bottom>
      <diagonal/>
    </border>
    <border>
      <left style="medium">
        <color indexed="64"/>
      </left>
      <right style="thin">
        <color rgb="FF2CC00A"/>
      </right>
      <top style="thin">
        <color rgb="FF2CC00A"/>
      </top>
      <bottom style="thin">
        <color rgb="FF2CC00A"/>
      </bottom>
      <diagonal/>
    </border>
    <border>
      <left/>
      <right style="medium">
        <color indexed="64"/>
      </right>
      <top/>
      <bottom style="thin">
        <color rgb="FF2CC00A"/>
      </bottom>
      <diagonal/>
    </border>
    <border>
      <left style="medium">
        <color indexed="64"/>
      </left>
      <right style="thin">
        <color rgb="FF2CC00A"/>
      </right>
      <top style="thin">
        <color rgb="FF2CC00A"/>
      </top>
      <bottom/>
      <diagonal/>
    </border>
    <border>
      <left style="thin">
        <color rgb="FF2CC00A"/>
      </left>
      <right style="medium">
        <color indexed="64"/>
      </right>
      <top style="thin">
        <color rgb="FF2CC00A"/>
      </top>
      <bottom/>
      <diagonal/>
    </border>
    <border>
      <left style="medium">
        <color indexed="64"/>
      </left>
      <right style="thin">
        <color rgb="FF2CC00A"/>
      </right>
      <top/>
      <bottom style="thin">
        <color rgb="FF2CC00A"/>
      </bottom>
      <diagonal/>
    </border>
    <border>
      <left style="medium">
        <color indexed="64"/>
      </left>
      <right style="thin">
        <color rgb="FF2CC00A"/>
      </right>
      <top/>
      <bottom/>
      <diagonal/>
    </border>
    <border>
      <left style="thin">
        <color rgb="FF2CC00A"/>
      </left>
      <right style="medium">
        <color indexed="64"/>
      </right>
      <top/>
      <bottom/>
      <diagonal/>
    </border>
    <border>
      <left style="thin">
        <color rgb="FF2CC00A"/>
      </left>
      <right style="medium">
        <color indexed="64"/>
      </right>
      <top/>
      <bottom style="thin">
        <color rgb="FF2CC00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2CC00A"/>
      </right>
      <top style="thin">
        <color indexed="64"/>
      </top>
      <bottom style="thin">
        <color rgb="FF2CC00A"/>
      </bottom>
      <diagonal/>
    </border>
    <border>
      <left style="thin">
        <color rgb="FF2CC00A"/>
      </left>
      <right style="thin">
        <color indexed="64"/>
      </right>
      <top style="thin">
        <color indexed="64"/>
      </top>
      <bottom style="thin">
        <color rgb="FF2CC00A"/>
      </bottom>
      <diagonal/>
    </border>
    <border>
      <left style="thin">
        <color indexed="64"/>
      </left>
      <right style="thin">
        <color rgb="FF2CC00A"/>
      </right>
      <top/>
      <bottom style="thin">
        <color rgb="FF2CC00A"/>
      </bottom>
      <diagonal/>
    </border>
    <border>
      <left style="thin">
        <color rgb="FF2CC00A"/>
      </left>
      <right style="thin">
        <color indexed="64"/>
      </right>
      <top/>
      <bottom style="thin">
        <color rgb="FF2CC00A"/>
      </bottom>
      <diagonal/>
    </border>
    <border>
      <left style="thin">
        <color indexed="64"/>
      </left>
      <right style="thin">
        <color rgb="FF2CC00A"/>
      </right>
      <top style="thin">
        <color rgb="FF2CC00A"/>
      </top>
      <bottom style="thin">
        <color indexed="64"/>
      </bottom>
      <diagonal/>
    </border>
    <border>
      <left style="thin">
        <color rgb="FF2CC00A"/>
      </left>
      <right style="thin">
        <color indexed="64"/>
      </right>
      <top style="thin">
        <color rgb="FF2CC00A"/>
      </top>
      <bottom style="thin">
        <color indexed="64"/>
      </bottom>
      <diagonal/>
    </border>
    <border>
      <left style="medium">
        <color indexed="64"/>
      </left>
      <right/>
      <top style="thin">
        <color rgb="FF2CC00A"/>
      </top>
      <bottom style="thin">
        <color rgb="FF2CC00A"/>
      </bottom>
      <diagonal/>
    </border>
    <border>
      <left/>
      <right style="medium">
        <color indexed="64"/>
      </right>
      <top style="thin">
        <color rgb="FF2CC00A"/>
      </top>
      <bottom style="thin">
        <color rgb="FF2CC00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2CC00A"/>
      </right>
      <top style="thin">
        <color rgb="FF2CC00A"/>
      </top>
      <bottom style="thin">
        <color rgb="FF2CC00A"/>
      </bottom>
      <diagonal/>
    </border>
    <border>
      <left style="thin">
        <color rgb="FF2CC00A"/>
      </left>
      <right style="thin">
        <color indexed="64"/>
      </right>
      <top style="thin">
        <color rgb="FF2CC00A"/>
      </top>
      <bottom style="thin">
        <color rgb="FF2CC00A"/>
      </bottom>
      <diagonal/>
    </border>
    <border>
      <left/>
      <right style="thin">
        <color indexed="64"/>
      </right>
      <top/>
      <bottom style="thin">
        <color rgb="FF2CC00A"/>
      </bottom>
      <diagonal/>
    </border>
    <border>
      <left style="thin">
        <color indexed="64"/>
      </left>
      <right style="thin">
        <color rgb="FF2CC00A"/>
      </right>
      <top style="thin">
        <color rgb="FF2CC00A"/>
      </top>
      <bottom/>
      <diagonal/>
    </border>
    <border>
      <left style="thin">
        <color rgb="FF2CC00A"/>
      </left>
      <right style="thin">
        <color indexed="64"/>
      </right>
      <top style="thin">
        <color rgb="FF2CC00A"/>
      </top>
      <bottom/>
      <diagonal/>
    </border>
    <border>
      <left style="thin">
        <color indexed="64"/>
      </left>
      <right style="thin">
        <color rgb="FF2CC00A"/>
      </right>
      <top/>
      <bottom/>
      <diagonal/>
    </border>
    <border>
      <left style="thin">
        <color rgb="FF2CC00A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2CC00A"/>
      </right>
      <top/>
      <bottom style="thin">
        <color indexed="64"/>
      </bottom>
      <diagonal/>
    </border>
    <border>
      <left style="thin">
        <color rgb="FF2CC00A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2CC00A"/>
      </top>
      <bottom style="thin">
        <color rgb="FF2CC00A"/>
      </bottom>
      <diagonal/>
    </border>
    <border>
      <left/>
      <right style="thin">
        <color indexed="64"/>
      </right>
      <top style="thin">
        <color rgb="FF2CC00A"/>
      </top>
      <bottom style="thin">
        <color rgb="FF2CC00A"/>
      </bottom>
      <diagonal/>
    </border>
    <border>
      <left style="thin">
        <color indexed="64"/>
      </left>
      <right/>
      <top style="thin">
        <color rgb="FF2CC00A"/>
      </top>
      <bottom style="thin">
        <color indexed="64"/>
      </bottom>
      <diagonal/>
    </border>
    <border>
      <left/>
      <right style="thin">
        <color indexed="64"/>
      </right>
      <top style="thin">
        <color rgb="FF2CC00A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12" fillId="0" borderId="0" applyNumberFormat="0" applyFill="0" applyBorder="0" applyAlignment="0" applyProtection="0"/>
  </cellStyleXfs>
  <cellXfs count="12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left" indent="1"/>
    </xf>
    <xf numFmtId="0" fontId="5" fillId="4" borderId="5" xfId="0" applyFont="1" applyFill="1" applyBorder="1" applyAlignment="1">
      <alignment horizontal="left" vertical="center" indent="1"/>
    </xf>
    <xf numFmtId="0" fontId="4" fillId="2" borderId="0" xfId="1" applyFont="1" applyFill="1" applyBorder="1" applyAlignment="1">
      <alignment horizontal="left" vertical="center" indent="1"/>
    </xf>
    <xf numFmtId="0" fontId="4" fillId="2" borderId="0" xfId="1" applyFont="1" applyFill="1" applyBorder="1" applyAlignment="1">
      <alignment horizontal="center" vertical="center" indent="1"/>
    </xf>
    <xf numFmtId="0" fontId="3" fillId="2" borderId="0" xfId="0" applyFont="1" applyFill="1" applyAlignment="1" applyProtection="1">
      <alignment horizontal="left" indent="1"/>
      <protection locked="0"/>
    </xf>
    <xf numFmtId="0" fontId="0" fillId="0" borderId="0" xfId="0" applyAlignment="1" applyProtection="1">
      <alignment horizontal="center"/>
      <protection locked="0"/>
    </xf>
    <xf numFmtId="0" fontId="2" fillId="5" borderId="11" xfId="0" applyFont="1" applyFill="1" applyBorder="1" applyAlignment="1" applyProtection="1">
      <alignment horizontal="center"/>
      <protection locked="0"/>
    </xf>
    <xf numFmtId="0" fontId="2" fillId="4" borderId="5" xfId="0" applyFont="1" applyFill="1" applyBorder="1" applyProtection="1">
      <protection locked="0"/>
    </xf>
    <xf numFmtId="0" fontId="0" fillId="5" borderId="5" xfId="0" applyFill="1" applyBorder="1" applyProtection="1">
      <protection locked="0"/>
    </xf>
    <xf numFmtId="14" fontId="0" fillId="5" borderId="5" xfId="0" applyNumberFormat="1" applyFill="1" applyBorder="1" applyProtection="1">
      <protection locked="0"/>
    </xf>
    <xf numFmtId="0" fontId="5" fillId="2" borderId="5" xfId="0" applyFont="1" applyFill="1" applyBorder="1" applyAlignment="1">
      <alignment horizontal="left" indent="1"/>
    </xf>
    <xf numFmtId="14" fontId="0" fillId="0" borderId="5" xfId="0" applyNumberFormat="1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6" fillId="3" borderId="7" xfId="0" applyFont="1" applyFill="1" applyBorder="1"/>
    <xf numFmtId="0" fontId="0" fillId="3" borderId="8" xfId="0" applyFill="1" applyBorder="1" applyAlignment="1" applyProtection="1">
      <alignment horizontal="left" vertical="center"/>
      <protection locked="0"/>
    </xf>
    <xf numFmtId="0" fontId="5" fillId="4" borderId="5" xfId="0" applyFont="1" applyFill="1" applyBorder="1" applyAlignment="1" applyProtection="1">
      <alignment horizontal="left" vertical="center" indent="1"/>
      <protection locked="0"/>
    </xf>
    <xf numFmtId="0" fontId="12" fillId="0" borderId="0" xfId="2"/>
    <xf numFmtId="0" fontId="12" fillId="3" borderId="9" xfId="2" applyFill="1" applyBorder="1" applyAlignment="1" applyProtection="1">
      <alignment horizontal="right" vertical="center" indent="1"/>
      <protection locked="0"/>
    </xf>
    <xf numFmtId="0" fontId="5" fillId="4" borderId="13" xfId="0" applyFont="1" applyFill="1" applyBorder="1" applyAlignment="1" applyProtection="1">
      <alignment horizontal="left" vertical="center" inden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12" fillId="3" borderId="9" xfId="2" applyFill="1" applyBorder="1" applyAlignment="1" applyProtection="1">
      <alignment horizontal="right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5" fillId="4" borderId="15" xfId="0" applyFont="1" applyFill="1" applyBorder="1" applyAlignment="1" applyProtection="1">
      <alignment horizontal="left" vertical="center"/>
      <protection locked="0"/>
    </xf>
    <xf numFmtId="0" fontId="14" fillId="4" borderId="16" xfId="0" applyFont="1" applyFill="1" applyBorder="1" applyAlignment="1" applyProtection="1">
      <alignment vertical="center" wrapText="1"/>
      <protection locked="0"/>
    </xf>
    <xf numFmtId="0" fontId="5" fillId="4" borderId="19" xfId="0" applyFont="1" applyFill="1" applyBorder="1" applyAlignment="1" applyProtection="1">
      <alignment horizontal="left" vertical="center"/>
      <protection locked="0"/>
    </xf>
    <xf numFmtId="0" fontId="5" fillId="4" borderId="25" xfId="0" applyFont="1" applyFill="1" applyBorder="1" applyAlignment="1" applyProtection="1">
      <alignment horizontal="left" vertical="center" indent="1"/>
      <protection locked="0"/>
    </xf>
    <xf numFmtId="0" fontId="5" fillId="4" borderId="27" xfId="0" applyFont="1" applyFill="1" applyBorder="1" applyAlignment="1" applyProtection="1">
      <alignment horizontal="left" vertical="center" indent="1"/>
      <protection locked="0"/>
    </xf>
    <xf numFmtId="0" fontId="5" fillId="4" borderId="29" xfId="0" applyFont="1" applyFill="1" applyBorder="1" applyAlignment="1" applyProtection="1">
      <alignment horizontal="left" vertical="center" indent="1"/>
      <protection locked="0"/>
    </xf>
    <xf numFmtId="14" fontId="3" fillId="2" borderId="0" xfId="0" applyNumberFormat="1" applyFont="1" applyFill="1" applyAlignment="1" applyProtection="1">
      <alignment horizontal="left" indent="1"/>
      <protection locked="0"/>
    </xf>
    <xf numFmtId="0" fontId="9" fillId="2" borderId="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5" fillId="6" borderId="23" xfId="0" applyFont="1" applyFill="1" applyBorder="1" applyAlignment="1" applyProtection="1">
      <alignment horizontal="center" vertical="center"/>
      <protection locked="0"/>
    </xf>
    <xf numFmtId="0" fontId="5" fillId="6" borderId="24" xfId="0" applyFont="1" applyFill="1" applyBorder="1" applyAlignment="1" applyProtection="1">
      <alignment horizontal="center" vertical="center"/>
      <protection locked="0"/>
    </xf>
    <xf numFmtId="0" fontId="5" fillId="4" borderId="17" xfId="0" applyFont="1" applyFill="1" applyBorder="1" applyAlignment="1" applyProtection="1">
      <alignment horizontal="left" vertical="center"/>
      <protection locked="0"/>
    </xf>
    <xf numFmtId="0" fontId="5" fillId="4" borderId="20" xfId="0" applyFont="1" applyFill="1" applyBorder="1" applyAlignment="1" applyProtection="1">
      <alignment horizontal="left" vertical="center"/>
      <protection locked="0"/>
    </xf>
    <xf numFmtId="0" fontId="12" fillId="2" borderId="9" xfId="2" applyFill="1" applyBorder="1" applyAlignment="1" applyProtection="1">
      <alignment horizontal="center"/>
      <protection locked="0"/>
    </xf>
    <xf numFmtId="0" fontId="13" fillId="3" borderId="5" xfId="0" applyFont="1" applyFill="1" applyBorder="1" applyAlignment="1" applyProtection="1">
      <alignment horizontal="left" vertical="center" wrapText="1"/>
      <protection locked="0"/>
    </xf>
    <xf numFmtId="0" fontId="7" fillId="4" borderId="5" xfId="0" applyFont="1" applyFill="1" applyBorder="1" applyAlignment="1" applyProtection="1">
      <alignment horizontal="right"/>
      <protection locked="0"/>
    </xf>
    <xf numFmtId="0" fontId="7" fillId="3" borderId="5" xfId="0" applyFont="1" applyFill="1" applyBorder="1" applyAlignment="1" applyProtection="1">
      <alignment horizontal="center"/>
      <protection locked="0"/>
    </xf>
    <xf numFmtId="0" fontId="12" fillId="6" borderId="9" xfId="2" applyFill="1" applyBorder="1" applyAlignment="1" applyProtection="1">
      <alignment horizontal="center"/>
      <protection locked="0"/>
    </xf>
    <xf numFmtId="0" fontId="17" fillId="0" borderId="0" xfId="0" applyFont="1"/>
    <xf numFmtId="0" fontId="0" fillId="0" borderId="0" xfId="0" applyAlignment="1">
      <alignment wrapText="1"/>
    </xf>
    <xf numFmtId="0" fontId="4" fillId="2" borderId="0" xfId="1" applyFont="1" applyFill="1" applyBorder="1" applyAlignment="1">
      <alignment horizontal="center" vertical="center" wrapText="1"/>
    </xf>
    <xf numFmtId="0" fontId="18" fillId="4" borderId="16" xfId="0" applyFont="1" applyFill="1" applyBorder="1" applyAlignment="1" applyProtection="1">
      <alignment vertical="center" wrapText="1"/>
      <protection locked="0"/>
    </xf>
    <xf numFmtId="0" fontId="18" fillId="4" borderId="18" xfId="0" applyFont="1" applyFill="1" applyBorder="1" applyAlignment="1" applyProtection="1">
      <alignment horizontal="center" vertical="center" wrapText="1"/>
      <protection locked="0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6" fillId="3" borderId="31" xfId="0" applyFont="1" applyFill="1" applyBorder="1" applyAlignment="1" applyProtection="1">
      <alignment horizontal="left" vertical="center"/>
      <protection locked="0"/>
    </xf>
    <xf numFmtId="0" fontId="16" fillId="3" borderId="32" xfId="0" applyFont="1" applyFill="1" applyBorder="1" applyAlignment="1" applyProtection="1">
      <alignment horizontal="left" vertical="center"/>
      <protection locked="0"/>
    </xf>
    <xf numFmtId="0" fontId="16" fillId="3" borderId="31" xfId="0" applyFont="1" applyFill="1" applyBorder="1" applyAlignment="1" applyProtection="1">
      <alignment horizontal="left" vertical="center"/>
      <protection locked="0"/>
    </xf>
    <xf numFmtId="0" fontId="16" fillId="3" borderId="16" xfId="0" applyFont="1" applyFill="1" applyBorder="1" applyAlignment="1" applyProtection="1">
      <alignment horizontal="left" vertical="center"/>
      <protection locked="0"/>
    </xf>
    <xf numFmtId="0" fontId="16" fillId="3" borderId="32" xfId="0" applyFont="1" applyFill="1" applyBorder="1" applyAlignment="1" applyProtection="1">
      <alignment horizontal="left" vertical="center"/>
      <protection locked="0"/>
    </xf>
    <xf numFmtId="0" fontId="5" fillId="4" borderId="31" xfId="0" applyFont="1" applyFill="1" applyBorder="1" applyAlignment="1" applyProtection="1">
      <alignment horizontal="left" vertical="center"/>
      <protection locked="0"/>
    </xf>
    <xf numFmtId="0" fontId="5" fillId="4" borderId="32" xfId="0" applyFont="1" applyFill="1" applyBorder="1" applyAlignment="1" applyProtection="1">
      <alignment horizontal="left" vertical="center"/>
      <protection locked="0"/>
    </xf>
    <xf numFmtId="0" fontId="15" fillId="4" borderId="28" xfId="0" applyFont="1" applyFill="1" applyBorder="1" applyAlignment="1" applyProtection="1">
      <alignment horizontal="left" vertical="center" wrapText="1"/>
      <protection locked="0"/>
    </xf>
    <xf numFmtId="0" fontId="5" fillId="3" borderId="26" xfId="0" applyFont="1" applyFill="1" applyBorder="1" applyAlignment="1" applyProtection="1">
      <alignment horizontal="center" vertical="center" wrapText="1"/>
      <protection locked="0"/>
    </xf>
    <xf numFmtId="0" fontId="5" fillId="3" borderId="28" xfId="0" applyFont="1" applyFill="1" applyBorder="1" applyAlignment="1" applyProtection="1">
      <alignment horizontal="center" vertical="center" wrapText="1"/>
      <protection locked="0"/>
    </xf>
    <xf numFmtId="0" fontId="2" fillId="4" borderId="30" xfId="0" applyFont="1" applyFill="1" applyBorder="1" applyAlignment="1">
      <alignment horizontal="center" vertical="center" wrapText="1"/>
    </xf>
    <xf numFmtId="0" fontId="0" fillId="3" borderId="10" xfId="0" applyFill="1" applyBorder="1" applyAlignment="1" applyProtection="1">
      <alignment horizontal="left" vertical="center"/>
      <protection locked="0"/>
    </xf>
    <xf numFmtId="0" fontId="12" fillId="3" borderId="0" xfId="2" applyFill="1" applyBorder="1" applyAlignment="1" applyProtection="1">
      <alignment horizontal="right" vertical="center" wrapText="1"/>
      <protection locked="0"/>
    </xf>
    <xf numFmtId="0" fontId="9" fillId="2" borderId="33" xfId="0" applyFont="1" applyFill="1" applyBorder="1" applyAlignment="1" applyProtection="1">
      <alignment horizontal="center" vertical="center"/>
      <protection locked="0"/>
    </xf>
    <xf numFmtId="0" fontId="9" fillId="2" borderId="34" xfId="0" applyFont="1" applyFill="1" applyBorder="1" applyAlignment="1" applyProtection="1">
      <alignment horizontal="center" vertical="center"/>
      <protection locked="0"/>
    </xf>
    <xf numFmtId="0" fontId="5" fillId="4" borderId="27" xfId="0" applyFont="1" applyFill="1" applyBorder="1" applyAlignment="1" applyProtection="1">
      <alignment horizontal="left" vertical="center"/>
      <protection locked="0"/>
    </xf>
    <xf numFmtId="0" fontId="5" fillId="4" borderId="35" xfId="0" applyFont="1" applyFill="1" applyBorder="1" applyAlignment="1" applyProtection="1">
      <alignment horizontal="left" vertical="center"/>
      <protection locked="0"/>
    </xf>
    <xf numFmtId="0" fontId="5" fillId="4" borderId="35" xfId="0" applyFont="1" applyFill="1" applyBorder="1" applyAlignment="1" applyProtection="1">
      <alignment horizontal="left" vertical="top"/>
      <protection locked="0"/>
    </xf>
    <xf numFmtId="0" fontId="5" fillId="4" borderId="38" xfId="0" applyFont="1" applyFill="1" applyBorder="1" applyAlignment="1" applyProtection="1">
      <alignment horizontal="left" vertical="top"/>
      <protection locked="0"/>
    </xf>
    <xf numFmtId="0" fontId="14" fillId="3" borderId="39" xfId="0" applyFont="1" applyFill="1" applyBorder="1" applyAlignment="1" applyProtection="1">
      <alignment horizontal="left" vertical="top" wrapText="1"/>
      <protection locked="0"/>
    </xf>
    <xf numFmtId="0" fontId="5" fillId="4" borderId="40" xfId="0" applyFont="1" applyFill="1" applyBorder="1" applyAlignment="1" applyProtection="1">
      <alignment horizontal="left" vertical="top"/>
      <protection locked="0"/>
    </xf>
    <xf numFmtId="0" fontId="14" fillId="3" borderId="41" xfId="0" applyFont="1" applyFill="1" applyBorder="1" applyAlignment="1" applyProtection="1">
      <alignment horizontal="left" vertical="top" wrapText="1"/>
      <protection locked="0"/>
    </xf>
    <xf numFmtId="0" fontId="5" fillId="4" borderId="38" xfId="0" applyFont="1" applyFill="1" applyBorder="1" applyAlignment="1" applyProtection="1">
      <alignment horizontal="left" vertical="center"/>
      <protection locked="0"/>
    </xf>
    <xf numFmtId="0" fontId="11" fillId="3" borderId="39" xfId="0" applyFont="1" applyFill="1" applyBorder="1" applyAlignment="1" applyProtection="1">
      <alignment horizontal="left" vertical="top" wrapText="1"/>
      <protection locked="0"/>
    </xf>
    <xf numFmtId="0" fontId="5" fillId="4" borderId="40" xfId="0" applyFont="1" applyFill="1" applyBorder="1" applyAlignment="1" applyProtection="1">
      <alignment horizontal="left" vertical="center"/>
      <protection locked="0"/>
    </xf>
    <xf numFmtId="0" fontId="11" fillId="3" borderId="41" xfId="0" applyFont="1" applyFill="1" applyBorder="1" applyAlignment="1" applyProtection="1">
      <alignment horizontal="left" vertical="top" wrapText="1"/>
      <protection locked="0"/>
    </xf>
    <xf numFmtId="0" fontId="5" fillId="4" borderId="35" xfId="0" applyFont="1" applyFill="1" applyBorder="1" applyAlignment="1" applyProtection="1">
      <alignment horizontal="left" vertical="center" indent="1"/>
      <protection locked="0"/>
    </xf>
    <xf numFmtId="0" fontId="15" fillId="4" borderId="36" xfId="0" applyFont="1" applyFill="1" applyBorder="1" applyAlignment="1" applyProtection="1">
      <alignment horizontal="left" vertical="center" wrapText="1"/>
      <protection locked="0"/>
    </xf>
    <xf numFmtId="0" fontId="13" fillId="3" borderId="36" xfId="0" applyFont="1" applyFill="1" applyBorder="1" applyAlignment="1" applyProtection="1">
      <alignment horizontal="left" vertical="center" wrapText="1"/>
      <protection locked="0"/>
    </xf>
    <xf numFmtId="0" fontId="5" fillId="4" borderId="42" xfId="0" applyFont="1" applyFill="1" applyBorder="1" applyAlignment="1" applyProtection="1">
      <alignment horizontal="left" vertical="center"/>
      <protection locked="0"/>
    </xf>
    <xf numFmtId="0" fontId="14" fillId="3" borderId="43" xfId="0" applyFont="1" applyFill="1" applyBorder="1" applyAlignment="1" applyProtection="1">
      <alignment horizontal="left" vertical="top" wrapText="1"/>
      <protection locked="0"/>
    </xf>
    <xf numFmtId="0" fontId="5" fillId="4" borderId="38" xfId="0" applyFont="1" applyFill="1" applyBorder="1" applyAlignment="1" applyProtection="1">
      <alignment horizontal="left" vertical="center"/>
      <protection locked="0"/>
    </xf>
    <xf numFmtId="0" fontId="5" fillId="4" borderId="40" xfId="0" applyFont="1" applyFill="1" applyBorder="1" applyAlignment="1" applyProtection="1">
      <alignment horizontal="left" vertical="center"/>
      <protection locked="0"/>
    </xf>
    <xf numFmtId="0" fontId="14" fillId="4" borderId="37" xfId="0" applyFont="1" applyFill="1" applyBorder="1" applyAlignment="1" applyProtection="1">
      <alignment vertical="center" wrapText="1"/>
      <protection locked="0"/>
    </xf>
    <xf numFmtId="0" fontId="16" fillId="3" borderId="44" xfId="0" applyFont="1" applyFill="1" applyBorder="1" applyAlignment="1" applyProtection="1">
      <alignment horizontal="left" vertical="top"/>
      <protection locked="0"/>
    </xf>
    <xf numFmtId="0" fontId="16" fillId="3" borderId="45" xfId="0" applyFont="1" applyFill="1" applyBorder="1" applyAlignment="1" applyProtection="1">
      <alignment horizontal="left" vertical="top"/>
      <protection locked="0"/>
    </xf>
    <xf numFmtId="0" fontId="3" fillId="2" borderId="46" xfId="0" applyFont="1" applyFill="1" applyBorder="1" applyAlignment="1" applyProtection="1">
      <alignment horizontal="center" vertical="center"/>
      <protection locked="0"/>
    </xf>
    <xf numFmtId="0" fontId="3" fillId="2" borderId="47" xfId="0" applyFont="1" applyFill="1" applyBorder="1" applyAlignment="1" applyProtection="1">
      <alignment horizontal="center" vertical="center"/>
      <protection locked="0"/>
    </xf>
    <xf numFmtId="0" fontId="15" fillId="4" borderId="13" xfId="0" applyFont="1" applyFill="1" applyBorder="1" applyAlignment="1" applyProtection="1">
      <alignment horizontal="center" vertical="center" wrapText="1"/>
      <protection locked="0"/>
    </xf>
    <xf numFmtId="0" fontId="15" fillId="4" borderId="5" xfId="0" applyFont="1" applyFill="1" applyBorder="1" applyAlignment="1" applyProtection="1">
      <alignment horizontal="center" vertical="center" wrapText="1"/>
      <protection locked="0"/>
    </xf>
    <xf numFmtId="0" fontId="12" fillId="6" borderId="23" xfId="2" applyFill="1" applyBorder="1" applyAlignment="1" applyProtection="1">
      <alignment horizontal="center" vertical="center"/>
      <protection locked="0"/>
    </xf>
    <xf numFmtId="0" fontId="12" fillId="6" borderId="24" xfId="2" applyFill="1" applyBorder="1" applyAlignment="1" applyProtection="1">
      <alignment horizontal="center" vertical="center"/>
      <protection locked="0"/>
    </xf>
    <xf numFmtId="0" fontId="15" fillId="3" borderId="28" xfId="0" applyFont="1" applyFill="1" applyBorder="1" applyAlignment="1" applyProtection="1">
      <alignment horizontal="center" vertical="center" wrapText="1"/>
      <protection locked="0"/>
    </xf>
    <xf numFmtId="0" fontId="18" fillId="4" borderId="37" xfId="0" applyFont="1" applyFill="1" applyBorder="1" applyAlignment="1" applyProtection="1">
      <alignment vertical="center" wrapText="1"/>
      <protection locked="0"/>
    </xf>
    <xf numFmtId="0" fontId="15" fillId="4" borderId="28" xfId="0" applyFont="1" applyFill="1" applyBorder="1" applyAlignment="1" applyProtection="1">
      <alignment horizontal="center" vertical="center" wrapText="1"/>
      <protection locked="0"/>
    </xf>
    <xf numFmtId="0" fontId="15" fillId="4" borderId="36" xfId="0" applyFont="1" applyFill="1" applyBorder="1" applyAlignment="1" applyProtection="1">
      <alignment horizontal="center" vertical="center" wrapText="1"/>
      <protection locked="0"/>
    </xf>
    <xf numFmtId="0" fontId="19" fillId="3" borderId="37" xfId="0" applyFont="1" applyFill="1" applyBorder="1" applyAlignment="1" applyProtection="1">
      <alignment horizontal="center" vertical="center" wrapText="1"/>
      <protection locked="0"/>
    </xf>
    <xf numFmtId="0" fontId="5" fillId="4" borderId="29" xfId="0" applyFont="1" applyFill="1" applyBorder="1" applyAlignment="1" applyProtection="1">
      <alignment horizontal="left" vertical="center"/>
      <protection locked="0"/>
    </xf>
    <xf numFmtId="0" fontId="14" fillId="3" borderId="48" xfId="0" applyFont="1" applyFill="1" applyBorder="1" applyAlignment="1" applyProtection="1">
      <alignment vertical="center" wrapText="1"/>
      <protection locked="0"/>
    </xf>
    <xf numFmtId="0" fontId="16" fillId="3" borderId="44" xfId="0" applyFont="1" applyFill="1" applyBorder="1" applyAlignment="1" applyProtection="1">
      <alignment horizontal="left" vertical="center"/>
      <protection locked="0"/>
    </xf>
    <xf numFmtId="0" fontId="16" fillId="3" borderId="45" xfId="0" applyFont="1" applyFill="1" applyBorder="1" applyAlignment="1" applyProtection="1">
      <alignment horizontal="left" vertical="center"/>
      <protection locked="0"/>
    </xf>
    <xf numFmtId="0" fontId="16" fillId="3" borderId="44" xfId="0" applyFont="1" applyFill="1" applyBorder="1" applyAlignment="1" applyProtection="1">
      <alignment horizontal="left" vertical="center"/>
      <protection locked="0"/>
    </xf>
    <xf numFmtId="0" fontId="16" fillId="3" borderId="45" xfId="0" applyFont="1" applyFill="1" applyBorder="1" applyAlignment="1" applyProtection="1">
      <alignment horizontal="left" vertical="center"/>
      <protection locked="0"/>
    </xf>
    <xf numFmtId="0" fontId="0" fillId="0" borderId="49" xfId="0" applyBorder="1" applyProtection="1">
      <protection locked="0"/>
    </xf>
    <xf numFmtId="0" fontId="0" fillId="0" borderId="50" xfId="0" applyBorder="1" applyAlignment="1" applyProtection="1">
      <alignment wrapText="1"/>
      <protection locked="0"/>
    </xf>
    <xf numFmtId="0" fontId="11" fillId="3" borderId="6" xfId="0" applyFont="1" applyFill="1" applyBorder="1" applyAlignment="1" applyProtection="1">
      <alignment horizontal="left" vertical="top"/>
      <protection locked="0"/>
    </xf>
    <xf numFmtId="0" fontId="10" fillId="3" borderId="7" xfId="0" applyFont="1" applyFill="1" applyBorder="1" applyAlignment="1" applyProtection="1">
      <alignment horizontal="left" vertical="top"/>
      <protection locked="0"/>
    </xf>
    <xf numFmtId="0" fontId="10" fillId="3" borderId="8" xfId="0" applyFont="1" applyFill="1" applyBorder="1" applyAlignment="1" applyProtection="1">
      <alignment horizontal="left" vertical="top"/>
      <protection locked="0"/>
    </xf>
    <xf numFmtId="0" fontId="10" fillId="3" borderId="9" xfId="0" applyFont="1" applyFill="1" applyBorder="1" applyAlignment="1" applyProtection="1">
      <alignment horizontal="left" vertical="top"/>
      <protection locked="0"/>
    </xf>
    <xf numFmtId="0" fontId="11" fillId="3" borderId="12" xfId="0" applyFont="1" applyFill="1" applyBorder="1" applyAlignment="1" applyProtection="1">
      <alignment horizontal="left" vertical="top"/>
      <protection locked="0"/>
    </xf>
    <xf numFmtId="0" fontId="11" fillId="3" borderId="13" xfId="0" applyFont="1" applyFill="1" applyBorder="1" applyAlignment="1" applyProtection="1">
      <alignment horizontal="left" vertical="top"/>
      <protection locked="0"/>
    </xf>
    <xf numFmtId="0" fontId="5" fillId="3" borderId="36" xfId="0" applyFont="1" applyFill="1" applyBorder="1" applyAlignment="1" applyProtection="1">
      <alignment horizontal="center" vertical="center" wrapText="1"/>
      <protection locked="0"/>
    </xf>
    <xf numFmtId="0" fontId="14" fillId="3" borderId="37" xfId="0" applyFont="1" applyFill="1" applyBorder="1" applyAlignment="1" applyProtection="1">
      <alignment horizontal="center" vertical="center" wrapText="1"/>
      <protection locked="0"/>
    </xf>
    <xf numFmtId="0" fontId="13" fillId="3" borderId="28" xfId="0" applyFont="1" applyFill="1" applyBorder="1" applyAlignment="1" applyProtection="1">
      <alignment horizontal="center" vertical="center" wrapText="1"/>
      <protection locked="0"/>
    </xf>
    <xf numFmtId="0" fontId="11" fillId="3" borderId="37" xfId="0" applyFont="1" applyFill="1" applyBorder="1" applyAlignment="1" applyProtection="1">
      <alignment horizontal="left" vertical="top" wrapText="1"/>
      <protection locked="0"/>
    </xf>
    <xf numFmtId="0" fontId="14" fillId="3" borderId="37" xfId="0" applyFont="1" applyFill="1" applyBorder="1" applyAlignment="1" applyProtection="1">
      <alignment horizontal="left" vertical="top" wrapText="1"/>
      <protection locked="0"/>
    </xf>
    <xf numFmtId="0" fontId="2" fillId="3" borderId="16" xfId="0" applyFont="1" applyFill="1" applyBorder="1" applyAlignment="1" applyProtection="1">
      <alignment horizontal="center" vertical="center" wrapText="1"/>
      <protection locked="0"/>
    </xf>
    <xf numFmtId="0" fontId="6" fillId="3" borderId="21" xfId="0" quotePrefix="1" applyFont="1" applyFill="1" applyBorder="1" applyAlignment="1" applyProtection="1">
      <alignment horizontal="center" vertical="center" wrapText="1"/>
      <protection locked="0"/>
    </xf>
    <xf numFmtId="0" fontId="6" fillId="3" borderId="16" xfId="0" applyFont="1" applyFill="1" applyBorder="1" applyAlignment="1" applyProtection="1">
      <alignment horizontal="center" vertical="center" wrapText="1"/>
      <protection locked="0"/>
    </xf>
    <xf numFmtId="0" fontId="5" fillId="3" borderId="22" xfId="0" applyFont="1" applyFill="1" applyBorder="1" applyAlignment="1" applyProtection="1">
      <alignment horizontal="center" vertical="center" wrapText="1"/>
      <protection locked="0"/>
    </xf>
    <xf numFmtId="0" fontId="15" fillId="4" borderId="30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 applyProtection="1">
      <alignment horizontal="center" vertical="center" wrapText="1"/>
      <protection locked="0"/>
    </xf>
    <xf numFmtId="0" fontId="6" fillId="3" borderId="37" xfId="0" applyFont="1" applyFill="1" applyBorder="1" applyAlignment="1" applyProtection="1">
      <alignment horizontal="center" vertical="center" wrapText="1"/>
      <protection locked="0"/>
    </xf>
  </cellXfs>
  <cellStyles count="3">
    <cellStyle name="Heading 1" xfId="1" builtinId="16"/>
    <cellStyle name="Hyperlink" xfId="2" builtinId="8"/>
    <cellStyle name="Normal" xfId="0" builtinId="0"/>
  </cellStyles>
  <dxfs count="18"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</dxfs>
  <tableStyles count="0" defaultTableStyle="TableStyleMedium2" defaultPivotStyle="PivotStyleLight16"/>
  <colors>
    <mruColors>
      <color rgb="FF2CC00A"/>
      <color rgb="FFE2FFDB"/>
      <color rgb="FFA1F58E"/>
      <color rgb="FF87FC6D"/>
      <color rgb="FF0F9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Grafiek!$K$2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"/>
              <c:pt idx="0">
                <c:v>Datum</c:v>
              </c:pt>
            </c:strLit>
          </c:cat>
          <c:val>
            <c:numRef>
              <c:f>Grafiek!$K$3:$K$5</c:f>
              <c:numCache>
                <c:formatCode>General</c:formatCode>
                <c:ptCount val="3"/>
                <c:pt idx="0">
                  <c:v>0</c:v>
                </c:pt>
                <c:pt idx="1">
                  <c:v>75.2</c:v>
                </c:pt>
                <c:pt idx="2">
                  <c:v>74.2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B0-417C-8730-AD0F69129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410895"/>
        <c:axId val="1469411855"/>
      </c:lineChart>
      <c:catAx>
        <c:axId val="146941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69411855"/>
        <c:crosses val="autoZero"/>
        <c:auto val="1"/>
        <c:lblAlgn val="ctr"/>
        <c:lblOffset val="100"/>
        <c:noMultiLvlLbl val="0"/>
      </c:catAx>
      <c:valAx>
        <c:axId val="146941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6941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139553</xdr:colOff>
      <xdr:row>0</xdr:row>
      <xdr:rowOff>914400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9CB4E98C-762B-4CCA-BAC4-E8991E338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9272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1699272</xdr:colOff>
      <xdr:row>0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3B4ED-B435-4E56-B2DD-04DA72F6B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01653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1699272</xdr:colOff>
      <xdr:row>0</xdr:row>
      <xdr:rowOff>914400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543F7126-4640-4DD1-9478-82F3ADC5B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9272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1699272</xdr:colOff>
      <xdr:row>0</xdr:row>
      <xdr:rowOff>914400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E9C94F7-EDFE-487C-A253-4E0D9168D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9272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1699272</xdr:colOff>
      <xdr:row>0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82F4BD-39D1-419B-981A-5826AA669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9272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309562</xdr:colOff>
      <xdr:row>1</xdr:row>
      <xdr:rowOff>157162</xdr:rowOff>
    </xdr:from>
    <xdr:to>
      <xdr:col>8</xdr:col>
      <xdr:colOff>4762</xdr:colOff>
      <xdr:row>16</xdr:row>
      <xdr:rowOff>42862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80C8626F-D2E1-5BFE-C254-8F8ED3572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C38B-8F74-4694-B0E4-8A3063CE9912}">
  <dimension ref="A1:D8"/>
  <sheetViews>
    <sheetView zoomScale="175" zoomScaleNormal="175" workbookViewId="0">
      <selection activeCell="D4" sqref="D4"/>
    </sheetView>
  </sheetViews>
  <sheetFormatPr defaultRowHeight="15" x14ac:dyDescent="0.25"/>
  <cols>
    <col min="1" max="1" width="17.85546875" bestFit="1" customWidth="1"/>
    <col min="2" max="2" width="16.5703125" bestFit="1" customWidth="1"/>
    <col min="3" max="3" width="20.28515625" bestFit="1" customWidth="1"/>
    <col min="4" max="4" width="40.28515625" style="51" customWidth="1"/>
  </cols>
  <sheetData>
    <row r="1" spans="1:4" x14ac:dyDescent="0.25">
      <c r="A1" t="s">
        <v>16</v>
      </c>
    </row>
    <row r="3" spans="1:4" ht="18.75" x14ac:dyDescent="0.25">
      <c r="A3" s="4" t="s">
        <v>21</v>
      </c>
      <c r="B3" s="5" t="s">
        <v>17</v>
      </c>
      <c r="C3" s="5" t="s">
        <v>18</v>
      </c>
      <c r="D3" s="52" t="s">
        <v>39</v>
      </c>
    </row>
    <row r="4" spans="1:4" ht="36" x14ac:dyDescent="0.55000000000000004">
      <c r="A4" s="50">
        <v>8</v>
      </c>
      <c r="B4" t="s">
        <v>19</v>
      </c>
      <c r="C4" s="18" t="s">
        <v>127</v>
      </c>
      <c r="D4" s="51" t="s">
        <v>40</v>
      </c>
    </row>
    <row r="5" spans="1:4" ht="49.5" x14ac:dyDescent="0.55000000000000004">
      <c r="A5" s="50">
        <v>10</v>
      </c>
      <c r="B5" t="s">
        <v>22</v>
      </c>
      <c r="C5" s="18" t="s">
        <v>22</v>
      </c>
      <c r="D5" s="51" t="s">
        <v>41</v>
      </c>
    </row>
    <row r="6" spans="1:4" ht="49.5" x14ac:dyDescent="0.55000000000000004">
      <c r="A6" s="50">
        <v>17</v>
      </c>
      <c r="B6" t="s">
        <v>65</v>
      </c>
      <c r="C6" s="18" t="s">
        <v>65</v>
      </c>
      <c r="D6" s="51" t="s">
        <v>67</v>
      </c>
    </row>
    <row r="7" spans="1:4" ht="49.5" x14ac:dyDescent="0.55000000000000004">
      <c r="A7" s="50">
        <v>18</v>
      </c>
      <c r="B7" t="s">
        <v>65</v>
      </c>
      <c r="C7" s="18" t="s">
        <v>94</v>
      </c>
      <c r="D7" s="51" t="s">
        <v>67</v>
      </c>
    </row>
    <row r="8" spans="1:4" ht="49.5" x14ac:dyDescent="0.55000000000000004">
      <c r="A8" s="50">
        <v>24</v>
      </c>
      <c r="B8" t="s">
        <v>126</v>
      </c>
      <c r="C8" s="18" t="s">
        <v>126</v>
      </c>
      <c r="D8" s="51" t="s">
        <v>67</v>
      </c>
    </row>
  </sheetData>
  <hyperlinks>
    <hyperlink ref="C4" location="Doelbepaling!A1" tooltip="Ga naar de tab &quot;Doelbepaling&quot;" display="ga naar Doelbepaling" xr:uid="{849A413E-3930-495E-9A76-8FD0A40AA532}"/>
    <hyperlink ref="C5" location="'Dag 1'!A1" tooltip="Ga naar oefening Dag 1" display="Dag 1" xr:uid="{AB44813F-CED4-4E66-B805-489B9D2BDFF3}"/>
    <hyperlink ref="C6" location="'Dag 2'!A1" tooltip="Ga naar oefening Dag 2" display="Dag 2" xr:uid="{4F5291AE-FC7C-4977-91F2-794508A3891F}"/>
    <hyperlink ref="C7" location="'Dag 3'!A1" tooltip="Ga naar oefening Dag 3" display="Dag 3" xr:uid="{41F98813-A604-4909-BB58-563DE519709F}"/>
    <hyperlink ref="C8" location="'Dag 4'!A1" tooltip="Ga naar oefening Dag 4" display="Dag 4" xr:uid="{E445E432-5B35-48B3-BD2E-1E56DCC865F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0938-B907-46A8-84A7-0ED922550B6C}">
  <dimension ref="A1:B15"/>
  <sheetViews>
    <sheetView zoomScale="145" zoomScaleNormal="145" workbookViewId="0">
      <selection activeCell="B7" sqref="B7:B8"/>
    </sheetView>
  </sheetViews>
  <sheetFormatPr defaultColWidth="9.140625" defaultRowHeight="15" x14ac:dyDescent="0.25"/>
  <cols>
    <col min="1" max="1" width="23.42578125" style="1" customWidth="1"/>
    <col min="2" max="2" width="77.140625" style="1" customWidth="1"/>
    <col min="3" max="16384" width="9.140625" style="1"/>
  </cols>
  <sheetData>
    <row r="1" spans="1:2" ht="75.75" customHeight="1" x14ac:dyDescent="0.25">
      <c r="A1" s="16"/>
      <c r="B1" s="19" t="s">
        <v>20</v>
      </c>
    </row>
    <row r="2" spans="1:2" ht="24" x14ac:dyDescent="0.25">
      <c r="A2" s="32" t="s">
        <v>8</v>
      </c>
      <c r="B2" s="33"/>
    </row>
    <row r="3" spans="1:2" ht="15.75" x14ac:dyDescent="0.25">
      <c r="A3" s="34" t="s">
        <v>9</v>
      </c>
      <c r="B3" s="35"/>
    </row>
    <row r="4" spans="1:2" x14ac:dyDescent="0.25">
      <c r="A4" s="111"/>
      <c r="B4" s="112"/>
    </row>
    <row r="5" spans="1:2" x14ac:dyDescent="0.25">
      <c r="A5" s="113"/>
      <c r="B5" s="114"/>
    </row>
    <row r="6" spans="1:2" ht="15.75" x14ac:dyDescent="0.25">
      <c r="A6" s="34" t="s">
        <v>10</v>
      </c>
      <c r="B6" s="38"/>
    </row>
    <row r="7" spans="1:2" ht="15.75" x14ac:dyDescent="0.25">
      <c r="A7" s="3" t="s">
        <v>12</v>
      </c>
      <c r="B7" s="115"/>
    </row>
    <row r="8" spans="1:2" ht="15.75" x14ac:dyDescent="0.25">
      <c r="A8" s="3"/>
      <c r="B8" s="116"/>
    </row>
    <row r="9" spans="1:2" ht="15.75" x14ac:dyDescent="0.25">
      <c r="A9" s="3" t="s">
        <v>11</v>
      </c>
      <c r="B9" s="115"/>
    </row>
    <row r="10" spans="1:2" ht="15.75" x14ac:dyDescent="0.25">
      <c r="A10" s="3"/>
      <c r="B10" s="116"/>
    </row>
    <row r="11" spans="1:2" ht="15.75" x14ac:dyDescent="0.25">
      <c r="A11" s="3" t="s">
        <v>13</v>
      </c>
      <c r="B11" s="115"/>
    </row>
    <row r="12" spans="1:2" ht="15.75" x14ac:dyDescent="0.25">
      <c r="A12" s="3"/>
      <c r="B12" s="116"/>
    </row>
    <row r="13" spans="1:2" ht="15.75" x14ac:dyDescent="0.25">
      <c r="A13" s="3" t="s">
        <v>14</v>
      </c>
      <c r="B13" s="115"/>
    </row>
    <row r="14" spans="1:2" ht="15.75" x14ac:dyDescent="0.25">
      <c r="A14" s="3"/>
      <c r="B14" s="116"/>
    </row>
    <row r="15" spans="1:2" ht="15.75" x14ac:dyDescent="0.25">
      <c r="A15" s="36" t="s">
        <v>15</v>
      </c>
      <c r="B15" s="37"/>
    </row>
  </sheetData>
  <sheetProtection selectLockedCells="1"/>
  <mergeCells count="9">
    <mergeCell ref="A2:B2"/>
    <mergeCell ref="A3:B3"/>
    <mergeCell ref="A15:B15"/>
    <mergeCell ref="A4:B5"/>
    <mergeCell ref="A6:B6"/>
    <mergeCell ref="B7:B8"/>
    <mergeCell ref="B9:B10"/>
    <mergeCell ref="B11:B12"/>
    <mergeCell ref="B13:B14"/>
  </mergeCells>
  <hyperlinks>
    <hyperlink ref="B1" location="Inhoud!A1" tooltip="Klik hier om terug te gaan naar de inhoudsopgave" display="Terug naar Inhoud" xr:uid="{274E64EB-95F3-47EF-8FC3-87ACEC8D3A6F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0B96-C847-402E-98E5-0A62F6FE6185}">
  <dimension ref="A1:B67"/>
  <sheetViews>
    <sheetView topLeftCell="A39" zoomScale="160" zoomScaleNormal="160" workbookViewId="0">
      <selection activeCell="B49" sqref="B49:B51"/>
    </sheetView>
  </sheetViews>
  <sheetFormatPr defaultColWidth="9.140625" defaultRowHeight="15" x14ac:dyDescent="0.25"/>
  <cols>
    <col min="1" max="1" width="33.85546875" style="1" customWidth="1"/>
    <col min="2" max="2" width="52.85546875" style="24" customWidth="1"/>
    <col min="3" max="16384" width="9.140625" style="1"/>
  </cols>
  <sheetData>
    <row r="1" spans="1:2" ht="75.75" customHeight="1" x14ac:dyDescent="0.25">
      <c r="A1" s="67"/>
      <c r="B1" s="68" t="s">
        <v>20</v>
      </c>
    </row>
    <row r="2" spans="1:2" ht="24" x14ac:dyDescent="0.25">
      <c r="A2" s="69" t="s">
        <v>35</v>
      </c>
      <c r="B2" s="70"/>
    </row>
    <row r="3" spans="1:2" ht="15.75" x14ac:dyDescent="0.25">
      <c r="A3" s="41" t="s">
        <v>23</v>
      </c>
      <c r="B3" s="42"/>
    </row>
    <row r="4" spans="1:2" ht="15" customHeight="1" x14ac:dyDescent="0.25">
      <c r="A4" s="71" t="s">
        <v>24</v>
      </c>
      <c r="B4" s="65"/>
    </row>
    <row r="5" spans="1:2" ht="15" customHeight="1" x14ac:dyDescent="0.25">
      <c r="A5" s="72" t="s">
        <v>25</v>
      </c>
      <c r="B5" s="117"/>
    </row>
    <row r="6" spans="1:2" ht="15.75" x14ac:dyDescent="0.25">
      <c r="A6" s="73" t="s">
        <v>26</v>
      </c>
      <c r="B6" s="121"/>
    </row>
    <row r="7" spans="1:2" ht="15.75" customHeight="1" x14ac:dyDescent="0.25">
      <c r="A7" s="74" t="s">
        <v>27</v>
      </c>
      <c r="B7" s="75"/>
    </row>
    <row r="8" spans="1:2" ht="14.65" customHeight="1" x14ac:dyDescent="0.25">
      <c r="A8" s="76"/>
      <c r="B8" s="77"/>
    </row>
    <row r="9" spans="1:2" ht="15.75" x14ac:dyDescent="0.25">
      <c r="A9" s="41" t="s">
        <v>28</v>
      </c>
      <c r="B9" s="42"/>
    </row>
    <row r="10" spans="1:2" ht="15.75" x14ac:dyDescent="0.25">
      <c r="A10" s="71" t="s">
        <v>29</v>
      </c>
      <c r="B10" s="119"/>
    </row>
    <row r="11" spans="1:2" ht="15.75" x14ac:dyDescent="0.25">
      <c r="A11" s="72" t="s">
        <v>26</v>
      </c>
      <c r="B11" s="120"/>
    </row>
    <row r="12" spans="1:2" ht="14.25" customHeight="1" x14ac:dyDescent="0.25">
      <c r="A12" s="78" t="s">
        <v>27</v>
      </c>
      <c r="B12" s="79"/>
    </row>
    <row r="13" spans="1:2" ht="14.65" customHeight="1" x14ac:dyDescent="0.25">
      <c r="A13" s="80"/>
      <c r="B13" s="81"/>
    </row>
    <row r="14" spans="1:2" ht="15.75" x14ac:dyDescent="0.25">
      <c r="A14" s="41" t="s">
        <v>30</v>
      </c>
      <c r="B14" s="42"/>
    </row>
    <row r="15" spans="1:2" ht="15.75" x14ac:dyDescent="0.25">
      <c r="A15" s="28" t="s">
        <v>31</v>
      </c>
      <c r="B15" s="64">
        <v>16</v>
      </c>
    </row>
    <row r="16" spans="1:2" ht="15.75" x14ac:dyDescent="0.25">
      <c r="A16" s="29" t="s">
        <v>32</v>
      </c>
      <c r="B16" s="65">
        <v>13</v>
      </c>
    </row>
    <row r="17" spans="1:2" ht="15.75" x14ac:dyDescent="0.25">
      <c r="A17" s="29" t="s">
        <v>33</v>
      </c>
      <c r="B17" s="65">
        <v>15</v>
      </c>
    </row>
    <row r="18" spans="1:2" ht="15.75" x14ac:dyDescent="0.25">
      <c r="A18" s="30" t="s">
        <v>34</v>
      </c>
      <c r="B18" s="66">
        <f>ROUND((SUM(B15:B17)/3),1)</f>
        <v>14.7</v>
      </c>
    </row>
    <row r="19" spans="1:2" ht="15.75" x14ac:dyDescent="0.25">
      <c r="A19" s="41" t="s">
        <v>36</v>
      </c>
      <c r="B19" s="42"/>
    </row>
    <row r="20" spans="1:2" ht="15.75" x14ac:dyDescent="0.25">
      <c r="A20" s="29" t="s">
        <v>31</v>
      </c>
      <c r="B20" s="63">
        <f>Score!B12</f>
        <v>0</v>
      </c>
    </row>
    <row r="21" spans="1:2" ht="15.75" x14ac:dyDescent="0.25">
      <c r="A21" s="82" t="s">
        <v>32</v>
      </c>
      <c r="B21" s="83">
        <f>Score!D12</f>
        <v>0</v>
      </c>
    </row>
    <row r="22" spans="1:2" ht="15.75" x14ac:dyDescent="0.25">
      <c r="A22" s="82" t="s">
        <v>33</v>
      </c>
      <c r="B22" s="83">
        <f>Score!F12</f>
        <v>0</v>
      </c>
    </row>
    <row r="23" spans="1:2" ht="15.75" x14ac:dyDescent="0.25">
      <c r="A23" s="82" t="s">
        <v>37</v>
      </c>
      <c r="B23" s="83">
        <f>Score!H12</f>
        <v>0</v>
      </c>
    </row>
    <row r="24" spans="1:2" ht="15.75" x14ac:dyDescent="0.25">
      <c r="A24" s="82" t="s">
        <v>38</v>
      </c>
      <c r="B24" s="83">
        <f>Score!J12</f>
        <v>0</v>
      </c>
    </row>
    <row r="25" spans="1:2" ht="15.75" x14ac:dyDescent="0.25">
      <c r="A25" s="82" t="s">
        <v>34</v>
      </c>
      <c r="B25" s="83">
        <f>ROUND(Score!M6,1)</f>
        <v>0</v>
      </c>
    </row>
    <row r="26" spans="1:2" ht="15.75" x14ac:dyDescent="0.25">
      <c r="A26" s="82" t="s">
        <v>0</v>
      </c>
      <c r="B26" s="84"/>
    </row>
    <row r="27" spans="1:2" ht="15.75" x14ac:dyDescent="0.25">
      <c r="A27" s="72" t="s">
        <v>26</v>
      </c>
      <c r="B27" s="121"/>
    </row>
    <row r="28" spans="1:2" x14ac:dyDescent="0.25">
      <c r="A28" s="78" t="s">
        <v>27</v>
      </c>
      <c r="B28" s="75"/>
    </row>
    <row r="29" spans="1:2" x14ac:dyDescent="0.25">
      <c r="A29" s="85"/>
      <c r="B29" s="86"/>
    </row>
    <row r="38" spans="1:2" ht="33.75" customHeight="1" x14ac:dyDescent="0.25"/>
    <row r="39" spans="1:2" ht="15" customHeight="1" x14ac:dyDescent="0.25">
      <c r="A39" s="41" t="s">
        <v>43</v>
      </c>
      <c r="B39" s="42"/>
    </row>
    <row r="40" spans="1:2" ht="15" customHeight="1" x14ac:dyDescent="0.25">
      <c r="A40" s="72" t="s">
        <v>44</v>
      </c>
      <c r="B40" s="118"/>
    </row>
    <row r="41" spans="1:2" ht="15.75" x14ac:dyDescent="0.25">
      <c r="A41" s="72" t="s">
        <v>45</v>
      </c>
      <c r="B41" s="118"/>
    </row>
    <row r="42" spans="1:2" ht="15.75" x14ac:dyDescent="0.25">
      <c r="A42" s="72" t="s">
        <v>92</v>
      </c>
      <c r="B42" s="118"/>
    </row>
    <row r="43" spans="1:2" ht="15.75" x14ac:dyDescent="0.25">
      <c r="A43" s="72" t="s">
        <v>26</v>
      </c>
      <c r="B43" s="121"/>
    </row>
    <row r="44" spans="1:2" ht="33.75" customHeight="1" x14ac:dyDescent="0.25">
      <c r="A44" s="87" t="s">
        <v>27</v>
      </c>
      <c r="B44" s="75"/>
    </row>
    <row r="45" spans="1:2" ht="14.25" customHeight="1" x14ac:dyDescent="0.25">
      <c r="A45" s="88"/>
      <c r="B45" s="86"/>
    </row>
    <row r="46" spans="1:2" ht="14.25" customHeight="1" x14ac:dyDescent="0.25">
      <c r="A46" s="41" t="s">
        <v>46</v>
      </c>
      <c r="B46" s="42"/>
    </row>
    <row r="47" spans="1:2" ht="15.75" x14ac:dyDescent="0.25">
      <c r="A47" s="72" t="s">
        <v>47</v>
      </c>
      <c r="B47" s="118"/>
    </row>
    <row r="48" spans="1:2" ht="15.75" x14ac:dyDescent="0.25">
      <c r="A48" s="72" t="s">
        <v>48</v>
      </c>
      <c r="B48" s="118"/>
    </row>
    <row r="49" spans="1:2" ht="15.75" x14ac:dyDescent="0.25">
      <c r="A49" s="72" t="s">
        <v>26</v>
      </c>
      <c r="B49" s="121"/>
    </row>
    <row r="50" spans="1:2" ht="15.75" x14ac:dyDescent="0.25">
      <c r="A50" s="87" t="s">
        <v>27</v>
      </c>
      <c r="B50" s="75"/>
    </row>
    <row r="51" spans="1:2" ht="15.75" x14ac:dyDescent="0.25">
      <c r="A51" s="88"/>
      <c r="B51" s="86"/>
    </row>
    <row r="52" spans="1:2" ht="15.75" x14ac:dyDescent="0.25">
      <c r="A52" s="41" t="s">
        <v>99</v>
      </c>
      <c r="B52" s="42"/>
    </row>
    <row r="53" spans="1:2" ht="15.75" x14ac:dyDescent="0.25">
      <c r="A53" s="72" t="s">
        <v>49</v>
      </c>
      <c r="B53" s="89"/>
    </row>
    <row r="54" spans="1:2" x14ac:dyDescent="0.25">
      <c r="A54" s="90"/>
      <c r="B54" s="91"/>
    </row>
    <row r="55" spans="1:2" ht="15.75" x14ac:dyDescent="0.25">
      <c r="A55" s="72" t="s">
        <v>52</v>
      </c>
      <c r="B55" s="89"/>
    </row>
    <row r="56" spans="1:2" x14ac:dyDescent="0.25">
      <c r="A56" s="90"/>
      <c r="B56" s="91"/>
    </row>
    <row r="57" spans="1:2" ht="15.75" x14ac:dyDescent="0.25">
      <c r="A57" s="72" t="s">
        <v>53</v>
      </c>
      <c r="B57" s="89"/>
    </row>
    <row r="58" spans="1:2" x14ac:dyDescent="0.25">
      <c r="A58" s="90"/>
      <c r="B58" s="91"/>
    </row>
    <row r="59" spans="1:2" ht="15.75" x14ac:dyDescent="0.25">
      <c r="A59" s="72" t="s">
        <v>50</v>
      </c>
      <c r="B59" s="89"/>
    </row>
    <row r="60" spans="1:2" x14ac:dyDescent="0.25">
      <c r="A60" s="90"/>
      <c r="B60" s="91"/>
    </row>
    <row r="61" spans="1:2" ht="15.75" x14ac:dyDescent="0.25">
      <c r="A61" s="72" t="s">
        <v>51</v>
      </c>
      <c r="B61" s="89"/>
    </row>
    <row r="62" spans="1:2" x14ac:dyDescent="0.25">
      <c r="A62" s="90"/>
      <c r="B62" s="91"/>
    </row>
    <row r="63" spans="1:2" ht="15.75" x14ac:dyDescent="0.25">
      <c r="A63" s="72" t="s">
        <v>54</v>
      </c>
      <c r="B63" s="89"/>
    </row>
    <row r="64" spans="1:2" x14ac:dyDescent="0.25">
      <c r="A64" s="90"/>
      <c r="B64" s="91"/>
    </row>
    <row r="65" spans="1:2" ht="15.75" x14ac:dyDescent="0.25">
      <c r="A65" s="72" t="s">
        <v>55</v>
      </c>
      <c r="B65" s="89"/>
    </row>
    <row r="66" spans="1:2" x14ac:dyDescent="0.25">
      <c r="A66" s="90"/>
      <c r="B66" s="91"/>
    </row>
    <row r="67" spans="1:2" ht="15.75" x14ac:dyDescent="0.25">
      <c r="A67" s="92" t="s">
        <v>15</v>
      </c>
      <c r="B67" s="93"/>
    </row>
  </sheetData>
  <mergeCells count="23">
    <mergeCell ref="A60:B60"/>
    <mergeCell ref="A62:B62"/>
    <mergeCell ref="A64:B64"/>
    <mergeCell ref="A66:B66"/>
    <mergeCell ref="A39:B39"/>
    <mergeCell ref="A46:B46"/>
    <mergeCell ref="A52:B52"/>
    <mergeCell ref="A58:B58"/>
    <mergeCell ref="A7:A8"/>
    <mergeCell ref="A9:B9"/>
    <mergeCell ref="A12:A13"/>
    <mergeCell ref="B12:B13"/>
    <mergeCell ref="A14:B14"/>
    <mergeCell ref="A2:B2"/>
    <mergeCell ref="A3:B3"/>
    <mergeCell ref="B7:B8"/>
    <mergeCell ref="A19:B19"/>
    <mergeCell ref="A28:A29"/>
    <mergeCell ref="B28:B29"/>
    <mergeCell ref="B44:B45"/>
    <mergeCell ref="B50:B51"/>
    <mergeCell ref="A54:B54"/>
    <mergeCell ref="A56:B56"/>
  </mergeCells>
  <conditionalFormatting sqref="B20:B24">
    <cfRule type="top10" dxfId="17" priority="1" percent="1" bottom="1" rank="10"/>
    <cfRule type="top10" dxfId="16" priority="2" percent="1" rank="10"/>
  </conditionalFormatting>
  <hyperlinks>
    <hyperlink ref="B1" location="Inhoud!A1" tooltip="Klik hier om terug te gaan naar de inhoudsopgave" display="Terug naar Inhoud" xr:uid="{5577886D-8968-4FC3-9152-23894377586C}"/>
    <hyperlink ref="A19:B19" location="Score!A1" tooltip="Klik om naar tabblad &quot;score&quot; te gaan." display="Oefening 4" xr:uid="{64C075C9-A24E-46DF-8E25-7A2B0EBFEC3B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9467-0CD0-40BE-B462-9B1BECE5F886}">
  <dimension ref="A1:B60"/>
  <sheetViews>
    <sheetView topLeftCell="A22" zoomScale="160" zoomScaleNormal="160" workbookViewId="0">
      <selection activeCell="B17" sqref="B17"/>
    </sheetView>
  </sheetViews>
  <sheetFormatPr defaultColWidth="9.140625" defaultRowHeight="15" x14ac:dyDescent="0.25"/>
  <cols>
    <col min="1" max="1" width="32.140625" style="1" customWidth="1"/>
    <col min="2" max="2" width="53.28515625" style="24" customWidth="1"/>
    <col min="3" max="16384" width="9.140625" style="1"/>
  </cols>
  <sheetData>
    <row r="1" spans="1:2" ht="75.75" customHeight="1" x14ac:dyDescent="0.25">
      <c r="A1" s="16"/>
      <c r="B1" s="23" t="s">
        <v>20</v>
      </c>
    </row>
    <row r="2" spans="1:2" ht="24" x14ac:dyDescent="0.25">
      <c r="A2" s="39" t="s">
        <v>56</v>
      </c>
      <c r="B2" s="40"/>
    </row>
    <row r="3" spans="1:2" ht="15.75" x14ac:dyDescent="0.25">
      <c r="A3" s="41" t="s">
        <v>23</v>
      </c>
      <c r="B3" s="42"/>
    </row>
    <row r="4" spans="1:2" ht="15.75" x14ac:dyDescent="0.25">
      <c r="A4" s="27" t="s">
        <v>29</v>
      </c>
      <c r="B4" s="125"/>
    </row>
    <row r="5" spans="1:2" ht="15.75" x14ac:dyDescent="0.25">
      <c r="A5" s="41" t="s">
        <v>28</v>
      </c>
      <c r="B5" s="42"/>
    </row>
    <row r="6" spans="1:2" ht="15.75" x14ac:dyDescent="0.25">
      <c r="A6" s="28" t="s">
        <v>31</v>
      </c>
      <c r="B6" s="125"/>
    </row>
    <row r="7" spans="1:2" ht="15.75" x14ac:dyDescent="0.25">
      <c r="A7" s="29" t="s">
        <v>32</v>
      </c>
      <c r="B7" s="125"/>
    </row>
    <row r="8" spans="1:2" ht="15.75" x14ac:dyDescent="0.25">
      <c r="A8" s="29" t="s">
        <v>33</v>
      </c>
      <c r="B8" s="125"/>
    </row>
    <row r="9" spans="1:2" ht="15.75" x14ac:dyDescent="0.25">
      <c r="A9" s="30" t="s">
        <v>34</v>
      </c>
      <c r="B9" s="126">
        <f>ROUND((SUM(B6:B8)/3),1)</f>
        <v>0</v>
      </c>
    </row>
    <row r="10" spans="1:2" ht="15.75" x14ac:dyDescent="0.25">
      <c r="A10" s="41" t="s">
        <v>30</v>
      </c>
      <c r="B10" s="42"/>
    </row>
    <row r="11" spans="1:2" ht="15.75" x14ac:dyDescent="0.25">
      <c r="A11" s="20" t="s">
        <v>31</v>
      </c>
      <c r="B11" s="94">
        <f>Score!B25</f>
        <v>0</v>
      </c>
    </row>
    <row r="12" spans="1:2" ht="15.75" x14ac:dyDescent="0.25">
      <c r="A12" s="17" t="s">
        <v>32</v>
      </c>
      <c r="B12" s="95">
        <f>Score!D25</f>
        <v>0</v>
      </c>
    </row>
    <row r="13" spans="1:2" ht="15.75" x14ac:dyDescent="0.25">
      <c r="A13" s="17" t="s">
        <v>33</v>
      </c>
      <c r="B13" s="95">
        <f>Score!F25</f>
        <v>0</v>
      </c>
    </row>
    <row r="14" spans="1:2" ht="15.75" x14ac:dyDescent="0.25">
      <c r="A14" s="17" t="s">
        <v>37</v>
      </c>
      <c r="B14" s="95">
        <f>Score!H25</f>
        <v>0</v>
      </c>
    </row>
    <row r="15" spans="1:2" ht="15.75" x14ac:dyDescent="0.25">
      <c r="A15" s="17" t="s">
        <v>38</v>
      </c>
      <c r="B15" s="95">
        <f>Score!J25</f>
        <v>0</v>
      </c>
    </row>
    <row r="16" spans="1:2" ht="15.75" x14ac:dyDescent="0.25">
      <c r="A16" s="17" t="s">
        <v>68</v>
      </c>
      <c r="B16" s="95">
        <f>ROUND(Score!M19,1)</f>
        <v>0</v>
      </c>
    </row>
    <row r="17" spans="1:2" ht="15.75" x14ac:dyDescent="0.25">
      <c r="A17" s="17" t="s">
        <v>0</v>
      </c>
      <c r="B17" s="46"/>
    </row>
    <row r="18" spans="1:2" ht="15.75" x14ac:dyDescent="0.25">
      <c r="A18" s="41" t="s">
        <v>36</v>
      </c>
      <c r="B18" s="42"/>
    </row>
    <row r="19" spans="1:2" ht="15.75" x14ac:dyDescent="0.25">
      <c r="A19" s="25" t="s">
        <v>58</v>
      </c>
      <c r="B19" s="122"/>
    </row>
    <row r="20" spans="1:2" ht="15.75" x14ac:dyDescent="0.25">
      <c r="A20" s="25" t="s">
        <v>59</v>
      </c>
      <c r="B20" s="122"/>
    </row>
    <row r="21" spans="1:2" ht="15.75" x14ac:dyDescent="0.25">
      <c r="A21" s="41" t="s">
        <v>43</v>
      </c>
      <c r="B21" s="42"/>
    </row>
    <row r="22" spans="1:2" ht="15.4" customHeight="1" x14ac:dyDescent="0.25">
      <c r="A22" s="25" t="s">
        <v>60</v>
      </c>
      <c r="B22" s="55"/>
    </row>
    <row r="23" spans="1:2" ht="15.4" customHeight="1" x14ac:dyDescent="0.25">
      <c r="A23" s="25" t="s">
        <v>61</v>
      </c>
      <c r="B23" s="55"/>
    </row>
    <row r="24" spans="1:2" ht="15.4" customHeight="1" x14ac:dyDescent="0.25">
      <c r="A24" s="25" t="s">
        <v>62</v>
      </c>
      <c r="B24" s="55"/>
    </row>
    <row r="25" spans="1:2" ht="15.4" customHeight="1" x14ac:dyDescent="0.25">
      <c r="A25" s="25" t="s">
        <v>63</v>
      </c>
      <c r="B25" s="55"/>
    </row>
    <row r="26" spans="1:2" ht="15.4" customHeight="1" x14ac:dyDescent="0.25">
      <c r="A26" s="25" t="s">
        <v>64</v>
      </c>
      <c r="B26" s="55"/>
    </row>
    <row r="27" spans="1:2" ht="15.75" x14ac:dyDescent="0.25">
      <c r="A27" s="25" t="s">
        <v>69</v>
      </c>
      <c r="B27" s="55"/>
    </row>
    <row r="28" spans="1:2" ht="15.75" x14ac:dyDescent="0.25">
      <c r="A28" s="25" t="s">
        <v>34</v>
      </c>
      <c r="B28" s="53">
        <f>ROUND((SUM(B22:B27)-MIN(B22:B27)-MAX(B22:B27))/4,1)</f>
        <v>0</v>
      </c>
    </row>
    <row r="29" spans="1:2" ht="14.25" customHeight="1" x14ac:dyDescent="0.25">
      <c r="A29" s="43" t="s">
        <v>70</v>
      </c>
      <c r="B29" s="54" t="s">
        <v>71</v>
      </c>
    </row>
    <row r="30" spans="1:2" ht="14.25" customHeight="1" x14ac:dyDescent="0.25">
      <c r="A30" s="44"/>
      <c r="B30" s="123" t="s">
        <v>72</v>
      </c>
    </row>
    <row r="31" spans="1:2" ht="14.25" customHeight="1" x14ac:dyDescent="0.25">
      <c r="A31" s="41" t="s">
        <v>46</v>
      </c>
      <c r="B31" s="42"/>
    </row>
    <row r="32" spans="1:2" ht="15.75" x14ac:dyDescent="0.25">
      <c r="A32" s="25" t="s">
        <v>70</v>
      </c>
      <c r="B32" s="124"/>
    </row>
    <row r="43" spans="1:2" ht="15.75" x14ac:dyDescent="0.25">
      <c r="A43" s="41" t="s">
        <v>98</v>
      </c>
      <c r="B43" s="42"/>
    </row>
    <row r="44" spans="1:2" ht="15.75" x14ac:dyDescent="0.25">
      <c r="A44" s="25" t="s">
        <v>73</v>
      </c>
      <c r="B44" s="26"/>
    </row>
    <row r="45" spans="1:2" x14ac:dyDescent="0.25">
      <c r="A45" s="56"/>
      <c r="B45" s="57"/>
    </row>
    <row r="46" spans="1:2" ht="15.75" x14ac:dyDescent="0.25">
      <c r="A46" s="25" t="s">
        <v>74</v>
      </c>
      <c r="B46" s="26"/>
    </row>
    <row r="47" spans="1:2" x14ac:dyDescent="0.25">
      <c r="A47" s="56"/>
      <c r="B47" s="57"/>
    </row>
    <row r="48" spans="1:2" ht="15.75" x14ac:dyDescent="0.25">
      <c r="A48" s="25" t="s">
        <v>75</v>
      </c>
      <c r="B48" s="26"/>
    </row>
    <row r="49" spans="1:2" x14ac:dyDescent="0.25">
      <c r="A49" s="56"/>
      <c r="B49" s="57"/>
    </row>
    <row r="50" spans="1:2" ht="15.75" x14ac:dyDescent="0.25">
      <c r="A50" s="25" t="s">
        <v>76</v>
      </c>
      <c r="B50" s="26"/>
    </row>
    <row r="51" spans="1:2" x14ac:dyDescent="0.25">
      <c r="A51" s="56"/>
      <c r="B51" s="57"/>
    </row>
    <row r="52" spans="1:2" ht="15.75" x14ac:dyDescent="0.25">
      <c r="A52" s="25" t="s">
        <v>77</v>
      </c>
      <c r="B52" s="26"/>
    </row>
    <row r="53" spans="1:2" x14ac:dyDescent="0.25">
      <c r="A53" s="58"/>
      <c r="B53" s="60"/>
    </row>
    <row r="54" spans="1:2" ht="15.75" x14ac:dyDescent="0.25">
      <c r="A54" s="25" t="s">
        <v>78</v>
      </c>
      <c r="B54" s="26"/>
    </row>
    <row r="55" spans="1:2" x14ac:dyDescent="0.25">
      <c r="A55" s="58"/>
      <c r="B55" s="60"/>
    </row>
    <row r="56" spans="1:2" ht="15.75" x14ac:dyDescent="0.25">
      <c r="A56" s="61" t="s">
        <v>79</v>
      </c>
      <c r="B56" s="62"/>
    </row>
    <row r="57" spans="1:2" x14ac:dyDescent="0.25">
      <c r="A57" s="58"/>
      <c r="B57" s="59"/>
    </row>
    <row r="58" spans="1:2" ht="15.75" x14ac:dyDescent="0.25">
      <c r="A58" s="25" t="s">
        <v>80</v>
      </c>
      <c r="B58" s="26"/>
    </row>
    <row r="59" spans="1:2" x14ac:dyDescent="0.25">
      <c r="A59" s="58"/>
      <c r="B59" s="60"/>
    </row>
    <row r="60" spans="1:2" ht="15.75" x14ac:dyDescent="0.25">
      <c r="A60" s="21" t="s">
        <v>15</v>
      </c>
      <c r="B60" s="22"/>
    </row>
  </sheetData>
  <mergeCells count="13">
    <mergeCell ref="A2:B2"/>
    <mergeCell ref="A3:B3"/>
    <mergeCell ref="A31:B31"/>
    <mergeCell ref="A21:B21"/>
    <mergeCell ref="A29:A30"/>
    <mergeCell ref="A43:B43"/>
    <mergeCell ref="A5:B5"/>
    <mergeCell ref="A10:B10"/>
    <mergeCell ref="A18:B18"/>
    <mergeCell ref="A45:B45"/>
    <mergeCell ref="A47:B47"/>
    <mergeCell ref="A49:B49"/>
    <mergeCell ref="A51:B51"/>
  </mergeCells>
  <conditionalFormatting sqref="B11:B15">
    <cfRule type="top10" dxfId="15" priority="5" percent="1" bottom="1" rank="10"/>
    <cfRule type="top10" dxfId="14" priority="6" percent="1" rank="10"/>
  </conditionalFormatting>
  <conditionalFormatting sqref="B22:B27">
    <cfRule type="top10" dxfId="13" priority="3" percent="1" bottom="1" rank="10"/>
    <cfRule type="top10" dxfId="12" priority="4" percent="1" rank="10"/>
  </conditionalFormatting>
  <conditionalFormatting sqref="B32">
    <cfRule type="top10" dxfId="11" priority="1" percent="1" bottom="1" rank="10"/>
    <cfRule type="top10" dxfId="10" priority="2" percent="1" rank="10"/>
  </conditionalFormatting>
  <hyperlinks>
    <hyperlink ref="B1" location="Inhoud!A1" tooltip="Klik hier om terug te gaan naar de inhoudsopgave" display="Terug naar Inhoud" xr:uid="{EACBE941-2FEA-469E-98DC-DC7D3A0F2364}"/>
    <hyperlink ref="A10:B10" location="Score!A1" tooltip="Klik om naar tabblad &quot;score&quot; te gaan." display="Oefening 4" xr:uid="{14CC123A-C7D9-4712-8736-FABA096640CB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E27D-D2F3-4311-9D1F-BA649025BD54}">
  <dimension ref="A1:B57"/>
  <sheetViews>
    <sheetView topLeftCell="A5" zoomScale="145" zoomScaleNormal="145" workbookViewId="0">
      <selection activeCell="B29" sqref="B29"/>
    </sheetView>
  </sheetViews>
  <sheetFormatPr defaultColWidth="9.140625" defaultRowHeight="15" x14ac:dyDescent="0.25"/>
  <cols>
    <col min="1" max="1" width="44" style="1" customWidth="1"/>
    <col min="2" max="2" width="37.5703125" style="24" customWidth="1"/>
    <col min="3" max="16384" width="9.140625" style="1"/>
  </cols>
  <sheetData>
    <row r="1" spans="1:2" ht="75.75" customHeight="1" x14ac:dyDescent="0.25">
      <c r="A1" s="67"/>
      <c r="B1" s="68" t="s">
        <v>20</v>
      </c>
    </row>
    <row r="2" spans="1:2" ht="24" x14ac:dyDescent="0.25">
      <c r="A2" s="69" t="s">
        <v>81</v>
      </c>
      <c r="B2" s="70"/>
    </row>
    <row r="3" spans="1:2" ht="15.75" x14ac:dyDescent="0.25">
      <c r="A3" s="41" t="s">
        <v>23</v>
      </c>
      <c r="B3" s="42"/>
    </row>
    <row r="4" spans="1:2" ht="15.75" x14ac:dyDescent="0.25">
      <c r="A4" s="71" t="s">
        <v>82</v>
      </c>
      <c r="B4" s="65"/>
    </row>
    <row r="5" spans="1:2" ht="15.75" x14ac:dyDescent="0.25">
      <c r="A5" s="71" t="s">
        <v>83</v>
      </c>
      <c r="B5" s="65"/>
    </row>
    <row r="6" spans="1:2" ht="15.75" x14ac:dyDescent="0.25">
      <c r="A6" s="71" t="s">
        <v>84</v>
      </c>
      <c r="B6" s="65"/>
    </row>
    <row r="7" spans="1:2" ht="15.75" x14ac:dyDescent="0.25">
      <c r="A7" s="71" t="s">
        <v>85</v>
      </c>
      <c r="B7" s="65"/>
    </row>
    <row r="8" spans="1:2" ht="15.75" x14ac:dyDescent="0.25">
      <c r="A8" s="71" t="s">
        <v>86</v>
      </c>
      <c r="B8" s="65"/>
    </row>
    <row r="9" spans="1:2" ht="15.75" x14ac:dyDescent="0.25">
      <c r="A9" s="71" t="s">
        <v>87</v>
      </c>
      <c r="B9" s="65"/>
    </row>
    <row r="10" spans="1:2" ht="15.75" x14ac:dyDescent="0.25">
      <c r="A10" s="71" t="s">
        <v>88</v>
      </c>
      <c r="B10" s="65"/>
    </row>
    <row r="11" spans="1:2" ht="15.75" x14ac:dyDescent="0.25">
      <c r="A11" s="71" t="s">
        <v>89</v>
      </c>
      <c r="B11" s="65"/>
    </row>
    <row r="12" spans="1:2" ht="15.75" x14ac:dyDescent="0.25">
      <c r="A12" s="71" t="s">
        <v>90</v>
      </c>
      <c r="B12" s="65"/>
    </row>
    <row r="13" spans="1:2" ht="15.75" x14ac:dyDescent="0.25">
      <c r="A13" s="71" t="s">
        <v>34</v>
      </c>
      <c r="B13" s="99">
        <f>ROUND((SUM(B4:B12)-MIN(B4:B12)-MAX(B4:B12))/9,1)</f>
        <v>0</v>
      </c>
    </row>
    <row r="14" spans="1:2" ht="15.75" x14ac:dyDescent="0.25">
      <c r="A14" s="41" t="s">
        <v>28</v>
      </c>
      <c r="B14" s="42"/>
    </row>
    <row r="15" spans="1:2" ht="15.75" x14ac:dyDescent="0.25">
      <c r="A15" s="28" t="s">
        <v>91</v>
      </c>
      <c r="B15" s="65"/>
    </row>
    <row r="16" spans="1:2" ht="15.75" x14ac:dyDescent="0.25">
      <c r="A16" s="41" t="s">
        <v>30</v>
      </c>
      <c r="B16" s="42"/>
    </row>
    <row r="17" spans="1:2" ht="15" customHeight="1" x14ac:dyDescent="0.25">
      <c r="A17" s="72" t="s">
        <v>44</v>
      </c>
      <c r="B17" s="127"/>
    </row>
    <row r="18" spans="1:2" ht="15.75" x14ac:dyDescent="0.25">
      <c r="A18" s="72" t="s">
        <v>45</v>
      </c>
      <c r="B18" s="127"/>
    </row>
    <row r="19" spans="1:2" ht="15.75" x14ac:dyDescent="0.25">
      <c r="A19" s="72" t="s">
        <v>93</v>
      </c>
      <c r="B19" s="127"/>
    </row>
    <row r="20" spans="1:2" x14ac:dyDescent="0.25">
      <c r="A20" s="96" t="s">
        <v>36</v>
      </c>
      <c r="B20" s="97"/>
    </row>
    <row r="21" spans="1:2" ht="15.75" x14ac:dyDescent="0.25">
      <c r="A21" s="29" t="s">
        <v>31</v>
      </c>
      <c r="B21" s="100">
        <f>Score!B38</f>
        <v>0</v>
      </c>
    </row>
    <row r="22" spans="1:2" ht="15.75" x14ac:dyDescent="0.25">
      <c r="A22" s="82" t="s">
        <v>32</v>
      </c>
      <c r="B22" s="101">
        <f>Score!D38</f>
        <v>0</v>
      </c>
    </row>
    <row r="23" spans="1:2" ht="15.75" x14ac:dyDescent="0.25">
      <c r="A23" s="82" t="s">
        <v>33</v>
      </c>
      <c r="B23" s="101">
        <f>Score!F38</f>
        <v>0</v>
      </c>
    </row>
    <row r="24" spans="1:2" ht="15.75" x14ac:dyDescent="0.25">
      <c r="A24" s="82" t="s">
        <v>37</v>
      </c>
      <c r="B24" s="101">
        <f>Score!H38</f>
        <v>0</v>
      </c>
    </row>
    <row r="25" spans="1:2" ht="15.75" x14ac:dyDescent="0.25">
      <c r="A25" s="82" t="s">
        <v>38</v>
      </c>
      <c r="B25" s="101">
        <f>Score!J38</f>
        <v>0</v>
      </c>
    </row>
    <row r="26" spans="1:2" ht="15.75" x14ac:dyDescent="0.25">
      <c r="A26" s="82" t="s">
        <v>68</v>
      </c>
      <c r="B26" s="101">
        <f>ROUND(Score!M32,1)</f>
        <v>0</v>
      </c>
    </row>
    <row r="27" spans="1:2" ht="15.75" x14ac:dyDescent="0.25">
      <c r="A27" s="82" t="s">
        <v>0</v>
      </c>
      <c r="B27" s="84"/>
    </row>
    <row r="28" spans="1:2" ht="15.75" x14ac:dyDescent="0.25">
      <c r="A28" s="41" t="s">
        <v>43</v>
      </c>
      <c r="B28" s="42"/>
    </row>
    <row r="29" spans="1:2" ht="15.4" customHeight="1" x14ac:dyDescent="0.25">
      <c r="A29" s="72" t="s">
        <v>95</v>
      </c>
      <c r="B29" s="128"/>
    </row>
    <row r="30" spans="1:2" ht="14.25" customHeight="1" x14ac:dyDescent="0.25">
      <c r="A30" s="41" t="s">
        <v>46</v>
      </c>
      <c r="B30" s="42"/>
    </row>
    <row r="31" spans="1:2" ht="15.75" x14ac:dyDescent="0.25">
      <c r="A31" s="103" t="s">
        <v>96</v>
      </c>
      <c r="B31" s="104"/>
    </row>
    <row r="43" spans="1:2" ht="15.75" x14ac:dyDescent="0.25">
      <c r="A43" s="41" t="s">
        <v>97</v>
      </c>
      <c r="B43" s="42"/>
    </row>
    <row r="44" spans="1:2" ht="15.75" x14ac:dyDescent="0.25">
      <c r="A44" s="72" t="s">
        <v>103</v>
      </c>
      <c r="B44" s="89"/>
    </row>
    <row r="45" spans="1:2" x14ac:dyDescent="0.25">
      <c r="A45" s="105"/>
      <c r="B45" s="106"/>
    </row>
    <row r="46" spans="1:2" ht="15.75" x14ac:dyDescent="0.25">
      <c r="A46" s="72" t="s">
        <v>102</v>
      </c>
      <c r="B46" s="89"/>
    </row>
    <row r="47" spans="1:2" x14ac:dyDescent="0.25">
      <c r="A47" s="105"/>
      <c r="B47" s="106"/>
    </row>
    <row r="48" spans="1:2" ht="15.75" x14ac:dyDescent="0.25">
      <c r="A48" s="72" t="s">
        <v>105</v>
      </c>
      <c r="B48" s="89"/>
    </row>
    <row r="49" spans="1:2" x14ac:dyDescent="0.25">
      <c r="A49" s="105"/>
      <c r="B49" s="106"/>
    </row>
    <row r="50" spans="1:2" ht="15.75" x14ac:dyDescent="0.25">
      <c r="A50" s="72" t="s">
        <v>104</v>
      </c>
      <c r="B50" s="89"/>
    </row>
    <row r="51" spans="1:2" x14ac:dyDescent="0.25">
      <c r="A51" s="105"/>
      <c r="B51" s="106"/>
    </row>
    <row r="52" spans="1:2" ht="15.75" x14ac:dyDescent="0.25">
      <c r="A52" s="72" t="s">
        <v>106</v>
      </c>
      <c r="B52" s="89"/>
    </row>
    <row r="53" spans="1:2" x14ac:dyDescent="0.25">
      <c r="A53" s="107"/>
      <c r="B53" s="108"/>
    </row>
    <row r="54" spans="1:2" ht="15.75" x14ac:dyDescent="0.25">
      <c r="A54" s="72" t="s">
        <v>78</v>
      </c>
      <c r="B54" s="89"/>
    </row>
    <row r="55" spans="1:2" x14ac:dyDescent="0.25">
      <c r="A55" s="107"/>
      <c r="B55" s="108"/>
    </row>
    <row r="56" spans="1:2" x14ac:dyDescent="0.25">
      <c r="A56" s="109"/>
      <c r="B56" s="110"/>
    </row>
    <row r="57" spans="1:2" ht="15.75" x14ac:dyDescent="0.25">
      <c r="A57" s="92" t="s">
        <v>15</v>
      </c>
      <c r="B57" s="93"/>
    </row>
  </sheetData>
  <mergeCells count="12">
    <mergeCell ref="A51:B51"/>
    <mergeCell ref="A30:B30"/>
    <mergeCell ref="A43:B43"/>
    <mergeCell ref="A45:B45"/>
    <mergeCell ref="A47:B47"/>
    <mergeCell ref="A49:B49"/>
    <mergeCell ref="A2:B2"/>
    <mergeCell ref="A3:B3"/>
    <mergeCell ref="A14:B14"/>
    <mergeCell ref="A16:B16"/>
    <mergeCell ref="A20:B20"/>
    <mergeCell ref="A28:B28"/>
  </mergeCells>
  <conditionalFormatting sqref="B31">
    <cfRule type="top10" dxfId="9" priority="3" percent="1" bottom="1" rank="10"/>
    <cfRule type="top10" dxfId="8" priority="4" percent="1" rank="10"/>
  </conditionalFormatting>
  <conditionalFormatting sqref="B21:B25">
    <cfRule type="top10" dxfId="7" priority="1" percent="1" bottom="1" rank="10"/>
    <cfRule type="top10" dxfId="6" priority="2" percent="1" rank="10"/>
  </conditionalFormatting>
  <conditionalFormatting sqref="B29">
    <cfRule type="top10" dxfId="5" priority="7" percent="1" bottom="1" rank="10"/>
    <cfRule type="top10" dxfId="4" priority="8" percent="1" rank="10"/>
  </conditionalFormatting>
  <hyperlinks>
    <hyperlink ref="B1" location="Inhoud!A1" tooltip="Klik hier om terug te gaan naar de inhoudsopgave" display="Terug naar Inhoud" xr:uid="{58666339-CFB3-4FD2-AB0F-65DF2E791347}"/>
    <hyperlink ref="A16:B16" location="Score!A1" tooltip="Klik om naar tabblad &quot;score&quot; te gaan." display="Oefening 4" xr:uid="{A032694A-F7CC-4959-8070-D7B4DEB29EC9}"/>
    <hyperlink ref="A20:B20" location="Score!A1" tooltip="Klik om naar het tabblad &quot;score&quot; te gaan" display="Oefening 4" xr:uid="{4024B2A9-9786-4128-A411-CD30673C3D72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2C22-435F-4D88-9536-122FAA10E563}">
  <dimension ref="A1:B45"/>
  <sheetViews>
    <sheetView zoomScale="145" zoomScaleNormal="145" workbookViewId="0">
      <selection activeCell="B1" sqref="B1"/>
    </sheetView>
  </sheetViews>
  <sheetFormatPr defaultColWidth="9.140625" defaultRowHeight="15" x14ac:dyDescent="0.25"/>
  <cols>
    <col min="1" max="1" width="44" style="1" customWidth="1"/>
    <col min="2" max="2" width="37.5703125" style="24" customWidth="1"/>
    <col min="3" max="16384" width="9.140625" style="1"/>
  </cols>
  <sheetData>
    <row r="1" spans="1:2" ht="75.75" customHeight="1" x14ac:dyDescent="0.25">
      <c r="A1" s="67"/>
      <c r="B1" s="68" t="s">
        <v>20</v>
      </c>
    </row>
    <row r="2" spans="1:2" ht="24" x14ac:dyDescent="0.25">
      <c r="A2" s="69" t="s">
        <v>107</v>
      </c>
      <c r="B2" s="70"/>
    </row>
    <row r="3" spans="1:2" ht="15.75" x14ac:dyDescent="0.25">
      <c r="A3" s="41" t="s">
        <v>23</v>
      </c>
      <c r="B3" s="42"/>
    </row>
    <row r="4" spans="1:2" ht="15.75" x14ac:dyDescent="0.25">
      <c r="A4" s="71" t="s">
        <v>108</v>
      </c>
      <c r="B4" s="98" t="s">
        <v>114</v>
      </c>
    </row>
    <row r="5" spans="1:2" ht="15.75" x14ac:dyDescent="0.25">
      <c r="A5" s="71" t="s">
        <v>109</v>
      </c>
      <c r="B5" s="98"/>
    </row>
    <row r="6" spans="1:2" ht="15.75" x14ac:dyDescent="0.25">
      <c r="A6" s="71" t="s">
        <v>110</v>
      </c>
      <c r="B6" s="98" t="s">
        <v>114</v>
      </c>
    </row>
    <row r="7" spans="1:2" ht="15.75" x14ac:dyDescent="0.25">
      <c r="A7" s="71" t="s">
        <v>111</v>
      </c>
      <c r="B7" s="98"/>
    </row>
    <row r="8" spans="1:2" ht="15.75" x14ac:dyDescent="0.25">
      <c r="A8" s="71" t="s">
        <v>112</v>
      </c>
      <c r="B8" s="98" t="s">
        <v>114</v>
      </c>
    </row>
    <row r="9" spans="1:2" ht="15.75" x14ac:dyDescent="0.25">
      <c r="A9" s="71" t="s">
        <v>113</v>
      </c>
      <c r="B9" s="98"/>
    </row>
    <row r="10" spans="1:2" ht="15.75" x14ac:dyDescent="0.25">
      <c r="A10" s="71" t="s">
        <v>115</v>
      </c>
      <c r="B10" s="98" t="s">
        <v>114</v>
      </c>
    </row>
    <row r="11" spans="1:2" ht="15.75" x14ac:dyDescent="0.25">
      <c r="A11" s="71" t="s">
        <v>116</v>
      </c>
      <c r="B11" s="98"/>
    </row>
    <row r="12" spans="1:2" ht="15.75" x14ac:dyDescent="0.25">
      <c r="A12" s="71" t="s">
        <v>117</v>
      </c>
      <c r="B12" s="98" t="s">
        <v>114</v>
      </c>
    </row>
    <row r="13" spans="1:2" ht="15.75" x14ac:dyDescent="0.25">
      <c r="A13" s="71" t="s">
        <v>118</v>
      </c>
      <c r="B13" s="98"/>
    </row>
    <row r="14" spans="1:2" x14ac:dyDescent="0.25">
      <c r="A14" s="96" t="s">
        <v>28</v>
      </c>
      <c r="B14" s="97"/>
    </row>
    <row r="15" spans="1:2" ht="15.75" x14ac:dyDescent="0.25">
      <c r="A15" s="29" t="s">
        <v>31</v>
      </c>
      <c r="B15" s="100">
        <f>Score!B38</f>
        <v>0</v>
      </c>
    </row>
    <row r="16" spans="1:2" ht="15.75" x14ac:dyDescent="0.25">
      <c r="A16" s="82" t="s">
        <v>32</v>
      </c>
      <c r="B16" s="101">
        <f>Score!D38</f>
        <v>0</v>
      </c>
    </row>
    <row r="17" spans="1:2" ht="15.75" x14ac:dyDescent="0.25">
      <c r="A17" s="82" t="s">
        <v>33</v>
      </c>
      <c r="B17" s="101">
        <f>Score!F38</f>
        <v>0</v>
      </c>
    </row>
    <row r="18" spans="1:2" ht="15.75" x14ac:dyDescent="0.25">
      <c r="A18" s="82" t="s">
        <v>37</v>
      </c>
      <c r="B18" s="101">
        <f>Score!H38</f>
        <v>0</v>
      </c>
    </row>
    <row r="19" spans="1:2" ht="15.75" x14ac:dyDescent="0.25">
      <c r="A19" s="82" t="s">
        <v>38</v>
      </c>
      <c r="B19" s="101">
        <f>Score!J38</f>
        <v>0</v>
      </c>
    </row>
    <row r="20" spans="1:2" ht="15.75" x14ac:dyDescent="0.25">
      <c r="A20" s="82" t="s">
        <v>68</v>
      </c>
      <c r="B20" s="101">
        <f>ROUND(Score!M32,1)</f>
        <v>0</v>
      </c>
    </row>
    <row r="21" spans="1:2" ht="15.75" x14ac:dyDescent="0.25">
      <c r="A21" s="82" t="s">
        <v>0</v>
      </c>
      <c r="B21" s="84"/>
    </row>
    <row r="22" spans="1:2" ht="15.75" x14ac:dyDescent="0.25">
      <c r="A22" s="41" t="s">
        <v>30</v>
      </c>
      <c r="B22" s="42"/>
    </row>
    <row r="23" spans="1:2" ht="15.4" customHeight="1" x14ac:dyDescent="0.25">
      <c r="A23" s="72" t="s">
        <v>119</v>
      </c>
      <c r="B23" s="102"/>
    </row>
    <row r="24" spans="1:2" ht="15.4" customHeight="1" x14ac:dyDescent="0.25">
      <c r="A24" s="72" t="s">
        <v>120</v>
      </c>
      <c r="B24" s="102"/>
    </row>
    <row r="36" spans="1:2" ht="15.75" x14ac:dyDescent="0.25">
      <c r="A36" s="41" t="s">
        <v>121</v>
      </c>
      <c r="B36" s="42"/>
    </row>
    <row r="37" spans="1:2" ht="15.75" x14ac:dyDescent="0.25">
      <c r="A37" s="72" t="s">
        <v>123</v>
      </c>
      <c r="B37" s="89"/>
    </row>
    <row r="38" spans="1:2" x14ac:dyDescent="0.25">
      <c r="A38" s="105"/>
      <c r="B38" s="106"/>
    </row>
    <row r="39" spans="1:2" ht="15.75" x14ac:dyDescent="0.25">
      <c r="A39" s="72" t="s">
        <v>122</v>
      </c>
      <c r="B39" s="89"/>
    </row>
    <row r="40" spans="1:2" x14ac:dyDescent="0.25">
      <c r="A40" s="105"/>
      <c r="B40" s="106"/>
    </row>
    <row r="41" spans="1:2" ht="15.75" x14ac:dyDescent="0.25">
      <c r="A41" s="72" t="s">
        <v>124</v>
      </c>
      <c r="B41" s="89"/>
    </row>
    <row r="42" spans="1:2" x14ac:dyDescent="0.25">
      <c r="A42" s="105"/>
      <c r="B42" s="106"/>
    </row>
    <row r="43" spans="1:2" ht="15.75" x14ac:dyDescent="0.25">
      <c r="A43" s="72" t="s">
        <v>125</v>
      </c>
      <c r="B43" s="89"/>
    </row>
    <row r="44" spans="1:2" x14ac:dyDescent="0.25">
      <c r="A44" s="105"/>
      <c r="B44" s="106"/>
    </row>
    <row r="45" spans="1:2" ht="15.75" x14ac:dyDescent="0.25">
      <c r="A45" s="92" t="s">
        <v>15</v>
      </c>
      <c r="B45" s="93"/>
    </row>
  </sheetData>
  <mergeCells count="9">
    <mergeCell ref="A36:B36"/>
    <mergeCell ref="A38:B38"/>
    <mergeCell ref="A40:B40"/>
    <mergeCell ref="A42:B42"/>
    <mergeCell ref="A44:B44"/>
    <mergeCell ref="A2:B2"/>
    <mergeCell ref="A3:B3"/>
    <mergeCell ref="A14:B14"/>
    <mergeCell ref="A22:B22"/>
  </mergeCells>
  <conditionalFormatting sqref="B15:B19">
    <cfRule type="top10" dxfId="3" priority="1" percent="1" bottom="1" rank="10"/>
    <cfRule type="top10" dxfId="2" priority="2" percent="1" rank="10"/>
  </conditionalFormatting>
  <conditionalFormatting sqref="B23:B24">
    <cfRule type="top10" dxfId="1" priority="5" percent="1" bottom="1" rank="10"/>
    <cfRule type="top10" dxfId="0" priority="6" percent="1" rank="10"/>
  </conditionalFormatting>
  <hyperlinks>
    <hyperlink ref="B1" location="Inhoud!A1" tooltip="Klik hier om terug te gaan naar de inhoudsopgave" display="Terug naar Inhoud" xr:uid="{0053D34B-7C5F-4846-A1BB-49B3EB831530}"/>
    <hyperlink ref="A14:B14" location="Score!A1" tooltip="Klik om naar het tabblad &quot;score&quot; te gaan" display="Oefening 4" xr:uid="{C7B1C684-F4DE-40C4-9CA5-C95AFB21F52C}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E22F-958B-4C50-B18E-A27CB3C2D4A7}">
  <dimension ref="A1:AB67"/>
  <sheetViews>
    <sheetView workbookViewId="0"/>
  </sheetViews>
  <sheetFormatPr defaultColWidth="9.140625" defaultRowHeight="15" x14ac:dyDescent="0.25"/>
  <cols>
    <col min="1" max="1" width="7.7109375" style="1" customWidth="1"/>
    <col min="2" max="2" width="14.7109375" style="7" customWidth="1"/>
    <col min="3" max="3" width="7.7109375" style="1" customWidth="1"/>
    <col min="4" max="4" width="14.7109375" style="1" customWidth="1"/>
    <col min="5" max="5" width="7.7109375" style="1" customWidth="1"/>
    <col min="6" max="6" width="14.7109375" style="1" customWidth="1"/>
    <col min="7" max="7" width="7.7109375" style="1" customWidth="1"/>
    <col min="8" max="8" width="14.7109375" style="1" customWidth="1"/>
    <col min="9" max="9" width="7.7109375" style="1" customWidth="1"/>
    <col min="10" max="10" width="14.7109375" style="1" customWidth="1"/>
    <col min="11" max="11" width="9.140625" style="1"/>
    <col min="12" max="12" width="11.5703125" style="1" bestFit="1" customWidth="1"/>
    <col min="13" max="13" width="10.85546875" style="1" customWidth="1"/>
    <col min="14" max="15" width="9.140625" style="1"/>
    <col min="16" max="16" width="7.7109375" style="1" customWidth="1"/>
    <col min="17" max="17" width="14.7109375" style="1" customWidth="1"/>
    <col min="18" max="18" width="7.7109375" style="1" customWidth="1"/>
    <col min="19" max="19" width="14.7109375" style="1" customWidth="1"/>
    <col min="20" max="20" width="7.7109375" style="1" customWidth="1"/>
    <col min="21" max="21" width="14.7109375" style="1" customWidth="1"/>
    <col min="22" max="22" width="7.7109375" style="1" customWidth="1"/>
    <col min="23" max="23" width="14.7109375" style="1" customWidth="1"/>
    <col min="24" max="24" width="7.7109375" style="1" customWidth="1"/>
    <col min="25" max="25" width="14.7109375" style="1" customWidth="1"/>
    <col min="26" max="26" width="9.140625" style="1"/>
    <col min="27" max="27" width="12" style="1" bestFit="1" customWidth="1"/>
    <col min="28" max="16384" width="9.140625" style="1"/>
  </cols>
  <sheetData>
    <row r="1" spans="1:28" ht="15.75" x14ac:dyDescent="0.25">
      <c r="A1" s="6" t="s">
        <v>22</v>
      </c>
      <c r="B1" s="6" t="s">
        <v>36</v>
      </c>
      <c r="C1" s="6"/>
      <c r="D1" s="6"/>
      <c r="E1" s="6"/>
      <c r="F1" s="6" t="s">
        <v>66</v>
      </c>
      <c r="G1" s="6"/>
      <c r="H1" s="31" t="s">
        <v>101</v>
      </c>
      <c r="I1" s="45" t="s">
        <v>42</v>
      </c>
      <c r="J1" s="45"/>
      <c r="P1" s="6"/>
      <c r="Q1" s="6"/>
      <c r="R1" s="6"/>
      <c r="S1" s="6"/>
      <c r="T1" s="6"/>
      <c r="U1" s="6" t="s">
        <v>66</v>
      </c>
      <c r="V1" s="6"/>
      <c r="W1" s="31">
        <v>46978</v>
      </c>
      <c r="X1" s="45" t="s">
        <v>42</v>
      </c>
      <c r="Y1" s="45"/>
      <c r="Z1"/>
      <c r="AA1"/>
      <c r="AB1"/>
    </row>
    <row r="2" spans="1:28" x14ac:dyDescent="0.25">
      <c r="A2" s="47">
        <v>1</v>
      </c>
      <c r="B2" s="48"/>
      <c r="C2" s="47">
        <v>1</v>
      </c>
      <c r="D2" s="48"/>
      <c r="E2" s="47">
        <v>1</v>
      </c>
      <c r="F2" s="48"/>
      <c r="G2" s="47">
        <v>1</v>
      </c>
      <c r="H2" s="48"/>
      <c r="I2" s="47">
        <v>1</v>
      </c>
      <c r="J2" s="48"/>
      <c r="L2" s="9" t="s">
        <v>1</v>
      </c>
      <c r="M2" s="10">
        <f>SUM(B12:J12)</f>
        <v>0</v>
      </c>
      <c r="P2" s="47">
        <v>1</v>
      </c>
      <c r="Q2" s="48"/>
      <c r="R2" s="47">
        <v>1</v>
      </c>
      <c r="S2" s="48"/>
      <c r="T2" s="47">
        <v>1</v>
      </c>
      <c r="U2" s="48"/>
      <c r="V2" s="47">
        <v>1</v>
      </c>
      <c r="W2" s="48"/>
      <c r="X2" s="47">
        <v>1</v>
      </c>
      <c r="Y2" s="48"/>
      <c r="Z2"/>
      <c r="AA2" s="9" t="s">
        <v>1</v>
      </c>
      <c r="AB2" s="10">
        <f>SUM(Q12:Y12)</f>
        <v>0</v>
      </c>
    </row>
    <row r="3" spans="1:28" x14ac:dyDescent="0.25">
      <c r="A3" s="47">
        <v>2</v>
      </c>
      <c r="B3" s="48"/>
      <c r="C3" s="47">
        <v>2</v>
      </c>
      <c r="D3" s="48"/>
      <c r="E3" s="47">
        <v>2</v>
      </c>
      <c r="F3" s="48"/>
      <c r="G3" s="47">
        <v>2</v>
      </c>
      <c r="H3" s="48"/>
      <c r="I3" s="47">
        <v>2</v>
      </c>
      <c r="J3" s="48"/>
      <c r="L3" s="9" t="s">
        <v>2</v>
      </c>
      <c r="M3" s="10">
        <f>MIN(B12:J12)</f>
        <v>0</v>
      </c>
      <c r="P3" s="47">
        <v>2</v>
      </c>
      <c r="Q3" s="48"/>
      <c r="R3" s="47">
        <v>2</v>
      </c>
      <c r="S3" s="48"/>
      <c r="T3" s="47">
        <v>2</v>
      </c>
      <c r="U3" s="48"/>
      <c r="V3" s="47">
        <v>2</v>
      </c>
      <c r="W3" s="48"/>
      <c r="X3" s="47">
        <v>2</v>
      </c>
      <c r="Y3" s="48"/>
      <c r="Z3"/>
      <c r="AA3" s="9" t="s">
        <v>2</v>
      </c>
      <c r="AB3" s="10">
        <f>MIN(Q12:Y12)</f>
        <v>0</v>
      </c>
    </row>
    <row r="4" spans="1:28" x14ac:dyDescent="0.25">
      <c r="A4" s="47">
        <v>3</v>
      </c>
      <c r="B4" s="48"/>
      <c r="C4" s="47">
        <v>3</v>
      </c>
      <c r="D4" s="48"/>
      <c r="E4" s="47">
        <v>3</v>
      </c>
      <c r="F4" s="48"/>
      <c r="G4" s="47">
        <v>3</v>
      </c>
      <c r="H4" s="48"/>
      <c r="I4" s="47">
        <v>3</v>
      </c>
      <c r="J4" s="48"/>
      <c r="L4" s="9" t="s">
        <v>3</v>
      </c>
      <c r="M4" s="10">
        <f>MAX(B12:J12)</f>
        <v>0</v>
      </c>
      <c r="P4" s="47">
        <v>3</v>
      </c>
      <c r="Q4" s="48"/>
      <c r="R4" s="47">
        <v>3</v>
      </c>
      <c r="S4" s="48"/>
      <c r="T4" s="47">
        <v>3</v>
      </c>
      <c r="U4" s="48"/>
      <c r="V4" s="47">
        <v>3</v>
      </c>
      <c r="W4" s="48"/>
      <c r="X4" s="47">
        <v>3</v>
      </c>
      <c r="Y4" s="48"/>
      <c r="Z4"/>
      <c r="AA4" s="9" t="s">
        <v>3</v>
      </c>
      <c r="AB4" s="10">
        <f>MAX(Q12:Y12)</f>
        <v>0</v>
      </c>
    </row>
    <row r="5" spans="1:28" x14ac:dyDescent="0.25">
      <c r="A5" s="47">
        <v>4</v>
      </c>
      <c r="B5" s="48"/>
      <c r="C5" s="47">
        <v>4</v>
      </c>
      <c r="D5" s="48"/>
      <c r="E5" s="47">
        <v>4</v>
      </c>
      <c r="F5" s="48"/>
      <c r="G5" s="47">
        <v>4</v>
      </c>
      <c r="H5" s="48"/>
      <c r="I5" s="47">
        <v>4</v>
      </c>
      <c r="J5" s="48"/>
      <c r="L5" s="9" t="s">
        <v>4</v>
      </c>
      <c r="M5" s="10">
        <f>M2-M3-M4</f>
        <v>0</v>
      </c>
      <c r="P5" s="47">
        <v>4</v>
      </c>
      <c r="Q5" s="48"/>
      <c r="R5" s="47">
        <v>4</v>
      </c>
      <c r="S5" s="48"/>
      <c r="T5" s="47">
        <v>4</v>
      </c>
      <c r="U5" s="48"/>
      <c r="V5" s="47">
        <v>4</v>
      </c>
      <c r="W5" s="48"/>
      <c r="X5" s="47">
        <v>4</v>
      </c>
      <c r="Y5" s="48"/>
      <c r="Z5"/>
      <c r="AA5" s="9" t="s">
        <v>4</v>
      </c>
      <c r="AB5" s="10">
        <f>AB2-AB3-AB4</f>
        <v>0</v>
      </c>
    </row>
    <row r="6" spans="1:28" x14ac:dyDescent="0.25">
      <c r="A6" s="47">
        <v>5</v>
      </c>
      <c r="B6" s="48"/>
      <c r="C6" s="47">
        <v>5</v>
      </c>
      <c r="D6" s="48"/>
      <c r="E6" s="47">
        <v>5</v>
      </c>
      <c r="F6" s="48"/>
      <c r="G6" s="47">
        <v>5</v>
      </c>
      <c r="H6" s="48"/>
      <c r="I6" s="47">
        <v>5</v>
      </c>
      <c r="J6" s="48"/>
      <c r="L6" s="9" t="s">
        <v>5</v>
      </c>
      <c r="M6" s="10">
        <f>ROUND(M5/30,1)</f>
        <v>0</v>
      </c>
      <c r="P6" s="47">
        <v>5</v>
      </c>
      <c r="Q6" s="48"/>
      <c r="R6" s="47">
        <v>5</v>
      </c>
      <c r="S6" s="48"/>
      <c r="T6" s="47">
        <v>5</v>
      </c>
      <c r="U6" s="48"/>
      <c r="V6" s="47">
        <v>5</v>
      </c>
      <c r="W6" s="48"/>
      <c r="X6" s="47">
        <v>5</v>
      </c>
      <c r="Y6" s="48"/>
      <c r="Z6"/>
      <c r="AA6" s="9" t="s">
        <v>5</v>
      </c>
      <c r="AB6" s="10">
        <f>AB5/30</f>
        <v>0</v>
      </c>
    </row>
    <row r="7" spans="1:28" x14ac:dyDescent="0.25">
      <c r="A7" s="47">
        <v>6</v>
      </c>
      <c r="B7" s="48"/>
      <c r="C7" s="47">
        <v>6</v>
      </c>
      <c r="D7" s="48"/>
      <c r="E7" s="47">
        <v>6</v>
      </c>
      <c r="F7" s="48"/>
      <c r="G7" s="47">
        <v>6</v>
      </c>
      <c r="H7" s="48"/>
      <c r="I7" s="47">
        <v>6</v>
      </c>
      <c r="J7" s="48"/>
      <c r="L7" s="9" t="s">
        <v>0</v>
      </c>
      <c r="M7" s="11" t="str">
        <f>IF(H1="","",H1)</f>
        <v>dd/mm/jjjj</v>
      </c>
      <c r="P7" s="47">
        <v>6</v>
      </c>
      <c r="Q7" s="48"/>
      <c r="R7" s="47">
        <v>6</v>
      </c>
      <c r="S7" s="48"/>
      <c r="T7" s="47">
        <v>6</v>
      </c>
      <c r="U7" s="48"/>
      <c r="V7" s="47">
        <v>6</v>
      </c>
      <c r="W7" s="48"/>
      <c r="X7" s="47">
        <v>6</v>
      </c>
      <c r="Y7" s="48"/>
      <c r="Z7"/>
      <c r="AA7" s="9" t="s">
        <v>0</v>
      </c>
      <c r="AB7" s="11" t="str">
        <f>IF(R1="","",R1)</f>
        <v/>
      </c>
    </row>
    <row r="8" spans="1:28" x14ac:dyDescent="0.25">
      <c r="A8" s="47">
        <v>7</v>
      </c>
      <c r="B8" s="48"/>
      <c r="C8" s="47">
        <v>7</v>
      </c>
      <c r="D8" s="48"/>
      <c r="E8" s="47">
        <v>7</v>
      </c>
      <c r="F8" s="48"/>
      <c r="G8" s="47">
        <v>7</v>
      </c>
      <c r="H8" s="48"/>
      <c r="I8" s="47">
        <v>7</v>
      </c>
      <c r="J8" s="48"/>
      <c r="P8" s="47">
        <v>7</v>
      </c>
      <c r="Q8" s="48"/>
      <c r="R8" s="47">
        <v>7</v>
      </c>
      <c r="S8" s="48"/>
      <c r="T8" s="47">
        <v>7</v>
      </c>
      <c r="U8" s="48"/>
      <c r="V8" s="47">
        <v>7</v>
      </c>
      <c r="W8" s="48"/>
      <c r="X8" s="47">
        <v>7</v>
      </c>
      <c r="Y8" s="48"/>
      <c r="Z8"/>
      <c r="AA8"/>
      <c r="AB8"/>
    </row>
    <row r="9" spans="1:28" x14ac:dyDescent="0.25">
      <c r="A9" s="47">
        <v>8</v>
      </c>
      <c r="B9" s="48"/>
      <c r="C9" s="47">
        <v>8</v>
      </c>
      <c r="D9" s="48"/>
      <c r="E9" s="47">
        <v>8</v>
      </c>
      <c r="F9" s="48"/>
      <c r="G9" s="47">
        <v>8</v>
      </c>
      <c r="H9" s="48"/>
      <c r="I9" s="47">
        <v>8</v>
      </c>
      <c r="J9" s="48"/>
      <c r="P9" s="47">
        <v>8</v>
      </c>
      <c r="Q9" s="48"/>
      <c r="R9" s="47">
        <v>8</v>
      </c>
      <c r="S9" s="48"/>
      <c r="T9" s="47">
        <v>8</v>
      </c>
      <c r="U9" s="48"/>
      <c r="V9" s="47">
        <v>8</v>
      </c>
      <c r="W9" s="48"/>
      <c r="X9" s="47">
        <v>8</v>
      </c>
      <c r="Y9" s="48"/>
      <c r="Z9"/>
      <c r="AA9"/>
      <c r="AB9"/>
    </row>
    <row r="10" spans="1:28" x14ac:dyDescent="0.25">
      <c r="A10" s="47">
        <v>9</v>
      </c>
      <c r="B10" s="48"/>
      <c r="C10" s="47">
        <v>9</v>
      </c>
      <c r="D10" s="48"/>
      <c r="E10" s="47">
        <v>9</v>
      </c>
      <c r="F10" s="48"/>
      <c r="G10" s="47">
        <v>9</v>
      </c>
      <c r="H10" s="48"/>
      <c r="I10" s="47">
        <v>9</v>
      </c>
      <c r="J10" s="48"/>
      <c r="P10" s="47">
        <v>9</v>
      </c>
      <c r="Q10" s="48"/>
      <c r="R10" s="47">
        <v>9</v>
      </c>
      <c r="S10" s="48"/>
      <c r="T10" s="47">
        <v>9</v>
      </c>
      <c r="U10" s="48"/>
      <c r="V10" s="47">
        <v>9</v>
      </c>
      <c r="W10" s="48"/>
      <c r="X10" s="47">
        <v>9</v>
      </c>
      <c r="Y10" s="48"/>
      <c r="Z10"/>
      <c r="AA10"/>
      <c r="AB10"/>
    </row>
    <row r="11" spans="1:28" x14ac:dyDescent="0.25">
      <c r="A11" s="47">
        <v>10</v>
      </c>
      <c r="B11" s="48"/>
      <c r="C11" s="47">
        <v>10</v>
      </c>
      <c r="D11" s="48"/>
      <c r="E11" s="47">
        <v>10</v>
      </c>
      <c r="F11" s="48"/>
      <c r="G11" s="47">
        <v>10</v>
      </c>
      <c r="H11" s="48"/>
      <c r="I11" s="47">
        <v>10</v>
      </c>
      <c r="J11" s="48"/>
      <c r="P11" s="47">
        <v>10</v>
      </c>
      <c r="Q11" s="48"/>
      <c r="R11" s="47">
        <v>10</v>
      </c>
      <c r="S11" s="48"/>
      <c r="T11" s="47">
        <v>10</v>
      </c>
      <c r="U11" s="48"/>
      <c r="V11" s="47">
        <v>10</v>
      </c>
      <c r="W11" s="48"/>
      <c r="X11" s="47">
        <v>10</v>
      </c>
      <c r="Y11" s="48"/>
      <c r="Z11"/>
      <c r="AA11"/>
      <c r="AB11"/>
    </row>
    <row r="12" spans="1:28" x14ac:dyDescent="0.25">
      <c r="B12" s="8">
        <f>SUM(B2:B11)</f>
        <v>0</v>
      </c>
      <c r="D12" s="8">
        <f>SUM(D2:D11)</f>
        <v>0</v>
      </c>
      <c r="F12" s="8">
        <f>SUM(F2:F11)</f>
        <v>0</v>
      </c>
      <c r="H12" s="8">
        <f>SUM(H2:H11)</f>
        <v>0</v>
      </c>
      <c r="J12" s="8">
        <f>SUM(J2:J11)</f>
        <v>0</v>
      </c>
      <c r="L12" s="49" t="s">
        <v>42</v>
      </c>
      <c r="M12" s="49"/>
      <c r="Q12" s="8">
        <f>SUM(Q2:Q11)</f>
        <v>0</v>
      </c>
      <c r="S12" s="8">
        <f>SUM(S2:S11)</f>
        <v>0</v>
      </c>
      <c r="U12" s="8">
        <f>SUM(U2:U11)</f>
        <v>0</v>
      </c>
      <c r="W12" s="8">
        <f>SUM(W2:W11)</f>
        <v>0</v>
      </c>
      <c r="Y12" s="8">
        <f>SUM(Y2:Y11)</f>
        <v>0</v>
      </c>
      <c r="Z12"/>
      <c r="AA12"/>
      <c r="AB12"/>
    </row>
    <row r="14" spans="1:28" ht="15.75" x14ac:dyDescent="0.25">
      <c r="A14" s="6" t="s">
        <v>65</v>
      </c>
      <c r="B14" s="6" t="s">
        <v>30</v>
      </c>
      <c r="C14" s="6"/>
      <c r="D14" s="6"/>
      <c r="E14" s="6"/>
      <c r="F14" s="6" t="s">
        <v>66</v>
      </c>
      <c r="G14" s="6"/>
      <c r="H14" s="31" t="s">
        <v>101</v>
      </c>
      <c r="I14" s="45" t="s">
        <v>57</v>
      </c>
      <c r="J14" s="45"/>
      <c r="K14"/>
      <c r="L14"/>
      <c r="M14"/>
      <c r="N14"/>
      <c r="P14" s="6"/>
      <c r="Q14" s="6"/>
      <c r="R14" s="6"/>
      <c r="S14" s="6"/>
      <c r="T14" s="6"/>
      <c r="U14" s="6" t="s">
        <v>66</v>
      </c>
      <c r="V14" s="6"/>
      <c r="W14" s="31">
        <v>46978</v>
      </c>
      <c r="X14" s="45" t="s">
        <v>42</v>
      </c>
      <c r="Y14" s="45"/>
      <c r="Z14"/>
      <c r="AA14"/>
      <c r="AB14"/>
    </row>
    <row r="15" spans="1:28" x14ac:dyDescent="0.25">
      <c r="A15" s="47">
        <v>1</v>
      </c>
      <c r="B15" s="48"/>
      <c r="C15" s="47">
        <v>1</v>
      </c>
      <c r="D15" s="48"/>
      <c r="E15" s="47">
        <v>1</v>
      </c>
      <c r="F15" s="48"/>
      <c r="G15" s="47">
        <v>1</v>
      </c>
      <c r="H15" s="48"/>
      <c r="I15" s="47">
        <v>1</v>
      </c>
      <c r="J15" s="48"/>
      <c r="K15"/>
      <c r="L15" s="9" t="s">
        <v>1</v>
      </c>
      <c r="M15" s="10">
        <f>SUM(B25:J25)</f>
        <v>0</v>
      </c>
      <c r="N15"/>
      <c r="P15" s="47">
        <v>1</v>
      </c>
      <c r="Q15" s="48"/>
      <c r="R15" s="47">
        <v>1</v>
      </c>
      <c r="S15" s="48"/>
      <c r="T15" s="47">
        <v>1</v>
      </c>
      <c r="U15" s="48"/>
      <c r="V15" s="47">
        <v>1</v>
      </c>
      <c r="W15" s="48"/>
      <c r="X15" s="47">
        <v>1</v>
      </c>
      <c r="Y15" s="48"/>
      <c r="Z15"/>
      <c r="AA15" s="9" t="s">
        <v>1</v>
      </c>
      <c r="AB15" s="10">
        <f>SUM(Q25:Y25)</f>
        <v>0</v>
      </c>
    </row>
    <row r="16" spans="1:28" x14ac:dyDescent="0.25">
      <c r="A16" s="47">
        <v>2</v>
      </c>
      <c r="B16" s="48"/>
      <c r="C16" s="47">
        <v>2</v>
      </c>
      <c r="D16" s="48"/>
      <c r="E16" s="47">
        <v>2</v>
      </c>
      <c r="F16" s="48"/>
      <c r="G16" s="47">
        <v>2</v>
      </c>
      <c r="H16" s="48"/>
      <c r="I16" s="47">
        <v>2</v>
      </c>
      <c r="J16" s="48"/>
      <c r="K16"/>
      <c r="L16" s="9" t="s">
        <v>2</v>
      </c>
      <c r="M16" s="10">
        <f>MIN(B25:J25)</f>
        <v>0</v>
      </c>
      <c r="N16"/>
      <c r="P16" s="47">
        <v>2</v>
      </c>
      <c r="Q16" s="48"/>
      <c r="R16" s="47">
        <v>2</v>
      </c>
      <c r="S16" s="48"/>
      <c r="T16" s="47">
        <v>2</v>
      </c>
      <c r="U16" s="48"/>
      <c r="V16" s="47">
        <v>2</v>
      </c>
      <c r="W16" s="48"/>
      <c r="X16" s="47">
        <v>2</v>
      </c>
      <c r="Y16" s="48"/>
      <c r="Z16"/>
      <c r="AA16" s="9" t="s">
        <v>2</v>
      </c>
      <c r="AB16" s="10">
        <f>MIN(Q25:Y25)</f>
        <v>0</v>
      </c>
    </row>
    <row r="17" spans="1:28" x14ac:dyDescent="0.25">
      <c r="A17" s="47">
        <v>3</v>
      </c>
      <c r="B17" s="48"/>
      <c r="C17" s="47">
        <v>3</v>
      </c>
      <c r="D17" s="48"/>
      <c r="E17" s="47">
        <v>3</v>
      </c>
      <c r="F17" s="48"/>
      <c r="G17" s="47">
        <v>3</v>
      </c>
      <c r="H17" s="48"/>
      <c r="I17" s="47">
        <v>3</v>
      </c>
      <c r="J17" s="48"/>
      <c r="K17"/>
      <c r="L17" s="9" t="s">
        <v>3</v>
      </c>
      <c r="M17" s="10">
        <f>MAX(B25:J25)</f>
        <v>0</v>
      </c>
      <c r="N17"/>
      <c r="P17" s="47">
        <v>3</v>
      </c>
      <c r="Q17" s="48"/>
      <c r="R17" s="47">
        <v>3</v>
      </c>
      <c r="S17" s="48"/>
      <c r="T17" s="47">
        <v>3</v>
      </c>
      <c r="U17" s="48"/>
      <c r="V17" s="47">
        <v>3</v>
      </c>
      <c r="W17" s="48"/>
      <c r="X17" s="47">
        <v>3</v>
      </c>
      <c r="Y17" s="48"/>
      <c r="Z17"/>
      <c r="AA17" s="9" t="s">
        <v>3</v>
      </c>
      <c r="AB17" s="10">
        <f>MAX(Q25:Y25)</f>
        <v>0</v>
      </c>
    </row>
    <row r="18" spans="1:28" x14ac:dyDescent="0.25">
      <c r="A18" s="47">
        <v>4</v>
      </c>
      <c r="B18" s="48"/>
      <c r="C18" s="47">
        <v>4</v>
      </c>
      <c r="D18" s="48"/>
      <c r="E18" s="47">
        <v>4</v>
      </c>
      <c r="F18" s="48"/>
      <c r="G18" s="47">
        <v>4</v>
      </c>
      <c r="H18" s="48"/>
      <c r="I18" s="47">
        <v>4</v>
      </c>
      <c r="J18" s="48"/>
      <c r="K18"/>
      <c r="L18" s="9" t="s">
        <v>4</v>
      </c>
      <c r="M18" s="10">
        <f>M15-M16-M17</f>
        <v>0</v>
      </c>
      <c r="N18"/>
      <c r="P18" s="47">
        <v>4</v>
      </c>
      <c r="Q18" s="48"/>
      <c r="R18" s="47">
        <v>4</v>
      </c>
      <c r="S18" s="48"/>
      <c r="T18" s="47">
        <v>4</v>
      </c>
      <c r="U18" s="48"/>
      <c r="V18" s="47">
        <v>4</v>
      </c>
      <c r="W18" s="48"/>
      <c r="X18" s="47">
        <v>4</v>
      </c>
      <c r="Y18" s="48"/>
      <c r="Z18"/>
      <c r="AA18" s="9" t="s">
        <v>4</v>
      </c>
      <c r="AB18" s="10">
        <f>AB15-AB16-AB17</f>
        <v>0</v>
      </c>
    </row>
    <row r="19" spans="1:28" x14ac:dyDescent="0.25">
      <c r="A19" s="47">
        <v>5</v>
      </c>
      <c r="B19" s="48"/>
      <c r="C19" s="47">
        <v>5</v>
      </c>
      <c r="D19" s="48"/>
      <c r="E19" s="47">
        <v>5</v>
      </c>
      <c r="F19" s="48"/>
      <c r="G19" s="47">
        <v>5</v>
      </c>
      <c r="H19" s="48"/>
      <c r="I19" s="47">
        <v>5</v>
      </c>
      <c r="J19" s="48"/>
      <c r="K19"/>
      <c r="L19" s="9" t="s">
        <v>5</v>
      </c>
      <c r="M19" s="10">
        <f>M18/30</f>
        <v>0</v>
      </c>
      <c r="N19"/>
      <c r="P19" s="47">
        <v>5</v>
      </c>
      <c r="Q19" s="48"/>
      <c r="R19" s="47">
        <v>5</v>
      </c>
      <c r="S19" s="48"/>
      <c r="T19" s="47">
        <v>5</v>
      </c>
      <c r="U19" s="48"/>
      <c r="V19" s="47">
        <v>5</v>
      </c>
      <c r="W19" s="48"/>
      <c r="X19" s="47">
        <v>5</v>
      </c>
      <c r="Y19" s="48"/>
      <c r="Z19"/>
      <c r="AA19" s="9" t="s">
        <v>5</v>
      </c>
      <c r="AB19" s="10">
        <f>AB18/30</f>
        <v>0</v>
      </c>
    </row>
    <row r="20" spans="1:28" x14ac:dyDescent="0.25">
      <c r="A20" s="47">
        <v>6</v>
      </c>
      <c r="B20" s="48"/>
      <c r="C20" s="47">
        <v>6</v>
      </c>
      <c r="D20" s="48"/>
      <c r="E20" s="47">
        <v>6</v>
      </c>
      <c r="F20" s="48"/>
      <c r="G20" s="47">
        <v>6</v>
      </c>
      <c r="H20" s="48"/>
      <c r="I20" s="47">
        <v>6</v>
      </c>
      <c r="J20" s="48"/>
      <c r="K20"/>
      <c r="L20" s="9" t="s">
        <v>0</v>
      </c>
      <c r="M20" s="11" t="str">
        <f>IF(H14="","",H14)</f>
        <v>dd/mm/jjjj</v>
      </c>
      <c r="N20"/>
      <c r="P20" s="47">
        <v>6</v>
      </c>
      <c r="Q20" s="48"/>
      <c r="R20" s="47">
        <v>6</v>
      </c>
      <c r="S20" s="48"/>
      <c r="T20" s="47">
        <v>6</v>
      </c>
      <c r="U20" s="48"/>
      <c r="V20" s="47">
        <v>6</v>
      </c>
      <c r="W20" s="48"/>
      <c r="X20" s="47">
        <v>6</v>
      </c>
      <c r="Y20" s="48"/>
      <c r="Z20"/>
      <c r="AA20" s="9" t="s">
        <v>0</v>
      </c>
      <c r="AB20" s="11" t="str">
        <f>IF(R14="","",R14)</f>
        <v/>
      </c>
    </row>
    <row r="21" spans="1:28" x14ac:dyDescent="0.25">
      <c r="A21" s="47">
        <v>7</v>
      </c>
      <c r="B21" s="48"/>
      <c r="C21" s="47">
        <v>7</v>
      </c>
      <c r="D21" s="48"/>
      <c r="E21" s="47">
        <v>7</v>
      </c>
      <c r="F21" s="48"/>
      <c r="G21" s="47">
        <v>7</v>
      </c>
      <c r="H21" s="48"/>
      <c r="I21" s="47">
        <v>7</v>
      </c>
      <c r="J21" s="48"/>
      <c r="K21"/>
      <c r="L21"/>
      <c r="M21"/>
      <c r="N21"/>
      <c r="P21" s="47">
        <v>7</v>
      </c>
      <c r="Q21" s="48"/>
      <c r="R21" s="47">
        <v>7</v>
      </c>
      <c r="S21" s="48"/>
      <c r="T21" s="47">
        <v>7</v>
      </c>
      <c r="U21" s="48"/>
      <c r="V21" s="47">
        <v>7</v>
      </c>
      <c r="W21" s="48"/>
      <c r="X21" s="47">
        <v>7</v>
      </c>
      <c r="Y21" s="48"/>
      <c r="Z21"/>
      <c r="AA21"/>
      <c r="AB21"/>
    </row>
    <row r="22" spans="1:28" x14ac:dyDescent="0.25">
      <c r="A22" s="47">
        <v>8</v>
      </c>
      <c r="B22" s="48"/>
      <c r="C22" s="47">
        <v>8</v>
      </c>
      <c r="D22" s="48"/>
      <c r="E22" s="47">
        <v>8</v>
      </c>
      <c r="F22" s="48"/>
      <c r="G22" s="47">
        <v>8</v>
      </c>
      <c r="H22" s="48"/>
      <c r="I22" s="47">
        <v>8</v>
      </c>
      <c r="J22" s="48"/>
      <c r="K22"/>
      <c r="L22"/>
      <c r="M22"/>
      <c r="N22"/>
      <c r="P22" s="47">
        <v>8</v>
      </c>
      <c r="Q22" s="48"/>
      <c r="R22" s="47">
        <v>8</v>
      </c>
      <c r="S22" s="48"/>
      <c r="T22" s="47">
        <v>8</v>
      </c>
      <c r="U22" s="48"/>
      <c r="V22" s="47">
        <v>8</v>
      </c>
      <c r="W22" s="48"/>
      <c r="X22" s="47">
        <v>8</v>
      </c>
      <c r="Y22" s="48"/>
      <c r="Z22"/>
      <c r="AA22"/>
      <c r="AB22"/>
    </row>
    <row r="23" spans="1:28" x14ac:dyDescent="0.25">
      <c r="A23" s="47">
        <v>9</v>
      </c>
      <c r="B23" s="48"/>
      <c r="C23" s="47">
        <v>9</v>
      </c>
      <c r="D23" s="48"/>
      <c r="E23" s="47">
        <v>9</v>
      </c>
      <c r="F23" s="48"/>
      <c r="G23" s="47">
        <v>9</v>
      </c>
      <c r="H23" s="48"/>
      <c r="I23" s="47">
        <v>9</v>
      </c>
      <c r="J23" s="48"/>
      <c r="K23"/>
      <c r="L23"/>
      <c r="M23"/>
      <c r="N23"/>
      <c r="P23" s="47">
        <v>9</v>
      </c>
      <c r="Q23" s="48"/>
      <c r="R23" s="47">
        <v>9</v>
      </c>
      <c r="S23" s="48"/>
      <c r="T23" s="47">
        <v>9</v>
      </c>
      <c r="U23" s="48"/>
      <c r="V23" s="47">
        <v>9</v>
      </c>
      <c r="W23" s="48"/>
      <c r="X23" s="47">
        <v>9</v>
      </c>
      <c r="Y23" s="48"/>
      <c r="Z23"/>
      <c r="AA23"/>
      <c r="AB23"/>
    </row>
    <row r="24" spans="1:28" x14ac:dyDescent="0.25">
      <c r="A24" s="47">
        <v>10</v>
      </c>
      <c r="B24" s="48"/>
      <c r="C24" s="47">
        <v>10</v>
      </c>
      <c r="D24" s="48"/>
      <c r="E24" s="47">
        <v>10</v>
      </c>
      <c r="F24" s="48"/>
      <c r="G24" s="47">
        <v>10</v>
      </c>
      <c r="H24" s="48"/>
      <c r="I24" s="47">
        <v>10</v>
      </c>
      <c r="J24" s="48"/>
      <c r="K24"/>
      <c r="L24"/>
      <c r="M24"/>
      <c r="N24"/>
      <c r="P24" s="47">
        <v>10</v>
      </c>
      <c r="Q24" s="48"/>
      <c r="R24" s="47">
        <v>10</v>
      </c>
      <c r="S24" s="48"/>
      <c r="T24" s="47">
        <v>10</v>
      </c>
      <c r="U24" s="48"/>
      <c r="V24" s="47">
        <v>10</v>
      </c>
      <c r="W24" s="48"/>
      <c r="X24" s="47">
        <v>10</v>
      </c>
      <c r="Y24" s="48"/>
      <c r="Z24"/>
      <c r="AA24"/>
      <c r="AB24"/>
    </row>
    <row r="25" spans="1:28" x14ac:dyDescent="0.25">
      <c r="B25" s="8">
        <f>SUM(B15:B24)</f>
        <v>0</v>
      </c>
      <c r="D25" s="8">
        <f>SUM(D15:D24)</f>
        <v>0</v>
      </c>
      <c r="F25" s="8">
        <f>SUM(F15:F24)</f>
        <v>0</v>
      </c>
      <c r="H25" s="8">
        <f>SUM(H15:H24)</f>
        <v>0</v>
      </c>
      <c r="J25" s="8">
        <f>SUM(J15:J24)</f>
        <v>0</v>
      </c>
      <c r="K25"/>
      <c r="L25" s="49" t="s">
        <v>57</v>
      </c>
      <c r="M25" s="49"/>
      <c r="N25"/>
      <c r="Q25" s="8">
        <f>SUM(Q15:Q24)</f>
        <v>0</v>
      </c>
      <c r="S25" s="8">
        <f>SUM(S15:S24)</f>
        <v>0</v>
      </c>
      <c r="U25" s="8">
        <f>SUM(U15:U24)</f>
        <v>0</v>
      </c>
      <c r="W25" s="8">
        <f>SUM(W15:W24)</f>
        <v>0</v>
      </c>
      <c r="Y25" s="8">
        <f>SUM(Y15:Y24)</f>
        <v>0</v>
      </c>
      <c r="Z25"/>
      <c r="AA25"/>
      <c r="AB25"/>
    </row>
    <row r="27" spans="1:28" ht="15.75" x14ac:dyDescent="0.25">
      <c r="A27" s="6" t="s">
        <v>94</v>
      </c>
      <c r="B27" s="6" t="s">
        <v>36</v>
      </c>
      <c r="C27" s="6"/>
      <c r="D27" s="6"/>
      <c r="E27" s="6"/>
      <c r="F27" s="6" t="s">
        <v>66</v>
      </c>
      <c r="G27" s="6"/>
      <c r="H27" s="31" t="s">
        <v>101</v>
      </c>
      <c r="I27" s="45" t="s">
        <v>100</v>
      </c>
      <c r="J27" s="45"/>
      <c r="K27"/>
      <c r="L27"/>
      <c r="M27"/>
    </row>
    <row r="28" spans="1:28" ht="15.75" x14ac:dyDescent="0.25">
      <c r="A28" s="47">
        <v>1</v>
      </c>
      <c r="B28" s="48"/>
      <c r="C28" s="47">
        <v>1</v>
      </c>
      <c r="D28" s="48"/>
      <c r="E28" s="47">
        <v>1</v>
      </c>
      <c r="F28" s="48"/>
      <c r="G28" s="47">
        <v>1</v>
      </c>
      <c r="H28" s="48"/>
      <c r="I28" s="47">
        <v>1</v>
      </c>
      <c r="J28" s="48"/>
      <c r="K28"/>
      <c r="L28" s="9" t="s">
        <v>1</v>
      </c>
      <c r="M28" s="10">
        <f>SUM(B38:J38)</f>
        <v>0</v>
      </c>
      <c r="P28" s="6"/>
      <c r="Q28" s="6"/>
      <c r="R28" s="6"/>
      <c r="S28" s="6"/>
      <c r="T28" s="6"/>
      <c r="U28" s="6" t="s">
        <v>66</v>
      </c>
      <c r="V28" s="6"/>
      <c r="W28" s="31">
        <v>46978</v>
      </c>
      <c r="X28" s="45" t="s">
        <v>42</v>
      </c>
      <c r="Y28" s="45"/>
      <c r="Z28"/>
      <c r="AA28"/>
      <c r="AB28"/>
    </row>
    <row r="29" spans="1:28" x14ac:dyDescent="0.25">
      <c r="A29" s="47">
        <v>2</v>
      </c>
      <c r="B29" s="48"/>
      <c r="C29" s="47">
        <v>2</v>
      </c>
      <c r="D29" s="48"/>
      <c r="E29" s="47">
        <v>2</v>
      </c>
      <c r="F29" s="48"/>
      <c r="G29" s="47">
        <v>2</v>
      </c>
      <c r="H29" s="48"/>
      <c r="I29" s="47">
        <v>2</v>
      </c>
      <c r="J29" s="48"/>
      <c r="K29"/>
      <c r="L29" s="9" t="s">
        <v>2</v>
      </c>
      <c r="M29" s="10">
        <f>MIN(B38:J38)</f>
        <v>0</v>
      </c>
      <c r="P29" s="47">
        <v>1</v>
      </c>
      <c r="Q29" s="48"/>
      <c r="R29" s="47">
        <v>1</v>
      </c>
      <c r="S29" s="48"/>
      <c r="T29" s="47">
        <v>1</v>
      </c>
      <c r="U29" s="48"/>
      <c r="V29" s="47">
        <v>1</v>
      </c>
      <c r="W29" s="48"/>
      <c r="X29" s="47">
        <v>1</v>
      </c>
      <c r="Y29" s="48"/>
      <c r="Z29"/>
      <c r="AA29" s="9" t="s">
        <v>1</v>
      </c>
      <c r="AB29" s="10">
        <f>SUM(Q39:Y39)</f>
        <v>0</v>
      </c>
    </row>
    <row r="30" spans="1:28" x14ac:dyDescent="0.25">
      <c r="A30" s="47">
        <v>3</v>
      </c>
      <c r="B30" s="48"/>
      <c r="C30" s="47">
        <v>3</v>
      </c>
      <c r="D30" s="48"/>
      <c r="E30" s="47">
        <v>3</v>
      </c>
      <c r="F30" s="48"/>
      <c r="G30" s="47">
        <v>3</v>
      </c>
      <c r="H30" s="48"/>
      <c r="I30" s="47">
        <v>3</v>
      </c>
      <c r="J30" s="48"/>
      <c r="K30"/>
      <c r="L30" s="9" t="s">
        <v>3</v>
      </c>
      <c r="M30" s="10">
        <f>MAX(B38:J38)</f>
        <v>0</v>
      </c>
      <c r="P30" s="47">
        <v>2</v>
      </c>
      <c r="Q30" s="48"/>
      <c r="R30" s="47">
        <v>2</v>
      </c>
      <c r="S30" s="48"/>
      <c r="T30" s="47">
        <v>2</v>
      </c>
      <c r="U30" s="48"/>
      <c r="V30" s="47">
        <v>2</v>
      </c>
      <c r="W30" s="48"/>
      <c r="X30" s="47">
        <v>2</v>
      </c>
      <c r="Y30" s="48"/>
      <c r="Z30"/>
      <c r="AA30" s="9" t="s">
        <v>2</v>
      </c>
      <c r="AB30" s="10">
        <f>MIN(Q39:Y39)</f>
        <v>0</v>
      </c>
    </row>
    <row r="31" spans="1:28" x14ac:dyDescent="0.25">
      <c r="A31" s="47">
        <v>4</v>
      </c>
      <c r="B31" s="48"/>
      <c r="C31" s="47">
        <v>4</v>
      </c>
      <c r="D31" s="48"/>
      <c r="E31" s="47">
        <v>4</v>
      </c>
      <c r="F31" s="48"/>
      <c r="G31" s="47">
        <v>4</v>
      </c>
      <c r="H31" s="48"/>
      <c r="I31" s="47">
        <v>4</v>
      </c>
      <c r="J31" s="48"/>
      <c r="K31"/>
      <c r="L31" s="9" t="s">
        <v>4</v>
      </c>
      <c r="M31" s="10">
        <f>M28-M29-M30</f>
        <v>0</v>
      </c>
      <c r="P31" s="47">
        <v>3</v>
      </c>
      <c r="Q31" s="48"/>
      <c r="R31" s="47">
        <v>3</v>
      </c>
      <c r="S31" s="48"/>
      <c r="T31" s="47">
        <v>3</v>
      </c>
      <c r="U31" s="48"/>
      <c r="V31" s="47">
        <v>3</v>
      </c>
      <c r="W31" s="48"/>
      <c r="X31" s="47">
        <v>3</v>
      </c>
      <c r="Y31" s="48"/>
      <c r="Z31"/>
      <c r="AA31" s="9" t="s">
        <v>3</v>
      </c>
      <c r="AB31" s="10">
        <f>MAX(Q39:Y39)</f>
        <v>0</v>
      </c>
    </row>
    <row r="32" spans="1:28" x14ac:dyDescent="0.25">
      <c r="A32" s="47">
        <v>5</v>
      </c>
      <c r="B32" s="48"/>
      <c r="C32" s="47">
        <v>5</v>
      </c>
      <c r="D32" s="48"/>
      <c r="E32" s="47">
        <v>5</v>
      </c>
      <c r="F32" s="48"/>
      <c r="G32" s="47">
        <v>5</v>
      </c>
      <c r="H32" s="48"/>
      <c r="I32" s="47">
        <v>5</v>
      </c>
      <c r="J32" s="48"/>
      <c r="K32"/>
      <c r="L32" s="9" t="s">
        <v>5</v>
      </c>
      <c r="M32" s="10">
        <f>M31/30</f>
        <v>0</v>
      </c>
      <c r="P32" s="47">
        <v>4</v>
      </c>
      <c r="Q32" s="48"/>
      <c r="R32" s="47">
        <v>4</v>
      </c>
      <c r="S32" s="48"/>
      <c r="T32" s="47">
        <v>4</v>
      </c>
      <c r="U32" s="48"/>
      <c r="V32" s="47">
        <v>4</v>
      </c>
      <c r="W32" s="48"/>
      <c r="X32" s="47">
        <v>4</v>
      </c>
      <c r="Y32" s="48"/>
      <c r="Z32"/>
      <c r="AA32" s="9" t="s">
        <v>4</v>
      </c>
      <c r="AB32" s="10">
        <f>AB29-AB30-AB31</f>
        <v>0</v>
      </c>
    </row>
    <row r="33" spans="1:28" x14ac:dyDescent="0.25">
      <c r="A33" s="47">
        <v>6</v>
      </c>
      <c r="B33" s="48"/>
      <c r="C33" s="47">
        <v>6</v>
      </c>
      <c r="D33" s="48"/>
      <c r="E33" s="47">
        <v>6</v>
      </c>
      <c r="F33" s="48"/>
      <c r="G33" s="47">
        <v>6</v>
      </c>
      <c r="H33" s="48"/>
      <c r="I33" s="47">
        <v>6</v>
      </c>
      <c r="J33" s="48"/>
      <c r="K33"/>
      <c r="L33" s="9" t="s">
        <v>0</v>
      </c>
      <c r="M33" s="11" t="str">
        <f>IF(H27="","",H27)</f>
        <v>dd/mm/jjjj</v>
      </c>
      <c r="P33" s="47">
        <v>5</v>
      </c>
      <c r="Q33" s="48"/>
      <c r="R33" s="47">
        <v>5</v>
      </c>
      <c r="S33" s="48"/>
      <c r="T33" s="47">
        <v>5</v>
      </c>
      <c r="U33" s="48"/>
      <c r="V33" s="47">
        <v>5</v>
      </c>
      <c r="W33" s="48"/>
      <c r="X33" s="47">
        <v>5</v>
      </c>
      <c r="Y33" s="48"/>
      <c r="Z33"/>
      <c r="AA33" s="9" t="s">
        <v>5</v>
      </c>
      <c r="AB33" s="10">
        <f>AB32/30</f>
        <v>0</v>
      </c>
    </row>
    <row r="34" spans="1:28" x14ac:dyDescent="0.25">
      <c r="A34" s="47">
        <v>7</v>
      </c>
      <c r="B34" s="48"/>
      <c r="C34" s="47">
        <v>7</v>
      </c>
      <c r="D34" s="48"/>
      <c r="E34" s="47">
        <v>7</v>
      </c>
      <c r="F34" s="48"/>
      <c r="G34" s="47">
        <v>7</v>
      </c>
      <c r="H34" s="48"/>
      <c r="I34" s="47">
        <v>7</v>
      </c>
      <c r="J34" s="48"/>
      <c r="K34"/>
      <c r="L34"/>
      <c r="M34"/>
      <c r="P34" s="47">
        <v>6</v>
      </c>
      <c r="Q34" s="48"/>
      <c r="R34" s="47">
        <v>6</v>
      </c>
      <c r="S34" s="48"/>
      <c r="T34" s="47">
        <v>6</v>
      </c>
      <c r="U34" s="48"/>
      <c r="V34" s="47">
        <v>6</v>
      </c>
      <c r="W34" s="48"/>
      <c r="X34" s="47">
        <v>6</v>
      </c>
      <c r="Y34" s="48"/>
      <c r="Z34"/>
      <c r="AA34" s="9" t="s">
        <v>0</v>
      </c>
      <c r="AB34" s="11" t="str">
        <f>IF(R28="","",R28)</f>
        <v/>
      </c>
    </row>
    <row r="35" spans="1:28" x14ac:dyDescent="0.25">
      <c r="A35" s="47">
        <v>8</v>
      </c>
      <c r="B35" s="48"/>
      <c r="C35" s="47">
        <v>8</v>
      </c>
      <c r="D35" s="48"/>
      <c r="E35" s="47">
        <v>8</v>
      </c>
      <c r="F35" s="48"/>
      <c r="G35" s="47">
        <v>8</v>
      </c>
      <c r="H35" s="48"/>
      <c r="I35" s="47">
        <v>8</v>
      </c>
      <c r="J35" s="48"/>
      <c r="K35"/>
      <c r="L35"/>
      <c r="M35"/>
      <c r="P35" s="47">
        <v>7</v>
      </c>
      <c r="Q35" s="48"/>
      <c r="R35" s="47">
        <v>7</v>
      </c>
      <c r="S35" s="48"/>
      <c r="T35" s="47">
        <v>7</v>
      </c>
      <c r="U35" s="48"/>
      <c r="V35" s="47">
        <v>7</v>
      </c>
      <c r="W35" s="48"/>
      <c r="X35" s="47">
        <v>7</v>
      </c>
      <c r="Y35" s="48"/>
      <c r="Z35"/>
      <c r="AA35"/>
      <c r="AB35"/>
    </row>
    <row r="36" spans="1:28" x14ac:dyDescent="0.25">
      <c r="A36" s="47">
        <v>9</v>
      </c>
      <c r="B36" s="48"/>
      <c r="C36" s="47">
        <v>9</v>
      </c>
      <c r="D36" s="48"/>
      <c r="E36" s="47">
        <v>9</v>
      </c>
      <c r="F36" s="48"/>
      <c r="G36" s="47">
        <v>9</v>
      </c>
      <c r="H36" s="48"/>
      <c r="I36" s="47">
        <v>9</v>
      </c>
      <c r="J36" s="48"/>
      <c r="K36"/>
      <c r="L36"/>
      <c r="M36"/>
      <c r="P36" s="47">
        <v>8</v>
      </c>
      <c r="Q36" s="48"/>
      <c r="R36" s="47">
        <v>8</v>
      </c>
      <c r="S36" s="48"/>
      <c r="T36" s="47">
        <v>8</v>
      </c>
      <c r="U36" s="48"/>
      <c r="V36" s="47">
        <v>8</v>
      </c>
      <c r="W36" s="48"/>
      <c r="X36" s="47">
        <v>8</v>
      </c>
      <c r="Y36" s="48"/>
      <c r="Z36"/>
      <c r="AA36"/>
      <c r="AB36"/>
    </row>
    <row r="37" spans="1:28" x14ac:dyDescent="0.25">
      <c r="A37" s="47">
        <v>10</v>
      </c>
      <c r="B37" s="48"/>
      <c r="C37" s="47">
        <v>10</v>
      </c>
      <c r="D37" s="48"/>
      <c r="E37" s="47">
        <v>10</v>
      </c>
      <c r="F37" s="48"/>
      <c r="G37" s="47">
        <v>10</v>
      </c>
      <c r="H37" s="48"/>
      <c r="I37" s="47">
        <v>10</v>
      </c>
      <c r="J37" s="48"/>
      <c r="K37"/>
      <c r="L37"/>
      <c r="M37"/>
      <c r="P37" s="47">
        <v>9</v>
      </c>
      <c r="Q37" s="48"/>
      <c r="R37" s="47">
        <v>9</v>
      </c>
      <c r="S37" s="48"/>
      <c r="T37" s="47">
        <v>9</v>
      </c>
      <c r="U37" s="48"/>
      <c r="V37" s="47">
        <v>9</v>
      </c>
      <c r="W37" s="48"/>
      <c r="X37" s="47">
        <v>9</v>
      </c>
      <c r="Y37" s="48"/>
      <c r="Z37"/>
      <c r="AA37"/>
      <c r="AB37"/>
    </row>
    <row r="38" spans="1:28" x14ac:dyDescent="0.25">
      <c r="B38" s="8">
        <f>SUM(B28:B37)</f>
        <v>0</v>
      </c>
      <c r="D38" s="8">
        <f>SUM(D28:D37)</f>
        <v>0</v>
      </c>
      <c r="F38" s="8">
        <f>SUM(F28:F37)</f>
        <v>0</v>
      </c>
      <c r="H38" s="8">
        <f>SUM(H28:H37)</f>
        <v>0</v>
      </c>
      <c r="J38" s="8">
        <f>SUM(J28:J37)</f>
        <v>0</v>
      </c>
      <c r="K38"/>
      <c r="L38" s="49" t="s">
        <v>100</v>
      </c>
      <c r="M38" s="49"/>
      <c r="P38" s="47">
        <v>10</v>
      </c>
      <c r="Q38" s="48"/>
      <c r="R38" s="47">
        <v>10</v>
      </c>
      <c r="S38" s="48"/>
      <c r="T38" s="47">
        <v>10</v>
      </c>
      <c r="U38" s="48"/>
      <c r="V38" s="47">
        <v>10</v>
      </c>
      <c r="W38" s="48"/>
      <c r="X38" s="47">
        <v>10</v>
      </c>
      <c r="Y38" s="48"/>
      <c r="Z38"/>
      <c r="AA38"/>
      <c r="AB38"/>
    </row>
    <row r="39" spans="1:28" x14ac:dyDescent="0.25">
      <c r="Q39" s="8">
        <f>SUM(Q29:Q38)</f>
        <v>0</v>
      </c>
      <c r="S39" s="8">
        <f>SUM(S29:S38)</f>
        <v>0</v>
      </c>
      <c r="U39" s="8">
        <f>SUM(U29:U38)</f>
        <v>0</v>
      </c>
      <c r="W39" s="8">
        <f>SUM(W29:W38)</f>
        <v>0</v>
      </c>
      <c r="Y39" s="8">
        <f>SUM(Y29:Y38)</f>
        <v>0</v>
      </c>
      <c r="Z39"/>
      <c r="AA39"/>
      <c r="AB39"/>
    </row>
    <row r="40" spans="1:28" ht="15.75" x14ac:dyDescent="0.25">
      <c r="A40" s="6"/>
      <c r="B40" s="6"/>
      <c r="C40" s="6"/>
      <c r="D40" s="6"/>
      <c r="E40" s="6"/>
      <c r="F40" s="6" t="s">
        <v>66</v>
      </c>
      <c r="G40" s="6"/>
      <c r="H40" s="31">
        <v>46978</v>
      </c>
      <c r="I40" s="45" t="s">
        <v>42</v>
      </c>
      <c r="J40" s="45"/>
      <c r="K40"/>
      <c r="L40"/>
      <c r="M40"/>
    </row>
    <row r="41" spans="1:28" ht="15.75" x14ac:dyDescent="0.25">
      <c r="A41" s="47">
        <v>1</v>
      </c>
      <c r="B41" s="48"/>
      <c r="C41" s="47">
        <v>1</v>
      </c>
      <c r="D41" s="48"/>
      <c r="E41" s="47">
        <v>1</v>
      </c>
      <c r="F41" s="48"/>
      <c r="G41" s="47">
        <v>1</v>
      </c>
      <c r="H41" s="48"/>
      <c r="I41" s="47">
        <v>1</v>
      </c>
      <c r="J41" s="48"/>
      <c r="K41"/>
      <c r="L41" s="9" t="s">
        <v>1</v>
      </c>
      <c r="M41" s="10">
        <f>SUM(B51:J51)</f>
        <v>0</v>
      </c>
      <c r="P41" s="6"/>
      <c r="Q41" s="6"/>
      <c r="R41" s="6"/>
      <c r="S41" s="6"/>
      <c r="T41" s="6"/>
      <c r="U41" s="6" t="s">
        <v>66</v>
      </c>
      <c r="V41" s="6"/>
      <c r="W41" s="31">
        <v>46978</v>
      </c>
      <c r="X41" s="45" t="s">
        <v>42</v>
      </c>
      <c r="Y41" s="45"/>
      <c r="Z41"/>
      <c r="AA41"/>
      <c r="AB41"/>
    </row>
    <row r="42" spans="1:28" x14ac:dyDescent="0.25">
      <c r="A42" s="47">
        <v>2</v>
      </c>
      <c r="B42" s="48"/>
      <c r="C42" s="47">
        <v>2</v>
      </c>
      <c r="D42" s="48"/>
      <c r="E42" s="47">
        <v>2</v>
      </c>
      <c r="F42" s="48"/>
      <c r="G42" s="47">
        <v>2</v>
      </c>
      <c r="H42" s="48"/>
      <c r="I42" s="47">
        <v>2</v>
      </c>
      <c r="J42" s="48"/>
      <c r="K42"/>
      <c r="L42" s="9" t="s">
        <v>2</v>
      </c>
      <c r="M42" s="10">
        <f>MIN(B51:J51)</f>
        <v>0</v>
      </c>
      <c r="P42" s="47">
        <v>1</v>
      </c>
      <c r="Q42" s="48"/>
      <c r="R42" s="47">
        <v>1</v>
      </c>
      <c r="S42" s="48"/>
      <c r="T42" s="47">
        <v>1</v>
      </c>
      <c r="U42" s="48"/>
      <c r="V42" s="47">
        <v>1</v>
      </c>
      <c r="W42" s="48"/>
      <c r="X42" s="47">
        <v>1</v>
      </c>
      <c r="Y42" s="48"/>
      <c r="Z42"/>
      <c r="AA42" s="9" t="s">
        <v>1</v>
      </c>
      <c r="AB42" s="10">
        <f>SUM(Q52:Y52)</f>
        <v>0</v>
      </c>
    </row>
    <row r="43" spans="1:28" x14ac:dyDescent="0.25">
      <c r="A43" s="47">
        <v>3</v>
      </c>
      <c r="B43" s="48"/>
      <c r="C43" s="47">
        <v>3</v>
      </c>
      <c r="D43" s="48"/>
      <c r="E43" s="47">
        <v>3</v>
      </c>
      <c r="F43" s="48"/>
      <c r="G43" s="47">
        <v>3</v>
      </c>
      <c r="H43" s="48"/>
      <c r="I43" s="47">
        <v>3</v>
      </c>
      <c r="J43" s="48"/>
      <c r="K43"/>
      <c r="L43" s="9" t="s">
        <v>3</v>
      </c>
      <c r="M43" s="10">
        <f>MAX(B51:J51)</f>
        <v>0</v>
      </c>
      <c r="P43" s="47">
        <v>2</v>
      </c>
      <c r="Q43" s="48"/>
      <c r="R43" s="47">
        <v>2</v>
      </c>
      <c r="S43" s="48"/>
      <c r="T43" s="47">
        <v>2</v>
      </c>
      <c r="U43" s="48"/>
      <c r="V43" s="47">
        <v>2</v>
      </c>
      <c r="W43" s="48"/>
      <c r="X43" s="47">
        <v>2</v>
      </c>
      <c r="Y43" s="48"/>
      <c r="Z43"/>
      <c r="AA43" s="9" t="s">
        <v>2</v>
      </c>
      <c r="AB43" s="10">
        <f>MIN(Q52:Y52)</f>
        <v>0</v>
      </c>
    </row>
    <row r="44" spans="1:28" x14ac:dyDescent="0.25">
      <c r="A44" s="47">
        <v>4</v>
      </c>
      <c r="B44" s="48"/>
      <c r="C44" s="47">
        <v>4</v>
      </c>
      <c r="D44" s="48"/>
      <c r="E44" s="47">
        <v>4</v>
      </c>
      <c r="F44" s="48"/>
      <c r="G44" s="47">
        <v>4</v>
      </c>
      <c r="H44" s="48"/>
      <c r="I44" s="47">
        <v>4</v>
      </c>
      <c r="J44" s="48"/>
      <c r="K44"/>
      <c r="L44" s="9" t="s">
        <v>4</v>
      </c>
      <c r="M44" s="10">
        <f>M41-M42-M43</f>
        <v>0</v>
      </c>
      <c r="P44" s="47">
        <v>3</v>
      </c>
      <c r="Q44" s="48"/>
      <c r="R44" s="47">
        <v>3</v>
      </c>
      <c r="S44" s="48"/>
      <c r="T44" s="47">
        <v>3</v>
      </c>
      <c r="U44" s="48"/>
      <c r="V44" s="47">
        <v>3</v>
      </c>
      <c r="W44" s="48"/>
      <c r="X44" s="47">
        <v>3</v>
      </c>
      <c r="Y44" s="48"/>
      <c r="Z44"/>
      <c r="AA44" s="9" t="s">
        <v>3</v>
      </c>
      <c r="AB44" s="10">
        <f>MAX(Q52:Y52)</f>
        <v>0</v>
      </c>
    </row>
    <row r="45" spans="1:28" x14ac:dyDescent="0.25">
      <c r="A45" s="47">
        <v>5</v>
      </c>
      <c r="B45" s="48"/>
      <c r="C45" s="47">
        <v>5</v>
      </c>
      <c r="D45" s="48"/>
      <c r="E45" s="47">
        <v>5</v>
      </c>
      <c r="F45" s="48"/>
      <c r="G45" s="47">
        <v>5</v>
      </c>
      <c r="H45" s="48"/>
      <c r="I45" s="47">
        <v>5</v>
      </c>
      <c r="J45" s="48"/>
      <c r="K45"/>
      <c r="L45" s="9" t="s">
        <v>5</v>
      </c>
      <c r="M45" s="10">
        <f>M44/30</f>
        <v>0</v>
      </c>
      <c r="P45" s="47">
        <v>4</v>
      </c>
      <c r="Q45" s="48"/>
      <c r="R45" s="47">
        <v>4</v>
      </c>
      <c r="S45" s="48"/>
      <c r="T45" s="47">
        <v>4</v>
      </c>
      <c r="U45" s="48"/>
      <c r="V45" s="47">
        <v>4</v>
      </c>
      <c r="W45" s="48"/>
      <c r="X45" s="47">
        <v>4</v>
      </c>
      <c r="Y45" s="48"/>
      <c r="Z45"/>
      <c r="AA45" s="9" t="s">
        <v>4</v>
      </c>
      <c r="AB45" s="10">
        <f>AB42-AB43-AB44</f>
        <v>0</v>
      </c>
    </row>
    <row r="46" spans="1:28" x14ac:dyDescent="0.25">
      <c r="A46" s="47">
        <v>6</v>
      </c>
      <c r="B46" s="48"/>
      <c r="C46" s="47">
        <v>6</v>
      </c>
      <c r="D46" s="48"/>
      <c r="E46" s="47">
        <v>6</v>
      </c>
      <c r="F46" s="48"/>
      <c r="G46" s="47">
        <v>6</v>
      </c>
      <c r="H46" s="48"/>
      <c r="I46" s="47">
        <v>6</v>
      </c>
      <c r="J46" s="48"/>
      <c r="K46"/>
      <c r="L46" s="9" t="s">
        <v>0</v>
      </c>
      <c r="M46" s="11" t="str">
        <f>IF(C40="","",C40)</f>
        <v/>
      </c>
      <c r="P46" s="47">
        <v>5</v>
      </c>
      <c r="Q46" s="48"/>
      <c r="R46" s="47">
        <v>5</v>
      </c>
      <c r="S46" s="48"/>
      <c r="T46" s="47">
        <v>5</v>
      </c>
      <c r="U46" s="48"/>
      <c r="V46" s="47">
        <v>5</v>
      </c>
      <c r="W46" s="48"/>
      <c r="X46" s="47">
        <v>5</v>
      </c>
      <c r="Y46" s="48"/>
      <c r="Z46"/>
      <c r="AA46" s="9" t="s">
        <v>5</v>
      </c>
      <c r="AB46" s="10">
        <f>AB45/30</f>
        <v>0</v>
      </c>
    </row>
    <row r="47" spans="1:28" x14ac:dyDescent="0.25">
      <c r="A47" s="47">
        <v>7</v>
      </c>
      <c r="B47" s="48"/>
      <c r="C47" s="47">
        <v>7</v>
      </c>
      <c r="D47" s="48"/>
      <c r="E47" s="47">
        <v>7</v>
      </c>
      <c r="F47" s="48"/>
      <c r="G47" s="47">
        <v>7</v>
      </c>
      <c r="H47" s="48"/>
      <c r="I47" s="47">
        <v>7</v>
      </c>
      <c r="J47" s="48"/>
      <c r="K47"/>
      <c r="L47"/>
      <c r="M47"/>
      <c r="P47" s="47">
        <v>6</v>
      </c>
      <c r="Q47" s="48"/>
      <c r="R47" s="47">
        <v>6</v>
      </c>
      <c r="S47" s="48"/>
      <c r="T47" s="47">
        <v>6</v>
      </c>
      <c r="U47" s="48"/>
      <c r="V47" s="47">
        <v>6</v>
      </c>
      <c r="W47" s="48"/>
      <c r="X47" s="47">
        <v>6</v>
      </c>
      <c r="Y47" s="48"/>
      <c r="Z47"/>
      <c r="AA47" s="9" t="s">
        <v>0</v>
      </c>
      <c r="AB47" s="11" t="str">
        <f>IF(R41="","",R41)</f>
        <v/>
      </c>
    </row>
    <row r="48" spans="1:28" x14ac:dyDescent="0.25">
      <c r="A48" s="47">
        <v>8</v>
      </c>
      <c r="B48" s="48"/>
      <c r="C48" s="47">
        <v>8</v>
      </c>
      <c r="D48" s="48"/>
      <c r="E48" s="47">
        <v>8</v>
      </c>
      <c r="F48" s="48"/>
      <c r="G48" s="47">
        <v>8</v>
      </c>
      <c r="H48" s="48"/>
      <c r="I48" s="47">
        <v>8</v>
      </c>
      <c r="J48" s="48"/>
      <c r="K48"/>
      <c r="L48"/>
      <c r="M48"/>
      <c r="P48" s="47">
        <v>7</v>
      </c>
      <c r="Q48" s="48"/>
      <c r="R48" s="47">
        <v>7</v>
      </c>
      <c r="S48" s="48"/>
      <c r="T48" s="47">
        <v>7</v>
      </c>
      <c r="U48" s="48"/>
      <c r="V48" s="47">
        <v>7</v>
      </c>
      <c r="W48" s="48"/>
      <c r="X48" s="47">
        <v>7</v>
      </c>
      <c r="Y48" s="48"/>
      <c r="Z48"/>
      <c r="AA48"/>
      <c r="AB48"/>
    </row>
    <row r="49" spans="1:28" x14ac:dyDescent="0.25">
      <c r="A49" s="47">
        <v>9</v>
      </c>
      <c r="B49" s="48"/>
      <c r="C49" s="47">
        <v>9</v>
      </c>
      <c r="D49" s="48"/>
      <c r="E49" s="47">
        <v>9</v>
      </c>
      <c r="F49" s="48"/>
      <c r="G49" s="47">
        <v>9</v>
      </c>
      <c r="H49" s="48"/>
      <c r="I49" s="47">
        <v>9</v>
      </c>
      <c r="J49" s="48"/>
      <c r="K49"/>
      <c r="L49"/>
      <c r="M49"/>
      <c r="P49" s="47">
        <v>8</v>
      </c>
      <c r="Q49" s="48"/>
      <c r="R49" s="47">
        <v>8</v>
      </c>
      <c r="S49" s="48"/>
      <c r="T49" s="47">
        <v>8</v>
      </c>
      <c r="U49" s="48"/>
      <c r="V49" s="47">
        <v>8</v>
      </c>
      <c r="W49" s="48"/>
      <c r="X49" s="47">
        <v>8</v>
      </c>
      <c r="Y49" s="48"/>
      <c r="Z49"/>
      <c r="AA49"/>
      <c r="AB49"/>
    </row>
    <row r="50" spans="1:28" x14ac:dyDescent="0.25">
      <c r="A50" s="47">
        <v>10</v>
      </c>
      <c r="B50" s="48"/>
      <c r="C50" s="47">
        <v>10</v>
      </c>
      <c r="D50" s="48"/>
      <c r="E50" s="47">
        <v>10</v>
      </c>
      <c r="F50" s="48"/>
      <c r="G50" s="47">
        <v>10</v>
      </c>
      <c r="H50" s="48"/>
      <c r="I50" s="47">
        <v>10</v>
      </c>
      <c r="J50" s="48"/>
      <c r="K50"/>
      <c r="L50"/>
      <c r="M50"/>
      <c r="P50" s="47">
        <v>9</v>
      </c>
      <c r="Q50" s="48"/>
      <c r="R50" s="47">
        <v>9</v>
      </c>
      <c r="S50" s="48"/>
      <c r="T50" s="47">
        <v>9</v>
      </c>
      <c r="U50" s="48"/>
      <c r="V50" s="47">
        <v>9</v>
      </c>
      <c r="W50" s="48"/>
      <c r="X50" s="47">
        <v>9</v>
      </c>
      <c r="Y50" s="48"/>
      <c r="Z50"/>
      <c r="AA50"/>
      <c r="AB50"/>
    </row>
    <row r="51" spans="1:28" x14ac:dyDescent="0.25">
      <c r="B51" s="8">
        <f>SUM(B41:B50)</f>
        <v>0</v>
      </c>
      <c r="D51" s="8">
        <f>SUM(D41:D50)</f>
        <v>0</v>
      </c>
      <c r="F51" s="8">
        <f>SUM(F41:F50)</f>
        <v>0</v>
      </c>
      <c r="H51" s="8">
        <f>SUM(H41:H50)</f>
        <v>0</v>
      </c>
      <c r="J51" s="8">
        <f>SUM(J41:J50)</f>
        <v>0</v>
      </c>
      <c r="K51"/>
      <c r="L51"/>
      <c r="M51"/>
      <c r="P51" s="47">
        <v>10</v>
      </c>
      <c r="Q51" s="48"/>
      <c r="R51" s="47">
        <v>10</v>
      </c>
      <c r="S51" s="48"/>
      <c r="T51" s="47">
        <v>10</v>
      </c>
      <c r="U51" s="48"/>
      <c r="V51" s="47">
        <v>10</v>
      </c>
      <c r="W51" s="48"/>
      <c r="X51" s="47">
        <v>10</v>
      </c>
      <c r="Y51" s="48"/>
      <c r="Z51"/>
      <c r="AA51"/>
      <c r="AB51"/>
    </row>
    <row r="52" spans="1:28" x14ac:dyDescent="0.25">
      <c r="Q52" s="8">
        <f>SUM(Q42:Q51)</f>
        <v>0</v>
      </c>
      <c r="S52" s="8">
        <f>SUM(S42:S51)</f>
        <v>0</v>
      </c>
      <c r="U52" s="8">
        <f>SUM(U42:U51)</f>
        <v>0</v>
      </c>
      <c r="W52" s="8">
        <f>SUM(W42:W51)</f>
        <v>0</v>
      </c>
      <c r="Y52" s="8">
        <f>SUM(Y42:Y51)</f>
        <v>0</v>
      </c>
      <c r="Z52"/>
      <c r="AA52"/>
      <c r="AB52"/>
    </row>
    <row r="53" spans="1:28" ht="15.75" x14ac:dyDescent="0.25">
      <c r="A53" s="6"/>
      <c r="B53" s="6"/>
      <c r="C53" s="6"/>
      <c r="D53" s="6"/>
      <c r="E53" s="6"/>
      <c r="F53" s="6" t="s">
        <v>66</v>
      </c>
      <c r="G53" s="6"/>
      <c r="H53" s="31">
        <v>46978</v>
      </c>
      <c r="I53" s="45" t="s">
        <v>42</v>
      </c>
      <c r="J53" s="45"/>
      <c r="K53"/>
      <c r="L53"/>
      <c r="M53"/>
    </row>
    <row r="54" spans="1:28" ht="15.75" x14ac:dyDescent="0.25">
      <c r="A54" s="47">
        <v>1</v>
      </c>
      <c r="B54" s="48"/>
      <c r="C54" s="47">
        <v>1</v>
      </c>
      <c r="D54" s="48"/>
      <c r="E54" s="47">
        <v>1</v>
      </c>
      <c r="F54" s="48"/>
      <c r="G54" s="47">
        <v>1</v>
      </c>
      <c r="H54" s="48"/>
      <c r="I54" s="47">
        <v>1</v>
      </c>
      <c r="J54" s="48"/>
      <c r="K54"/>
      <c r="L54" s="9" t="s">
        <v>1</v>
      </c>
      <c r="M54" s="10">
        <f>SUM(B64:J64)</f>
        <v>0</v>
      </c>
      <c r="P54" s="6"/>
      <c r="Q54" s="6"/>
      <c r="R54" s="6"/>
      <c r="S54" s="6"/>
      <c r="T54" s="6"/>
      <c r="U54" s="6" t="s">
        <v>66</v>
      </c>
      <c r="V54" s="6"/>
      <c r="W54" s="31">
        <v>46978</v>
      </c>
      <c r="X54" s="45" t="s">
        <v>42</v>
      </c>
      <c r="Y54" s="45"/>
      <c r="Z54"/>
      <c r="AA54"/>
      <c r="AB54"/>
    </row>
    <row r="55" spans="1:28" x14ac:dyDescent="0.25">
      <c r="A55" s="47">
        <v>2</v>
      </c>
      <c r="B55" s="48"/>
      <c r="C55" s="47">
        <v>2</v>
      </c>
      <c r="D55" s="48"/>
      <c r="E55" s="47">
        <v>2</v>
      </c>
      <c r="F55" s="48"/>
      <c r="G55" s="47">
        <v>2</v>
      </c>
      <c r="H55" s="48"/>
      <c r="I55" s="47">
        <v>2</v>
      </c>
      <c r="J55" s="48"/>
      <c r="K55"/>
      <c r="L55" s="9" t="s">
        <v>2</v>
      </c>
      <c r="M55" s="10">
        <f>MIN(B64:J64)</f>
        <v>0</v>
      </c>
      <c r="P55" s="47">
        <v>1</v>
      </c>
      <c r="Q55" s="48"/>
      <c r="R55" s="47">
        <v>1</v>
      </c>
      <c r="S55" s="48"/>
      <c r="T55" s="47">
        <v>1</v>
      </c>
      <c r="U55" s="48"/>
      <c r="V55" s="47">
        <v>1</v>
      </c>
      <c r="W55" s="48"/>
      <c r="X55" s="47">
        <v>1</v>
      </c>
      <c r="Y55" s="48"/>
      <c r="Z55"/>
      <c r="AA55" s="9" t="s">
        <v>1</v>
      </c>
      <c r="AB55" s="10">
        <f>SUM(Q65:Y65)</f>
        <v>0</v>
      </c>
    </row>
    <row r="56" spans="1:28" x14ac:dyDescent="0.25">
      <c r="A56" s="47">
        <v>3</v>
      </c>
      <c r="B56" s="48"/>
      <c r="C56" s="47">
        <v>3</v>
      </c>
      <c r="D56" s="48"/>
      <c r="E56" s="47">
        <v>3</v>
      </c>
      <c r="F56" s="48"/>
      <c r="G56" s="47">
        <v>3</v>
      </c>
      <c r="H56" s="48"/>
      <c r="I56" s="47">
        <v>3</v>
      </c>
      <c r="J56" s="48"/>
      <c r="K56"/>
      <c r="L56" s="9" t="s">
        <v>3</v>
      </c>
      <c r="M56" s="10">
        <f>MAX(B64:J64)</f>
        <v>0</v>
      </c>
      <c r="P56" s="47">
        <v>2</v>
      </c>
      <c r="Q56" s="48"/>
      <c r="R56" s="47">
        <v>2</v>
      </c>
      <c r="S56" s="48"/>
      <c r="T56" s="47">
        <v>2</v>
      </c>
      <c r="U56" s="48"/>
      <c r="V56" s="47">
        <v>2</v>
      </c>
      <c r="W56" s="48"/>
      <c r="X56" s="47">
        <v>2</v>
      </c>
      <c r="Y56" s="48"/>
      <c r="Z56"/>
      <c r="AA56" s="9" t="s">
        <v>2</v>
      </c>
      <c r="AB56" s="10">
        <f>MIN(Q65:Y65)</f>
        <v>0</v>
      </c>
    </row>
    <row r="57" spans="1:28" x14ac:dyDescent="0.25">
      <c r="A57" s="47">
        <v>4</v>
      </c>
      <c r="B57" s="48"/>
      <c r="C57" s="47">
        <v>4</v>
      </c>
      <c r="D57" s="48"/>
      <c r="E57" s="47">
        <v>4</v>
      </c>
      <c r="F57" s="48"/>
      <c r="G57" s="47">
        <v>4</v>
      </c>
      <c r="H57" s="48"/>
      <c r="I57" s="47">
        <v>4</v>
      </c>
      <c r="J57" s="48"/>
      <c r="K57"/>
      <c r="L57" s="9" t="s">
        <v>4</v>
      </c>
      <c r="M57" s="10">
        <f>M54-M55-M56</f>
        <v>0</v>
      </c>
      <c r="P57" s="47">
        <v>3</v>
      </c>
      <c r="Q57" s="48"/>
      <c r="R57" s="47">
        <v>3</v>
      </c>
      <c r="S57" s="48"/>
      <c r="T57" s="47">
        <v>3</v>
      </c>
      <c r="U57" s="48"/>
      <c r="V57" s="47">
        <v>3</v>
      </c>
      <c r="W57" s="48"/>
      <c r="X57" s="47">
        <v>3</v>
      </c>
      <c r="Y57" s="48"/>
      <c r="Z57"/>
      <c r="AA57" s="9" t="s">
        <v>3</v>
      </c>
      <c r="AB57" s="10">
        <f>MAX(Q65:Y65)</f>
        <v>0</v>
      </c>
    </row>
    <row r="58" spans="1:28" x14ac:dyDescent="0.25">
      <c r="A58" s="47">
        <v>5</v>
      </c>
      <c r="B58" s="48"/>
      <c r="C58" s="47">
        <v>5</v>
      </c>
      <c r="D58" s="48"/>
      <c r="E58" s="47">
        <v>5</v>
      </c>
      <c r="F58" s="48"/>
      <c r="G58" s="47">
        <v>5</v>
      </c>
      <c r="H58" s="48"/>
      <c r="I58" s="47">
        <v>5</v>
      </c>
      <c r="J58" s="48"/>
      <c r="K58"/>
      <c r="L58" s="9" t="s">
        <v>5</v>
      </c>
      <c r="M58" s="10">
        <f>M57/30</f>
        <v>0</v>
      </c>
      <c r="P58" s="47">
        <v>4</v>
      </c>
      <c r="Q58" s="48"/>
      <c r="R58" s="47">
        <v>4</v>
      </c>
      <c r="S58" s="48"/>
      <c r="T58" s="47">
        <v>4</v>
      </c>
      <c r="U58" s="48"/>
      <c r="V58" s="47">
        <v>4</v>
      </c>
      <c r="W58" s="48"/>
      <c r="X58" s="47">
        <v>4</v>
      </c>
      <c r="Y58" s="48"/>
      <c r="Z58"/>
      <c r="AA58" s="9" t="s">
        <v>4</v>
      </c>
      <c r="AB58" s="10">
        <f>AB55-AB56-AB57</f>
        <v>0</v>
      </c>
    </row>
    <row r="59" spans="1:28" x14ac:dyDescent="0.25">
      <c r="A59" s="47">
        <v>6</v>
      </c>
      <c r="B59" s="48"/>
      <c r="C59" s="47">
        <v>6</v>
      </c>
      <c r="D59" s="48"/>
      <c r="E59" s="47">
        <v>6</v>
      </c>
      <c r="F59" s="48"/>
      <c r="G59" s="47">
        <v>6</v>
      </c>
      <c r="H59" s="48"/>
      <c r="I59" s="47">
        <v>6</v>
      </c>
      <c r="J59" s="48"/>
      <c r="K59"/>
      <c r="L59" s="9" t="s">
        <v>0</v>
      </c>
      <c r="M59" s="11" t="str">
        <f>IF(C53="","",C53)</f>
        <v/>
      </c>
      <c r="P59" s="47">
        <v>5</v>
      </c>
      <c r="Q59" s="48"/>
      <c r="R59" s="47">
        <v>5</v>
      </c>
      <c r="S59" s="48"/>
      <c r="T59" s="47">
        <v>5</v>
      </c>
      <c r="U59" s="48"/>
      <c r="V59" s="47">
        <v>5</v>
      </c>
      <c r="W59" s="48"/>
      <c r="X59" s="47">
        <v>5</v>
      </c>
      <c r="Y59" s="48"/>
      <c r="Z59"/>
      <c r="AA59" s="9" t="s">
        <v>5</v>
      </c>
      <c r="AB59" s="10">
        <f>AB58/30</f>
        <v>0</v>
      </c>
    </row>
    <row r="60" spans="1:28" x14ac:dyDescent="0.25">
      <c r="A60" s="47">
        <v>7</v>
      </c>
      <c r="B60" s="48"/>
      <c r="C60" s="47">
        <v>7</v>
      </c>
      <c r="D60" s="48"/>
      <c r="E60" s="47">
        <v>7</v>
      </c>
      <c r="F60" s="48"/>
      <c r="G60" s="47">
        <v>7</v>
      </c>
      <c r="H60" s="48"/>
      <c r="I60" s="47">
        <v>7</v>
      </c>
      <c r="J60" s="48"/>
      <c r="K60"/>
      <c r="L60"/>
      <c r="M60"/>
      <c r="P60" s="47">
        <v>6</v>
      </c>
      <c r="Q60" s="48"/>
      <c r="R60" s="47">
        <v>6</v>
      </c>
      <c r="S60" s="48"/>
      <c r="T60" s="47">
        <v>6</v>
      </c>
      <c r="U60" s="48"/>
      <c r="V60" s="47">
        <v>6</v>
      </c>
      <c r="W60" s="48"/>
      <c r="X60" s="47">
        <v>6</v>
      </c>
      <c r="Y60" s="48"/>
      <c r="Z60"/>
      <c r="AA60" s="9" t="s">
        <v>0</v>
      </c>
      <c r="AB60" s="11" t="str">
        <f>IF(R54="","",R54)</f>
        <v/>
      </c>
    </row>
    <row r="61" spans="1:28" x14ac:dyDescent="0.25">
      <c r="A61" s="47">
        <v>8</v>
      </c>
      <c r="B61" s="48"/>
      <c r="C61" s="47">
        <v>8</v>
      </c>
      <c r="D61" s="48"/>
      <c r="E61" s="47">
        <v>8</v>
      </c>
      <c r="F61" s="48"/>
      <c r="G61" s="47">
        <v>8</v>
      </c>
      <c r="H61" s="48"/>
      <c r="I61" s="47">
        <v>8</v>
      </c>
      <c r="J61" s="48"/>
      <c r="K61"/>
      <c r="L61"/>
      <c r="M61"/>
      <c r="P61" s="47">
        <v>7</v>
      </c>
      <c r="Q61" s="48"/>
      <c r="R61" s="47">
        <v>7</v>
      </c>
      <c r="S61" s="48"/>
      <c r="T61" s="47">
        <v>7</v>
      </c>
      <c r="U61" s="48"/>
      <c r="V61" s="47">
        <v>7</v>
      </c>
      <c r="W61" s="48"/>
      <c r="X61" s="47">
        <v>7</v>
      </c>
      <c r="Y61" s="48"/>
      <c r="Z61"/>
      <c r="AA61"/>
      <c r="AB61"/>
    </row>
    <row r="62" spans="1:28" x14ac:dyDescent="0.25">
      <c r="A62" s="47">
        <v>9</v>
      </c>
      <c r="B62" s="48"/>
      <c r="C62" s="47">
        <v>9</v>
      </c>
      <c r="D62" s="48"/>
      <c r="E62" s="47">
        <v>9</v>
      </c>
      <c r="F62" s="48"/>
      <c r="G62" s="47">
        <v>9</v>
      </c>
      <c r="H62" s="48"/>
      <c r="I62" s="47">
        <v>9</v>
      </c>
      <c r="J62" s="48"/>
      <c r="K62"/>
      <c r="L62"/>
      <c r="M62"/>
      <c r="P62" s="47">
        <v>8</v>
      </c>
      <c r="Q62" s="48"/>
      <c r="R62" s="47">
        <v>8</v>
      </c>
      <c r="S62" s="48"/>
      <c r="T62" s="47">
        <v>8</v>
      </c>
      <c r="U62" s="48"/>
      <c r="V62" s="47">
        <v>8</v>
      </c>
      <c r="W62" s="48"/>
      <c r="X62" s="47">
        <v>8</v>
      </c>
      <c r="Y62" s="48"/>
      <c r="Z62"/>
      <c r="AA62"/>
      <c r="AB62"/>
    </row>
    <row r="63" spans="1:28" x14ac:dyDescent="0.25">
      <c r="A63" s="47">
        <v>10</v>
      </c>
      <c r="B63" s="48"/>
      <c r="C63" s="47">
        <v>10</v>
      </c>
      <c r="D63" s="48"/>
      <c r="E63" s="47">
        <v>10</v>
      </c>
      <c r="F63" s="48"/>
      <c r="G63" s="47">
        <v>10</v>
      </c>
      <c r="H63" s="48"/>
      <c r="I63" s="47">
        <v>10</v>
      </c>
      <c r="J63" s="48"/>
      <c r="K63"/>
      <c r="L63"/>
      <c r="M63"/>
      <c r="P63" s="47">
        <v>9</v>
      </c>
      <c r="Q63" s="48"/>
      <c r="R63" s="47">
        <v>9</v>
      </c>
      <c r="S63" s="48"/>
      <c r="T63" s="47">
        <v>9</v>
      </c>
      <c r="U63" s="48"/>
      <c r="V63" s="47">
        <v>9</v>
      </c>
      <c r="W63" s="48"/>
      <c r="X63" s="47">
        <v>9</v>
      </c>
      <c r="Y63" s="48"/>
      <c r="Z63"/>
      <c r="AA63"/>
      <c r="AB63"/>
    </row>
    <row r="64" spans="1:28" x14ac:dyDescent="0.25">
      <c r="B64" s="8">
        <f>SUM(B54:B63)</f>
        <v>0</v>
      </c>
      <c r="D64" s="8">
        <f>SUM(D54:D63)</f>
        <v>0</v>
      </c>
      <c r="F64" s="8">
        <f>SUM(F54:F63)</f>
        <v>0</v>
      </c>
      <c r="H64" s="8">
        <f>SUM(H54:H63)</f>
        <v>0</v>
      </c>
      <c r="J64" s="8">
        <f>SUM(J54:J63)</f>
        <v>0</v>
      </c>
      <c r="K64"/>
      <c r="L64"/>
      <c r="M64"/>
      <c r="P64" s="47">
        <v>10</v>
      </c>
      <c r="Q64" s="48"/>
      <c r="R64" s="47">
        <v>10</v>
      </c>
      <c r="S64" s="48"/>
      <c r="T64" s="47">
        <v>10</v>
      </c>
      <c r="U64" s="48"/>
      <c r="V64" s="47">
        <v>10</v>
      </c>
      <c r="W64" s="48"/>
      <c r="X64" s="47">
        <v>10</v>
      </c>
      <c r="Y64" s="48"/>
      <c r="Z64"/>
      <c r="AA64"/>
      <c r="AB64"/>
    </row>
    <row r="65" spans="1:28" x14ac:dyDescent="0.25">
      <c r="Q65" s="8">
        <f>SUM(Q55:Q64)</f>
        <v>0</v>
      </c>
      <c r="S65" s="8">
        <f>SUM(S55:S64)</f>
        <v>0</v>
      </c>
      <c r="U65" s="8">
        <f>SUM(U55:U64)</f>
        <v>0</v>
      </c>
      <c r="W65" s="8">
        <f>SUM(W55:W64)</f>
        <v>0</v>
      </c>
      <c r="Y65" s="8">
        <f>SUM(Y55:Y64)</f>
        <v>0</v>
      </c>
      <c r="Z65"/>
      <c r="AA65"/>
      <c r="AB65"/>
    </row>
    <row r="67" spans="1:28" ht="15.75" x14ac:dyDescent="0.25">
      <c r="A67" s="15" t="s">
        <v>7</v>
      </c>
    </row>
  </sheetData>
  <mergeCells count="13">
    <mergeCell ref="L12:M12"/>
    <mergeCell ref="L25:M25"/>
    <mergeCell ref="L38:M38"/>
    <mergeCell ref="X1:Y1"/>
    <mergeCell ref="X14:Y14"/>
    <mergeCell ref="X28:Y28"/>
    <mergeCell ref="X41:Y41"/>
    <mergeCell ref="X54:Y54"/>
    <mergeCell ref="I1:J1"/>
    <mergeCell ref="I14:J14"/>
    <mergeCell ref="I27:J27"/>
    <mergeCell ref="I40:J40"/>
    <mergeCell ref="I53:J53"/>
  </mergeCells>
  <hyperlinks>
    <hyperlink ref="I1:J1" location="'Dag 1'!A1" tooltip="Hiermee ga je terug naar Dag 1" display="Terug naar Dag 1" xr:uid="{C018B162-5A07-4E19-8A67-ACAF44F59FB2}"/>
    <hyperlink ref="I14:J14" location="'Dag 2'!A1" tooltip="Hiermee ga je terug naar Dag 2" display="Terug naar Dag 2" xr:uid="{FF5DA97F-84D0-446A-BC46-335B95DE9DD4}"/>
    <hyperlink ref="I27:J27" location="'Dag 3'!A1" tooltip="Hiermee ga je terug naar Dag 3" display="Terug naar Dag 3" xr:uid="{E9F1052A-7A8A-4189-B923-C4D4EC6485C5}"/>
    <hyperlink ref="I40:J40" location="'Dag 1'!A1" tooltip="Hiermee ga je terug naar Dag 1" display="Terug naar Dag 1" xr:uid="{02F7646C-8335-404C-AAA2-5248F9D6B3FC}"/>
    <hyperlink ref="I53:J53" location="'Dag 1'!A1" tooltip="Hiermee ga je terug naar Dag 1" display="Terug naar Dag 1" xr:uid="{8D4B303D-3875-436D-ACB1-6C4CE27B155B}"/>
    <hyperlink ref="X1:Y1" location="'Dag 1'!A1" tooltip="Hiermee ga je terug naar Dag 1" display="Terug naar Dag 1" xr:uid="{315BBBB3-DA85-4C8E-903D-D8E01D27563C}"/>
    <hyperlink ref="X14:Y14" location="'Dag 1'!A1" tooltip="Hiermee ga je terug naar Dag 1" display="Terug naar Dag 1" xr:uid="{BB58FEB9-06C7-4D0E-830B-508A98AE8BBC}"/>
    <hyperlink ref="X28:Y28" location="'Dag 1'!A1" tooltip="Hiermee ga je terug naar Dag 1" display="Terug naar Dag 1" xr:uid="{9976905B-5D12-4989-B103-D2E794F76223}"/>
    <hyperlink ref="X41:Y41" location="'Dag 1'!A1" tooltip="Hiermee ga je terug naar Dag 1" display="Terug naar Dag 1" xr:uid="{7AA0B944-00F1-48CE-9E90-89851475FBD5}"/>
    <hyperlink ref="X54:Y54" location="'Dag 1'!A1" tooltip="Hiermee ga je terug naar Dag 1" display="Terug naar Dag 1" xr:uid="{002003A7-CEAB-4491-BC28-02F05345CD6F}"/>
    <hyperlink ref="L12:M12" location="'Dag 1'!A1" tooltip="Hiermee ga je terug naar Dag 1" display="Terug naar Dag 1" xr:uid="{6A1DE6DC-166A-44D1-B461-BFF6F24F63EA}"/>
    <hyperlink ref="L25:M25" location="'Dag 2'!A1" tooltip="Hiermee ga je terug naar Dag 2" display="Terug naar Dag 2" xr:uid="{97B8CD35-E326-4496-AB50-FF8E6ABB167C}"/>
    <hyperlink ref="L38:M38" location="'Dag 3'!A1" tooltip="Hiermee ga je terug naar Dag 3" display="Terug naar Dag 3" xr:uid="{0B0E2E78-13C3-4EE6-8C6D-848C70BD5A47}"/>
  </hyperlink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80B0-D268-497C-B43C-C1788E2AB137}">
  <dimension ref="A2:M31"/>
  <sheetViews>
    <sheetView tabSelected="1" workbookViewId="0">
      <selection activeCell="J51" sqref="J51"/>
    </sheetView>
  </sheetViews>
  <sheetFormatPr defaultRowHeight="15" x14ac:dyDescent="0.25"/>
  <cols>
    <col min="10" max="10" width="14" style="2" customWidth="1"/>
    <col min="11" max="11" width="12.42578125" style="2" customWidth="1"/>
    <col min="12" max="12" width="12.140625" style="2" customWidth="1"/>
    <col min="13" max="13" width="11.5703125" style="2" customWidth="1"/>
  </cols>
  <sheetData>
    <row r="2" spans="10:13" ht="15.75" x14ac:dyDescent="0.25">
      <c r="J2" s="12" t="s">
        <v>0</v>
      </c>
      <c r="K2" s="12" t="s">
        <v>6</v>
      </c>
      <c r="L2" s="12" t="s">
        <v>3</v>
      </c>
      <c r="M2" s="12" t="s">
        <v>2</v>
      </c>
    </row>
    <row r="3" spans="10:13" x14ac:dyDescent="0.25">
      <c r="J3" s="13" t="str">
        <f>Score!M7</f>
        <v>dd/mm/jjjj</v>
      </c>
      <c r="K3" s="14">
        <f>Score!M6</f>
        <v>0</v>
      </c>
      <c r="L3" s="14">
        <f>Score!M4</f>
        <v>0</v>
      </c>
      <c r="M3" s="14">
        <f>Score!M3</f>
        <v>0</v>
      </c>
    </row>
    <row r="4" spans="10:13" x14ac:dyDescent="0.25">
      <c r="J4" s="13">
        <v>45555</v>
      </c>
      <c r="K4" s="14">
        <v>75.2</v>
      </c>
      <c r="L4" s="14">
        <v>900</v>
      </c>
      <c r="M4" s="14">
        <v>520</v>
      </c>
    </row>
    <row r="5" spans="10:13" x14ac:dyDescent="0.25">
      <c r="J5" s="13">
        <v>45562</v>
      </c>
      <c r="K5" s="14">
        <v>74.2</v>
      </c>
      <c r="L5" s="14"/>
      <c r="M5" s="14"/>
    </row>
    <row r="6" spans="10:13" x14ac:dyDescent="0.25">
      <c r="J6" s="14"/>
      <c r="K6" s="14"/>
      <c r="L6" s="14"/>
      <c r="M6" s="14"/>
    </row>
    <row r="7" spans="10:13" x14ac:dyDescent="0.25">
      <c r="J7" s="14"/>
      <c r="K7" s="14"/>
      <c r="L7" s="14"/>
      <c r="M7" s="14"/>
    </row>
    <row r="8" spans="10:13" x14ac:dyDescent="0.25">
      <c r="J8" s="14"/>
      <c r="K8" s="14"/>
      <c r="L8" s="14"/>
      <c r="M8" s="14"/>
    </row>
    <row r="9" spans="10:13" x14ac:dyDescent="0.25">
      <c r="J9" s="14"/>
      <c r="K9" s="14"/>
      <c r="L9" s="14"/>
      <c r="M9" s="14"/>
    </row>
    <row r="10" spans="10:13" x14ac:dyDescent="0.25">
      <c r="J10" s="14"/>
      <c r="K10" s="14"/>
      <c r="L10" s="14"/>
      <c r="M10" s="14"/>
    </row>
    <row r="11" spans="10:13" x14ac:dyDescent="0.25">
      <c r="J11" s="14"/>
      <c r="K11" s="14"/>
      <c r="L11" s="14"/>
      <c r="M11" s="14"/>
    </row>
    <row r="12" spans="10:13" x14ac:dyDescent="0.25">
      <c r="J12" s="14"/>
      <c r="K12" s="14"/>
      <c r="L12" s="14"/>
      <c r="M12" s="14"/>
    </row>
    <row r="13" spans="10:13" x14ac:dyDescent="0.25">
      <c r="J13" s="14"/>
      <c r="K13" s="14"/>
      <c r="L13" s="14"/>
      <c r="M13" s="14"/>
    </row>
    <row r="14" spans="10:13" x14ac:dyDescent="0.25">
      <c r="J14" s="14"/>
      <c r="K14" s="14"/>
      <c r="L14" s="14"/>
      <c r="M14" s="14"/>
    </row>
    <row r="15" spans="10:13" x14ac:dyDescent="0.25">
      <c r="J15" s="14"/>
      <c r="K15" s="14"/>
      <c r="L15" s="14"/>
      <c r="M15" s="14"/>
    </row>
    <row r="16" spans="10:13" x14ac:dyDescent="0.25">
      <c r="J16" s="14"/>
      <c r="K16" s="14"/>
      <c r="L16" s="14"/>
      <c r="M16" s="14"/>
    </row>
    <row r="17" spans="1:13" x14ac:dyDescent="0.25">
      <c r="J17" s="14"/>
      <c r="K17" s="14"/>
      <c r="L17" s="14"/>
      <c r="M17" s="14"/>
    </row>
    <row r="31" spans="1:13" ht="15.75" x14ac:dyDescent="0.25">
      <c r="A31" s="15" t="s">
        <v>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2F4702A07C74388B0768DF7F03657" ma:contentTypeVersion="11" ma:contentTypeDescription="Een nieuw document maken." ma:contentTypeScope="" ma:versionID="ddb74a47eddc0cb8bf96000deb773343">
  <xsd:schema xmlns:xsd="http://www.w3.org/2001/XMLSchema" xmlns:xs="http://www.w3.org/2001/XMLSchema" xmlns:p="http://schemas.microsoft.com/office/2006/metadata/properties" xmlns:ns2="f87a6f87-d8d8-4fc0-9aca-1ff3d177b6ef" xmlns:ns3="4d471f8f-3df6-4db1-95c4-8b40bc81273f" targetNamespace="http://schemas.microsoft.com/office/2006/metadata/properties" ma:root="true" ma:fieldsID="4a6ff3e7eb16f4083d107acb7af5bdb9" ns2:_="" ns3:_="">
    <xsd:import namespace="f87a6f87-d8d8-4fc0-9aca-1ff3d177b6ef"/>
    <xsd:import namespace="4d471f8f-3df6-4db1-95c4-8b40bc81273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a6f87-d8d8-4fc0-9aca-1ff3d177b6e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Afbeeldingtags" ma:readOnly="false" ma:fieldId="{5cf76f15-5ced-4ddc-b409-7134ff3c332f}" ma:taxonomyMulti="true" ma:sspId="23f5082d-eff4-4034-8bd7-41f0fa0e09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71f8f-3df6-4db1-95c4-8b40bc81273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b73bfae-e123-4ecc-aad6-b3399cb7d4e4}" ma:internalName="TaxCatchAll" ma:showField="CatchAllData" ma:web="4d471f8f-3df6-4db1-95c4-8b40bc8127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471f8f-3df6-4db1-95c4-8b40bc81273f" xsi:nil="true"/>
    <lcf76f155ced4ddcb4097134ff3c332f xmlns="f87a6f87-d8d8-4fc0-9aca-1ff3d177b6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501920-0667-4070-807E-89DFAD53F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7a6f87-d8d8-4fc0-9aca-1ff3d177b6ef"/>
    <ds:schemaRef ds:uri="4d471f8f-3df6-4db1-95c4-8b40bc8127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9B63FB-FD92-4D86-9A6B-CE1D0A512A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6F16A5-C216-4A63-A900-44C8C190600E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f87a6f87-d8d8-4fc0-9aca-1ff3d177b6ef"/>
    <ds:schemaRef ds:uri="http://schemas.microsoft.com/office/2006/documentManagement/types"/>
    <ds:schemaRef ds:uri="http://purl.org/dc/dcmitype/"/>
    <ds:schemaRef ds:uri="4d471f8f-3df6-4db1-95c4-8b40bc81273f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Inhoud</vt:lpstr>
      <vt:lpstr>Doelbepaling</vt:lpstr>
      <vt:lpstr>Dag 1</vt:lpstr>
      <vt:lpstr>Dag 2</vt:lpstr>
      <vt:lpstr>Dag 3</vt:lpstr>
      <vt:lpstr>Dag 4</vt:lpstr>
      <vt:lpstr>Score</vt:lpstr>
      <vt:lpstr>Grafiek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Rik Gruijthuijsen</dc:creator>
  <cp:keywords/>
  <dc:description/>
  <cp:lastModifiedBy>Rik Gruijthuijsen</cp:lastModifiedBy>
  <cp:revision/>
  <cp:lastPrinted>2025-08-24T21:27:42Z</cp:lastPrinted>
  <dcterms:created xsi:type="dcterms:W3CDTF">2024-08-12T15:27:37Z</dcterms:created>
  <dcterms:modified xsi:type="dcterms:W3CDTF">2025-08-24T21:43:03Z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0x01010027E2F4702A07C74388B0768DF7F03657</vt:lpwstr>
  </property>
  <property fmtid="{D5CDD505-2E9C-101B-9397-08002B2CF9AE}" pid="3" name="MediaServiceImageTags">
    <vt:lpwstr/>
  </property>
</Properties>
</file>