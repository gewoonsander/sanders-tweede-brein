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D" sheetId="1" r:id="rId4"/>
    <sheet state="visible" name="115" sheetId="2" r:id="rId5"/>
    <sheet state="visible" name="Blad24" sheetId="3" r:id="rId6"/>
    <sheet state="visible" name="Blad29" sheetId="4" r:id="rId7"/>
    <sheet state="visible" name="175-171" sheetId="5" r:id="rId8"/>
    <sheet state="visible" name="9darters" sheetId="6" r:id="rId9"/>
    <sheet state="visible" name="bereikenen" sheetId="7" r:id="rId10"/>
    <sheet state="visible" name="bull" sheetId="8" r:id="rId11"/>
    <sheet state="visible" name="safty zones" sheetId="9" r:id="rId12"/>
    <sheet state="visible" name="shanghai" sheetId="10" r:id="rId13"/>
    <sheet state="visible" name="Blad9" sheetId="11" r:id="rId14"/>
    <sheet state="visible" name="singles" sheetId="12" r:id="rId15"/>
    <sheet state="visible" name="tripples" sheetId="13" r:id="rId16"/>
    <sheet state="visible" name="dubbels" sheetId="14" r:id="rId17"/>
    <sheet state="visible" name="score 2 pijlen" sheetId="15" r:id="rId18"/>
    <sheet state="visible" name="onmogelijke score 2 pijlen" sheetId="16" r:id="rId19"/>
    <sheet state="visible" name="score 3 darts" sheetId="17" r:id="rId20"/>
    <sheet state="visible" name="score 4 darts" sheetId="18" r:id="rId21"/>
    <sheet state="visible" name="Blad5" sheetId="19" r:id="rId22"/>
    <sheet state="visible" name="Blad21" sheetId="20" r:id="rId23"/>
    <sheet state="visible" name="bogey" sheetId="21" r:id="rId24"/>
    <sheet state="visible" name="262" sheetId="22" r:id="rId25"/>
    <sheet state="visible" name="Route Tool" sheetId="23" r:id="rId26"/>
    <sheet state="visible" name="bijzondere getallen" sheetId="24" r:id="rId27"/>
    <sheet state="visible" name="bereiken" sheetId="25" r:id="rId28"/>
    <sheet state="visible" name="Blad1" sheetId="26" r:id="rId29"/>
    <sheet state="visible" name="score 1 pijl" sheetId="27" r:id="rId30"/>
    <sheet state="visible" name="redelijke scores" sheetId="28" r:id="rId31"/>
    <sheet state="visible" name="redelijk 2 darts" sheetId="29" r:id="rId32"/>
    <sheet state="visible" name="redelijk 3 darts" sheetId="30" r:id="rId33"/>
    <sheet state="visible" name="Blad33" sheetId="31" r:id="rId34"/>
    <sheet state="visible" name="onmogelijke 1 darts score" sheetId="32" r:id="rId35"/>
    <sheet state="visible" name="Blad2" sheetId="33" r:id="rId36"/>
    <sheet state="visible" name="schema rtl7" sheetId="34" r:id="rId37"/>
    <sheet state="visible" name="uitgooi schemas" sheetId="35" r:id="rId38"/>
    <sheet state="visible" name="dubbel dubbel" sheetId="36" r:id="rId39"/>
    <sheet state="visible" name="Blad6" sheetId="37" r:id="rId40"/>
    <sheet state="visible" name="2 dart finishes" sheetId="38" r:id="rId41"/>
    <sheet state="visible" name="4x + Dubbel" sheetId="39" r:id="rId42"/>
    <sheet state="visible" name="grenzen" sheetId="40" r:id="rId43"/>
    <sheet state="visible" name="wegzetfase" sheetId="41" r:id="rId44"/>
    <sheet state="visible" name="Kopie van bogey" sheetId="42" r:id="rId45"/>
    <sheet state="visible" name="gemiddeldes" sheetId="43" r:id="rId46"/>
  </sheets>
  <definedNames>
    <definedName name="restscore_na_single_pijl_1">'Route Tool'!$D$18</definedName>
    <definedName name="tripples">tripples!$B$1:$B$20</definedName>
    <definedName name="dubbels">dubbels!$B$1:$B$21</definedName>
    <definedName name="score4pijlen">'score 4 darts'!$B$2:$AP$173</definedName>
    <definedName name="mogelijke_segmenten">bereikenen!$A$1:$A$21</definedName>
    <definedName name="pijl2namisser">'Route Tool'!$C$4</definedName>
    <definedName name="start">'Route Tool'!$C$1</definedName>
    <definedName name="singles">singles!$A$2:$A$22</definedName>
    <definedName name="pijl3natreffer">'Route Tool'!$C$5</definedName>
    <definedName localSheetId="17" name="score3pijlen">'score 4 darts'!$B$2:$AP$111</definedName>
    <definedName name="pijl1">'Route Tool'!$C$2</definedName>
    <definedName name="score3pijlen">'score 3 darts'!$B$2:$AP$111</definedName>
    <definedName localSheetId="15" name="score2pijlen">'onmogelijke score 2 pijlen'!$B$2:$AP$43</definedName>
    <definedName name="pijl3_na_misser">'Route Tool'!$C$6</definedName>
    <definedName name="score2pijlen">'score 2 pijlen'!$B$2:$AP$43</definedName>
    <definedName name="Pijl2_na_treffer">'Route Tool'!$C$3</definedName>
    <definedName hidden="1" localSheetId="0" name="_xlnm._FilterDatabase">TTD!$A$1:$Z$1000</definedName>
    <definedName hidden="1" localSheetId="34" name="_xlnm._FilterDatabase">'uitgooi schemas'!$A$1:$AB$993</definedName>
    <definedName hidden="1" localSheetId="0" name="Z_90695445_C167_4A02_B293_0C05CE0DFBD1_.wvu.FilterData">TTD!$A$1:$Z$1000</definedName>
    <definedName hidden="1" localSheetId="15" name="Z_90695445_C167_4A02_B293_0C05CE0DFBD1_.wvu.FilterData">'onmogelijke score 2 pijlen'!$AR$1:$AR$999</definedName>
    <definedName hidden="1" localSheetId="16" name="Z_90695445_C167_4A02_B293_0C05CE0DFBD1_.wvu.FilterData">'score 3 darts'!$A$1:$AR$992</definedName>
    <definedName hidden="1" localSheetId="17" name="Z_90695445_C167_4A02_B293_0C05CE0DFBD1_.wvu.FilterData">'score 4 darts'!$A$1:$AR$978</definedName>
  </definedNames>
  <calcPr/>
  <customWorkbookViews>
    <customWorkbookView activeSheetId="0" maximized="1" windowHeight="0" windowWidth="0" guid="{90695445-C167-4A02-B293-0C05CE0DFBD1}" name="Filter 1"/>
  </customWorkbookViews>
  <extLst>
    <ext uri="GoogleSheetsCustomDataVersion2">
      <go:sheetsCustomData xmlns:go="http://customooxmlschemas.google.com/" r:id="rId47" roundtripDataChecksum="9xarGh8W0OchawmZiCZn1SrYBVUFmnsrXOZFg3hSTiA="/>
    </ext>
  </extLst>
</workbook>
</file>

<file path=xl/sharedStrings.xml><?xml version="1.0" encoding="utf-8"?>
<sst xmlns="http://schemas.openxmlformats.org/spreadsheetml/2006/main" count="831" uniqueCount="176">
  <si>
    <t>tripple</t>
  </si>
  <si>
    <t>dubbel</t>
  </si>
  <si>
    <t>finish</t>
  </si>
  <si>
    <t>score</t>
  </si>
  <si>
    <t>rest 1</t>
  </si>
  <si>
    <t>score 2</t>
  </si>
  <si>
    <t>score 3</t>
  </si>
  <si>
    <t>doel</t>
  </si>
  <si>
    <t>single</t>
  </si>
  <si>
    <t>T20</t>
  </si>
  <si>
    <t>S20</t>
  </si>
  <si>
    <t>T19</t>
  </si>
  <si>
    <t>T15</t>
  </si>
  <si>
    <t>T14</t>
  </si>
  <si>
    <t>T13</t>
  </si>
  <si>
    <t>T12</t>
  </si>
  <si>
    <t>T11</t>
  </si>
  <si>
    <t>S15</t>
  </si>
  <si>
    <t>S14</t>
  </si>
  <si>
    <t>S13</t>
  </si>
  <si>
    <t>S12</t>
  </si>
  <si>
    <t>S11</t>
  </si>
  <si>
    <t>T18</t>
  </si>
  <si>
    <t>T17</t>
  </si>
  <si>
    <t>T16</t>
  </si>
  <si>
    <t>BE</t>
  </si>
  <si>
    <t>D20</t>
  </si>
  <si>
    <t>D17</t>
  </si>
  <si>
    <t>Uit met</t>
  </si>
  <si>
    <t>Mogelijkheden</t>
  </si>
  <si>
    <t>D12</t>
  </si>
  <si>
    <t>D15</t>
  </si>
  <si>
    <t>D18</t>
  </si>
  <si>
    <t>D29</t>
  </si>
  <si>
    <t xml:space="preserve"> </t>
  </si>
  <si>
    <t>rest</t>
  </si>
  <si>
    <t>1e pijl</t>
  </si>
  <si>
    <t>2e pijl</t>
  </si>
  <si>
    <t>3e pijl</t>
  </si>
  <si>
    <t>S18</t>
  </si>
  <si>
    <t>132: T18-S18-T20</t>
  </si>
  <si>
    <t>cijfervlak</t>
  </si>
  <si>
    <t>Naam</t>
  </si>
  <si>
    <t>Content</t>
  </si>
  <si>
    <t>Afkorting</t>
  </si>
  <si>
    <t>Category</t>
  </si>
  <si>
    <t>waarde</t>
  </si>
  <si>
    <t>Single</t>
  </si>
  <si>
    <t>Double</t>
  </si>
  <si>
    <t>Triple</t>
  </si>
  <si>
    <t>2darts score</t>
  </si>
  <si>
    <t>3darts score</t>
  </si>
  <si>
    <t>2 db</t>
  </si>
  <si>
    <t>3 db</t>
  </si>
  <si>
    <t>4db</t>
  </si>
  <si>
    <t>5db</t>
  </si>
  <si>
    <t>6db</t>
  </si>
  <si>
    <t>7db</t>
  </si>
  <si>
    <t>8db</t>
  </si>
  <si>
    <t>pas op voor</t>
  </si>
  <si>
    <t>min beurt</t>
  </si>
  <si>
    <t xml:space="preserve">min aantal darts </t>
  </si>
  <si>
    <t>12darter</t>
  </si>
  <si>
    <t>S</t>
  </si>
  <si>
    <t>start</t>
  </si>
  <si>
    <t>is c3 leeg?</t>
  </si>
  <si>
    <t>A</t>
  </si>
  <si>
    <t>pijl 1</t>
  </si>
  <si>
    <t>B</t>
  </si>
  <si>
    <t>pijl 2 na treffer</t>
  </si>
  <si>
    <t xml:space="preserve">als pijl 1 25 is dan is </t>
  </si>
  <si>
    <t>C</t>
  </si>
  <si>
    <t>Pijl 2 na misser</t>
  </si>
  <si>
    <t>D</t>
  </si>
  <si>
    <t>pijl 3 na treffer</t>
  </si>
  <si>
    <t>controleer of de ingevulde waarde een bull is</t>
  </si>
  <si>
    <t>E</t>
  </si>
  <si>
    <t>pijl 3 na misser</t>
  </si>
  <si>
    <t>reden</t>
  </si>
  <si>
    <t>bijnaam</t>
  </si>
  <si>
    <t>kan maar op 1 manier &amp; is de laagste finish</t>
  </si>
  <si>
    <t>madhouse</t>
  </si>
  <si>
    <t>kan maar op 1 manier</t>
  </si>
  <si>
    <t>verplichte 3 darts finish onder de 100</t>
  </si>
  <si>
    <t>2 darts bogey</t>
  </si>
  <si>
    <t>3 darts bogey</t>
  </si>
  <si>
    <t>sss</t>
  </si>
  <si>
    <t>ssd</t>
  </si>
  <si>
    <t>sst</t>
  </si>
  <si>
    <t>tts</t>
  </si>
  <si>
    <t>ttd</t>
  </si>
  <si>
    <t>ttt</t>
  </si>
  <si>
    <t>ddd</t>
  </si>
  <si>
    <t>dds</t>
  </si>
  <si>
    <t>ddt</t>
  </si>
  <si>
    <t>T2</t>
  </si>
  <si>
    <t>T3</t>
  </si>
  <si>
    <t>T4</t>
  </si>
  <si>
    <t>puntenrammen</t>
  </si>
  <si>
    <t>met 180 op finish</t>
  </si>
  <si>
    <t>met 140 op finish</t>
  </si>
  <si>
    <t>bogey</t>
  </si>
  <si>
    <t>v</t>
  </si>
  <si>
    <t>winmau</t>
  </si>
  <si>
    <t>bulls</t>
  </si>
  <si>
    <t>controle</t>
  </si>
  <si>
    <t>dart 1 gelijk</t>
  </si>
  <si>
    <t>dart 2 gelijk</t>
  </si>
  <si>
    <t>dart 3 gelijk</t>
  </si>
  <si>
    <t>opmerking</t>
  </si>
  <si>
    <t>gelijk</t>
  </si>
  <si>
    <t>dart 1</t>
  </si>
  <si>
    <t>dart 2</t>
  </si>
  <si>
    <t>dart 3</t>
  </si>
  <si>
    <t>x</t>
  </si>
  <si>
    <t>4 X 19?</t>
  </si>
  <si>
    <t>dubbel 1</t>
  </si>
  <si>
    <t>BE + BE</t>
  </si>
  <si>
    <t>BE + D20</t>
  </si>
  <si>
    <t>BE + D19</t>
  </si>
  <si>
    <t>BE + D18</t>
  </si>
  <si>
    <t>D20 + D20</t>
  </si>
  <si>
    <t>D20 + D19</t>
  </si>
  <si>
    <t>D20 + D18 of D19 + D19</t>
  </si>
  <si>
    <t>D19 + D18</t>
  </si>
  <si>
    <t>D18 + D18 of D20 + D16</t>
  </si>
  <si>
    <t xml:space="preserve">BE + D16 </t>
  </si>
  <si>
    <t>D19 + D16</t>
  </si>
  <si>
    <t>D18 + D16</t>
  </si>
  <si>
    <t>D16 + D16</t>
  </si>
  <si>
    <t>39 totaal</t>
  </si>
  <si>
    <t>x4</t>
  </si>
  <si>
    <t>d16</t>
  </si>
  <si>
    <t>d18</t>
  </si>
  <si>
    <t>d20</t>
  </si>
  <si>
    <t>soort</t>
  </si>
  <si>
    <t>d</t>
  </si>
  <si>
    <t>alle even nummers van 2 t/m 40 + 50</t>
  </si>
  <si>
    <t>sd</t>
  </si>
  <si>
    <t>t/m 70</t>
  </si>
  <si>
    <t>t/m 100</t>
  </si>
  <si>
    <t>tsd</t>
  </si>
  <si>
    <t>t/m 135</t>
  </si>
  <si>
    <t>tot 170</t>
  </si>
  <si>
    <t>12 drts</t>
  </si>
  <si>
    <t>beurten</t>
  </si>
  <si>
    <t>darts</t>
  </si>
  <si>
    <t>gemiddeldes/ pijl</t>
  </si>
  <si>
    <t>gem/beurt</t>
  </si>
  <si>
    <t>benaming</t>
  </si>
  <si>
    <t>onzin</t>
  </si>
  <si>
    <t>finishes</t>
  </si>
  <si>
    <t xml:space="preserve">wegzetten </t>
  </si>
  <si>
    <t>score 100 of meer</t>
  </si>
  <si>
    <t>Prof</t>
  </si>
  <si>
    <t>beginneling</t>
  </si>
  <si>
    <t>8 of meer</t>
  </si>
  <si>
    <t>1 dart</t>
  </si>
  <si>
    <t>van af 60</t>
  </si>
  <si>
    <t>gevorderde</t>
  </si>
  <si>
    <t>7 of minder</t>
  </si>
  <si>
    <t>1+2 darts</t>
  </si>
  <si>
    <t>soms</t>
  </si>
  <si>
    <t>amateur</t>
  </si>
  <si>
    <t>6 of meer</t>
  </si>
  <si>
    <t>1+2+3</t>
  </si>
  <si>
    <t>vanaf 350</t>
  </si>
  <si>
    <t>regelmatig</t>
  </si>
  <si>
    <t>prof</t>
  </si>
  <si>
    <t>5 of minder</t>
  </si>
  <si>
    <t>vanaf beurt 1</t>
  </si>
  <si>
    <t>vaak</t>
  </si>
  <si>
    <t>?</t>
  </si>
  <si>
    <t>Amateur</t>
  </si>
  <si>
    <t>Gevorderde</t>
  </si>
  <si>
    <t>Beginneling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</si>
</sst>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color theme="1"/>
      <name val="Calibri"/>
      <scheme val="minor"/>
    </font>
    <font>
      <strike/>
      <color theme="1"/>
      <name val="Calibri"/>
      <scheme val="minor"/>
    </font>
    <font>
      <sz val="11.0"/>
      <color rgb="FF333333"/>
      <name val="Arial"/>
    </font>
    <font>
      <sz val="9.0"/>
      <color rgb="FF000000"/>
      <name val="&quot;Google Sans Mono&quot;"/>
    </font>
    <font>
      <b/>
      <color theme="1"/>
      <name val="Calibri"/>
      <scheme val="minor"/>
    </font>
    <font>
      <sz val="9.0"/>
      <color theme="1"/>
      <name val="Calibri"/>
      <scheme val="minor"/>
    </font>
    <font>
      <color rgb="FF000000"/>
      <name val="Docs-Calibri"/>
    </font>
    <font>
      <b/>
      <color rgb="FF0000FF"/>
      <name val="Calibri"/>
      <scheme val="minor"/>
    </font>
    <font>
      <b/>
      <color rgb="FF9900FF"/>
      <name val="Calibri"/>
      <scheme val="minor"/>
    </font>
    <font>
      <sz val="11.0"/>
      <color rgb="FF000000"/>
      <name val="Inconsolata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1" numFmtId="0" xfId="0" applyFill="1" applyFont="1"/>
    <xf borderId="0" fillId="0" fontId="0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3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6" numFmtId="0" xfId="0" applyFont="1"/>
    <xf borderId="0" fillId="2" fontId="4" numFmtId="0" xfId="0" applyFont="1"/>
    <xf borderId="0" fillId="0" fontId="1" numFmtId="0" xfId="0" applyAlignment="1" applyFont="1">
      <alignment horizontal="center" readingOrder="0"/>
    </xf>
    <xf borderId="0" fillId="2" fontId="4" numFmtId="0" xfId="0" applyFont="1"/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0" fontId="9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2" fillId="10" fontId="5" numFmtId="0" xfId="0" applyAlignment="1" applyBorder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0" fontId="1" numFmtId="0" xfId="0" applyFont="1"/>
    <xf borderId="0" fillId="2" fontId="10" numFmtId="0" xfId="0" applyFont="1"/>
    <xf borderId="0" fillId="1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79646"/>
          <bgColor rgb="FFF7964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47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0.57"/>
    <col customWidth="1" min="4" max="5" width="8.71"/>
    <col customWidth="1" min="6" max="6" width="9.86"/>
    <col customWidth="1" min="7" max="7" width="10.0"/>
    <col customWidth="1" min="8" max="26" width="8.71"/>
  </cols>
  <sheetData>
    <row r="1">
      <c r="B1" s="1">
        <v>1.0</v>
      </c>
      <c r="C1" s="1">
        <v>2.0</v>
      </c>
      <c r="D1" s="1">
        <v>3.0</v>
      </c>
      <c r="F1" s="1" t="s">
        <v>0</v>
      </c>
      <c r="G1" s="1" t="s">
        <v>1</v>
      </c>
    </row>
    <row r="2">
      <c r="A2" s="1">
        <f t="shared" ref="A2:A421" si="1">SUM(B2:D2)</f>
        <v>170</v>
      </c>
      <c r="B2" s="1">
        <f t="shared" ref="B2:B421" si="2">3*F2</f>
        <v>60</v>
      </c>
      <c r="C2" s="1">
        <f t="shared" ref="C2:C421" si="3">3*F2</f>
        <v>60</v>
      </c>
      <c r="D2" s="1">
        <f t="shared" ref="D2:D421" si="4">2*G2</f>
        <v>50</v>
      </c>
      <c r="F2" s="1">
        <v>20.0</v>
      </c>
      <c r="G2" s="1">
        <v>25.0</v>
      </c>
    </row>
    <row r="3">
      <c r="A3" s="1">
        <f t="shared" si="1"/>
        <v>160</v>
      </c>
      <c r="B3" s="1">
        <f t="shared" si="2"/>
        <v>60</v>
      </c>
      <c r="C3" s="1">
        <f t="shared" si="3"/>
        <v>60</v>
      </c>
      <c r="D3" s="1">
        <f t="shared" si="4"/>
        <v>40</v>
      </c>
      <c r="F3" s="1">
        <v>20.0</v>
      </c>
      <c r="G3" s="1">
        <v>20.0</v>
      </c>
    </row>
    <row r="4">
      <c r="A4" s="1">
        <f t="shared" si="1"/>
        <v>158</v>
      </c>
      <c r="B4" s="1">
        <f t="shared" si="2"/>
        <v>60</v>
      </c>
      <c r="C4" s="1">
        <f t="shared" si="3"/>
        <v>60</v>
      </c>
      <c r="D4" s="1">
        <f t="shared" si="4"/>
        <v>38</v>
      </c>
      <c r="F4" s="1">
        <v>20.0</v>
      </c>
      <c r="G4" s="1">
        <v>19.0</v>
      </c>
    </row>
    <row r="5">
      <c r="A5" s="1">
        <f t="shared" si="1"/>
        <v>156</v>
      </c>
      <c r="B5" s="1">
        <f t="shared" si="2"/>
        <v>60</v>
      </c>
      <c r="C5" s="1">
        <f t="shared" si="3"/>
        <v>60</v>
      </c>
      <c r="D5" s="1">
        <f t="shared" si="4"/>
        <v>36</v>
      </c>
      <c r="F5" s="1">
        <v>20.0</v>
      </c>
      <c r="G5" s="1">
        <v>18.0</v>
      </c>
    </row>
    <row r="6">
      <c r="A6" s="1">
        <f t="shared" si="1"/>
        <v>154</v>
      </c>
      <c r="B6" s="1">
        <f t="shared" si="2"/>
        <v>60</v>
      </c>
      <c r="C6" s="1">
        <f t="shared" si="3"/>
        <v>60</v>
      </c>
      <c r="D6" s="1">
        <f t="shared" si="4"/>
        <v>34</v>
      </c>
      <c r="F6" s="1">
        <v>20.0</v>
      </c>
      <c r="G6" s="1">
        <v>17.0</v>
      </c>
    </row>
    <row r="7">
      <c r="A7" s="1">
        <f t="shared" si="1"/>
        <v>152</v>
      </c>
      <c r="B7" s="1">
        <f t="shared" si="2"/>
        <v>60</v>
      </c>
      <c r="C7" s="1">
        <f t="shared" si="3"/>
        <v>60</v>
      </c>
      <c r="D7" s="1">
        <f t="shared" si="4"/>
        <v>32</v>
      </c>
      <c r="F7" s="1">
        <v>20.0</v>
      </c>
      <c r="G7" s="1">
        <v>16.0</v>
      </c>
    </row>
    <row r="8">
      <c r="A8" s="1">
        <f t="shared" si="1"/>
        <v>150</v>
      </c>
      <c r="B8" s="1">
        <f t="shared" si="2"/>
        <v>60</v>
      </c>
      <c r="C8" s="1">
        <f t="shared" si="3"/>
        <v>60</v>
      </c>
      <c r="D8" s="1">
        <f t="shared" si="4"/>
        <v>30</v>
      </c>
      <c r="F8" s="1">
        <v>20.0</v>
      </c>
      <c r="G8" s="1">
        <v>15.0</v>
      </c>
    </row>
    <row r="9">
      <c r="A9" s="1">
        <f t="shared" si="1"/>
        <v>148</v>
      </c>
      <c r="B9" s="1">
        <f t="shared" si="2"/>
        <v>60</v>
      </c>
      <c r="C9" s="1">
        <f t="shared" si="3"/>
        <v>60</v>
      </c>
      <c r="D9" s="1">
        <f t="shared" si="4"/>
        <v>28</v>
      </c>
      <c r="F9" s="1">
        <v>20.0</v>
      </c>
      <c r="G9" s="1">
        <v>14.0</v>
      </c>
    </row>
    <row r="10">
      <c r="A10" s="1">
        <f t="shared" si="1"/>
        <v>146</v>
      </c>
      <c r="B10" s="1">
        <f t="shared" si="2"/>
        <v>60</v>
      </c>
      <c r="C10" s="1">
        <f t="shared" si="3"/>
        <v>60</v>
      </c>
      <c r="D10" s="1">
        <f t="shared" si="4"/>
        <v>26</v>
      </c>
      <c r="F10" s="1">
        <v>20.0</v>
      </c>
      <c r="G10" s="1">
        <v>13.0</v>
      </c>
    </row>
    <row r="11">
      <c r="A11" s="1">
        <f t="shared" si="1"/>
        <v>144</v>
      </c>
      <c r="B11" s="1">
        <f t="shared" si="2"/>
        <v>60</v>
      </c>
      <c r="C11" s="1">
        <f t="shared" si="3"/>
        <v>60</v>
      </c>
      <c r="D11" s="1">
        <f t="shared" si="4"/>
        <v>24</v>
      </c>
      <c r="F11" s="1">
        <v>20.0</v>
      </c>
      <c r="G11" s="1">
        <v>12.0</v>
      </c>
    </row>
    <row r="12">
      <c r="A12" s="1">
        <f t="shared" si="1"/>
        <v>142</v>
      </c>
      <c r="B12" s="1">
        <f t="shared" si="2"/>
        <v>60</v>
      </c>
      <c r="C12" s="1">
        <f t="shared" si="3"/>
        <v>60</v>
      </c>
      <c r="D12" s="1">
        <f t="shared" si="4"/>
        <v>22</v>
      </c>
      <c r="F12" s="1">
        <v>20.0</v>
      </c>
      <c r="G12" s="1">
        <v>11.0</v>
      </c>
    </row>
    <row r="13">
      <c r="A13" s="1">
        <f t="shared" si="1"/>
        <v>140</v>
      </c>
      <c r="B13" s="1">
        <f t="shared" si="2"/>
        <v>60</v>
      </c>
      <c r="C13" s="1">
        <f t="shared" si="3"/>
        <v>60</v>
      </c>
      <c r="D13" s="1">
        <f t="shared" si="4"/>
        <v>20</v>
      </c>
      <c r="F13" s="1">
        <v>20.0</v>
      </c>
      <c r="G13" s="1">
        <v>10.0</v>
      </c>
    </row>
    <row r="14">
      <c r="A14" s="1">
        <f t="shared" si="1"/>
        <v>138</v>
      </c>
      <c r="B14" s="1">
        <f t="shared" si="2"/>
        <v>60</v>
      </c>
      <c r="C14" s="1">
        <f t="shared" si="3"/>
        <v>60</v>
      </c>
      <c r="D14" s="1">
        <f t="shared" si="4"/>
        <v>18</v>
      </c>
      <c r="F14" s="1">
        <v>20.0</v>
      </c>
      <c r="G14" s="1">
        <v>9.0</v>
      </c>
    </row>
    <row r="15">
      <c r="A15" s="1">
        <f t="shared" si="1"/>
        <v>136</v>
      </c>
      <c r="B15" s="1">
        <f t="shared" si="2"/>
        <v>60</v>
      </c>
      <c r="C15" s="1">
        <f t="shared" si="3"/>
        <v>60</v>
      </c>
      <c r="D15" s="1">
        <f t="shared" si="4"/>
        <v>16</v>
      </c>
      <c r="F15" s="1">
        <v>20.0</v>
      </c>
      <c r="G15" s="1">
        <v>8.0</v>
      </c>
    </row>
    <row r="16">
      <c r="A16" s="1">
        <f t="shared" si="1"/>
        <v>134</v>
      </c>
      <c r="B16" s="1">
        <f t="shared" si="2"/>
        <v>60</v>
      </c>
      <c r="C16" s="1">
        <f t="shared" si="3"/>
        <v>60</v>
      </c>
      <c r="D16" s="1">
        <f t="shared" si="4"/>
        <v>14</v>
      </c>
      <c r="F16" s="1">
        <v>20.0</v>
      </c>
      <c r="G16" s="1">
        <v>7.0</v>
      </c>
    </row>
    <row r="17">
      <c r="A17" s="1">
        <f t="shared" si="1"/>
        <v>132</v>
      </c>
      <c r="B17" s="1">
        <f t="shared" si="2"/>
        <v>60</v>
      </c>
      <c r="C17" s="1">
        <f t="shared" si="3"/>
        <v>60</v>
      </c>
      <c r="D17" s="1">
        <f t="shared" si="4"/>
        <v>12</v>
      </c>
      <c r="F17" s="1">
        <v>20.0</v>
      </c>
      <c r="G17" s="1">
        <v>6.0</v>
      </c>
    </row>
    <row r="18">
      <c r="A18" s="1">
        <f t="shared" si="1"/>
        <v>130</v>
      </c>
      <c r="B18" s="1">
        <f t="shared" si="2"/>
        <v>60</v>
      </c>
      <c r="C18" s="1">
        <f t="shared" si="3"/>
        <v>60</v>
      </c>
      <c r="D18" s="1">
        <f t="shared" si="4"/>
        <v>10</v>
      </c>
      <c r="F18" s="1">
        <v>20.0</v>
      </c>
      <c r="G18" s="1">
        <v>5.0</v>
      </c>
    </row>
    <row r="19">
      <c r="A19" s="1">
        <f t="shared" si="1"/>
        <v>128</v>
      </c>
      <c r="B19" s="1">
        <f t="shared" si="2"/>
        <v>60</v>
      </c>
      <c r="C19" s="1">
        <f t="shared" si="3"/>
        <v>60</v>
      </c>
      <c r="D19" s="1">
        <f t="shared" si="4"/>
        <v>8</v>
      </c>
      <c r="F19" s="1">
        <v>20.0</v>
      </c>
      <c r="G19" s="1">
        <v>4.0</v>
      </c>
    </row>
    <row r="20">
      <c r="A20" s="1">
        <f t="shared" si="1"/>
        <v>126</v>
      </c>
      <c r="B20" s="1">
        <f t="shared" si="2"/>
        <v>60</v>
      </c>
      <c r="C20" s="1">
        <f t="shared" si="3"/>
        <v>60</v>
      </c>
      <c r="D20" s="1">
        <f t="shared" si="4"/>
        <v>6</v>
      </c>
      <c r="F20" s="1">
        <v>20.0</v>
      </c>
      <c r="G20" s="1">
        <v>3.0</v>
      </c>
    </row>
    <row r="21" ht="15.75" customHeight="1">
      <c r="A21" s="1">
        <f t="shared" si="1"/>
        <v>124</v>
      </c>
      <c r="B21" s="1">
        <f t="shared" si="2"/>
        <v>60</v>
      </c>
      <c r="C21" s="1">
        <f t="shared" si="3"/>
        <v>60</v>
      </c>
      <c r="D21" s="1">
        <f t="shared" si="4"/>
        <v>4</v>
      </c>
      <c r="F21" s="1">
        <v>20.0</v>
      </c>
      <c r="G21" s="1">
        <v>2.0</v>
      </c>
    </row>
    <row r="22" ht="15.75" customHeight="1">
      <c r="A22" s="1">
        <f t="shared" si="1"/>
        <v>122</v>
      </c>
      <c r="B22" s="1">
        <f t="shared" si="2"/>
        <v>60</v>
      </c>
      <c r="C22" s="1">
        <f t="shared" si="3"/>
        <v>60</v>
      </c>
      <c r="D22" s="1">
        <f t="shared" si="4"/>
        <v>2</v>
      </c>
      <c r="F22" s="1">
        <v>20.0</v>
      </c>
      <c r="G22" s="1">
        <v>1.0</v>
      </c>
    </row>
    <row r="23" ht="15.75" customHeight="1">
      <c r="A23" s="1">
        <f t="shared" si="1"/>
        <v>164</v>
      </c>
      <c r="B23" s="1">
        <f t="shared" si="2"/>
        <v>57</v>
      </c>
      <c r="C23" s="1">
        <f t="shared" si="3"/>
        <v>57</v>
      </c>
      <c r="D23" s="1">
        <f t="shared" si="4"/>
        <v>50</v>
      </c>
      <c r="F23" s="1">
        <v>19.0</v>
      </c>
      <c r="G23" s="1">
        <v>25.0</v>
      </c>
    </row>
    <row r="24" ht="15.75" customHeight="1">
      <c r="A24" s="1">
        <f t="shared" si="1"/>
        <v>154</v>
      </c>
      <c r="B24" s="1">
        <f t="shared" si="2"/>
        <v>57</v>
      </c>
      <c r="C24" s="1">
        <f t="shared" si="3"/>
        <v>57</v>
      </c>
      <c r="D24" s="1">
        <f t="shared" si="4"/>
        <v>40</v>
      </c>
      <c r="F24" s="1">
        <v>19.0</v>
      </c>
      <c r="G24" s="1">
        <v>20.0</v>
      </c>
    </row>
    <row r="25" ht="15.75" customHeight="1">
      <c r="A25" s="1">
        <f t="shared" si="1"/>
        <v>152</v>
      </c>
      <c r="B25" s="1">
        <f t="shared" si="2"/>
        <v>57</v>
      </c>
      <c r="C25" s="1">
        <f t="shared" si="3"/>
        <v>57</v>
      </c>
      <c r="D25" s="1">
        <f t="shared" si="4"/>
        <v>38</v>
      </c>
      <c r="F25" s="1">
        <v>19.0</v>
      </c>
      <c r="G25" s="1">
        <v>19.0</v>
      </c>
    </row>
    <row r="26" ht="15.75" customHeight="1">
      <c r="A26" s="1">
        <f t="shared" si="1"/>
        <v>150</v>
      </c>
      <c r="B26" s="1">
        <f t="shared" si="2"/>
        <v>57</v>
      </c>
      <c r="C26" s="1">
        <f t="shared" si="3"/>
        <v>57</v>
      </c>
      <c r="D26" s="1">
        <f t="shared" si="4"/>
        <v>36</v>
      </c>
      <c r="F26" s="1">
        <v>19.0</v>
      </c>
      <c r="G26" s="1">
        <v>18.0</v>
      </c>
    </row>
    <row r="27" ht="15.75" customHeight="1">
      <c r="A27" s="1">
        <f t="shared" si="1"/>
        <v>148</v>
      </c>
      <c r="B27" s="1">
        <f t="shared" si="2"/>
        <v>57</v>
      </c>
      <c r="C27" s="1">
        <f t="shared" si="3"/>
        <v>57</v>
      </c>
      <c r="D27" s="1">
        <f t="shared" si="4"/>
        <v>34</v>
      </c>
      <c r="F27" s="1">
        <v>19.0</v>
      </c>
      <c r="G27" s="1">
        <v>17.0</v>
      </c>
    </row>
    <row r="28" ht="15.75" customHeight="1">
      <c r="A28" s="1">
        <f t="shared" si="1"/>
        <v>146</v>
      </c>
      <c r="B28" s="1">
        <f t="shared" si="2"/>
        <v>57</v>
      </c>
      <c r="C28" s="1">
        <f t="shared" si="3"/>
        <v>57</v>
      </c>
      <c r="D28" s="1">
        <f t="shared" si="4"/>
        <v>32</v>
      </c>
      <c r="F28" s="1">
        <v>19.0</v>
      </c>
      <c r="G28" s="1">
        <v>16.0</v>
      </c>
    </row>
    <row r="29" ht="15.75" customHeight="1">
      <c r="A29" s="1">
        <f t="shared" si="1"/>
        <v>144</v>
      </c>
      <c r="B29" s="1">
        <f t="shared" si="2"/>
        <v>57</v>
      </c>
      <c r="C29" s="1">
        <f t="shared" si="3"/>
        <v>57</v>
      </c>
      <c r="D29" s="1">
        <f t="shared" si="4"/>
        <v>30</v>
      </c>
      <c r="F29" s="1">
        <v>19.0</v>
      </c>
      <c r="G29" s="1">
        <v>15.0</v>
      </c>
    </row>
    <row r="30" ht="15.75" customHeight="1">
      <c r="A30" s="1">
        <f t="shared" si="1"/>
        <v>142</v>
      </c>
      <c r="B30" s="1">
        <f t="shared" si="2"/>
        <v>57</v>
      </c>
      <c r="C30" s="1">
        <f t="shared" si="3"/>
        <v>57</v>
      </c>
      <c r="D30" s="1">
        <f t="shared" si="4"/>
        <v>28</v>
      </c>
      <c r="F30" s="1">
        <v>19.0</v>
      </c>
      <c r="G30" s="1">
        <v>14.0</v>
      </c>
    </row>
    <row r="31" ht="15.75" customHeight="1">
      <c r="A31" s="1">
        <f t="shared" si="1"/>
        <v>140</v>
      </c>
      <c r="B31" s="1">
        <f t="shared" si="2"/>
        <v>57</v>
      </c>
      <c r="C31" s="1">
        <f t="shared" si="3"/>
        <v>57</v>
      </c>
      <c r="D31" s="1">
        <f t="shared" si="4"/>
        <v>26</v>
      </c>
      <c r="F31" s="1">
        <v>19.0</v>
      </c>
      <c r="G31" s="1">
        <v>13.0</v>
      </c>
    </row>
    <row r="32" ht="15.75" customHeight="1">
      <c r="A32" s="1">
        <f t="shared" si="1"/>
        <v>138</v>
      </c>
      <c r="B32" s="1">
        <f t="shared" si="2"/>
        <v>57</v>
      </c>
      <c r="C32" s="1">
        <f t="shared" si="3"/>
        <v>57</v>
      </c>
      <c r="D32" s="1">
        <f t="shared" si="4"/>
        <v>24</v>
      </c>
      <c r="F32" s="1">
        <v>19.0</v>
      </c>
      <c r="G32" s="1">
        <v>12.0</v>
      </c>
    </row>
    <row r="33" ht="15.75" customHeight="1">
      <c r="A33" s="1">
        <f t="shared" si="1"/>
        <v>136</v>
      </c>
      <c r="B33" s="1">
        <f t="shared" si="2"/>
        <v>57</v>
      </c>
      <c r="C33" s="1">
        <f t="shared" si="3"/>
        <v>57</v>
      </c>
      <c r="D33" s="1">
        <f t="shared" si="4"/>
        <v>22</v>
      </c>
      <c r="F33" s="1">
        <v>19.0</v>
      </c>
      <c r="G33" s="1">
        <v>11.0</v>
      </c>
    </row>
    <row r="34" ht="15.75" customHeight="1">
      <c r="A34" s="1">
        <f t="shared" si="1"/>
        <v>134</v>
      </c>
      <c r="B34" s="1">
        <f t="shared" si="2"/>
        <v>57</v>
      </c>
      <c r="C34" s="1">
        <f t="shared" si="3"/>
        <v>57</v>
      </c>
      <c r="D34" s="1">
        <f t="shared" si="4"/>
        <v>20</v>
      </c>
      <c r="F34" s="1">
        <v>19.0</v>
      </c>
      <c r="G34" s="1">
        <v>10.0</v>
      </c>
    </row>
    <row r="35" ht="15.75" customHeight="1">
      <c r="A35" s="1">
        <f t="shared" si="1"/>
        <v>132</v>
      </c>
      <c r="B35" s="1">
        <f t="shared" si="2"/>
        <v>57</v>
      </c>
      <c r="C35" s="1">
        <f t="shared" si="3"/>
        <v>57</v>
      </c>
      <c r="D35" s="1">
        <f t="shared" si="4"/>
        <v>18</v>
      </c>
      <c r="F35" s="1">
        <v>19.0</v>
      </c>
      <c r="G35" s="1">
        <v>9.0</v>
      </c>
    </row>
    <row r="36" ht="15.75" customHeight="1">
      <c r="A36" s="1">
        <f t="shared" si="1"/>
        <v>130</v>
      </c>
      <c r="B36" s="1">
        <f t="shared" si="2"/>
        <v>57</v>
      </c>
      <c r="C36" s="1">
        <f t="shared" si="3"/>
        <v>57</v>
      </c>
      <c r="D36" s="1">
        <f t="shared" si="4"/>
        <v>16</v>
      </c>
      <c r="F36" s="1">
        <v>19.0</v>
      </c>
      <c r="G36" s="1">
        <v>8.0</v>
      </c>
    </row>
    <row r="37" ht="15.75" customHeight="1">
      <c r="A37" s="1">
        <f t="shared" si="1"/>
        <v>128</v>
      </c>
      <c r="B37" s="1">
        <f t="shared" si="2"/>
        <v>57</v>
      </c>
      <c r="C37" s="1">
        <f t="shared" si="3"/>
        <v>57</v>
      </c>
      <c r="D37" s="1">
        <f t="shared" si="4"/>
        <v>14</v>
      </c>
      <c r="F37" s="1">
        <v>19.0</v>
      </c>
      <c r="G37" s="1">
        <v>7.0</v>
      </c>
    </row>
    <row r="38" ht="15.75" customHeight="1">
      <c r="A38" s="1">
        <f t="shared" si="1"/>
        <v>126</v>
      </c>
      <c r="B38" s="1">
        <f t="shared" si="2"/>
        <v>57</v>
      </c>
      <c r="C38" s="1">
        <f t="shared" si="3"/>
        <v>57</v>
      </c>
      <c r="D38" s="1">
        <f t="shared" si="4"/>
        <v>12</v>
      </c>
      <c r="F38" s="1">
        <v>19.0</v>
      </c>
      <c r="G38" s="1">
        <v>6.0</v>
      </c>
    </row>
    <row r="39" ht="15.75" customHeight="1">
      <c r="A39" s="1">
        <f t="shared" si="1"/>
        <v>124</v>
      </c>
      <c r="B39" s="1">
        <f t="shared" si="2"/>
        <v>57</v>
      </c>
      <c r="C39" s="1">
        <f t="shared" si="3"/>
        <v>57</v>
      </c>
      <c r="D39" s="1">
        <f t="shared" si="4"/>
        <v>10</v>
      </c>
      <c r="F39" s="1">
        <v>19.0</v>
      </c>
      <c r="G39" s="1">
        <v>5.0</v>
      </c>
    </row>
    <row r="40" ht="15.75" customHeight="1">
      <c r="A40" s="1">
        <f t="shared" si="1"/>
        <v>122</v>
      </c>
      <c r="B40" s="1">
        <f t="shared" si="2"/>
        <v>57</v>
      </c>
      <c r="C40" s="1">
        <f t="shared" si="3"/>
        <v>57</v>
      </c>
      <c r="D40" s="1">
        <f t="shared" si="4"/>
        <v>8</v>
      </c>
      <c r="F40" s="1">
        <v>19.0</v>
      </c>
      <c r="G40" s="1">
        <v>4.0</v>
      </c>
    </row>
    <row r="41" ht="15.75" customHeight="1">
      <c r="A41" s="1">
        <f t="shared" si="1"/>
        <v>120</v>
      </c>
      <c r="B41" s="1">
        <f t="shared" si="2"/>
        <v>57</v>
      </c>
      <c r="C41" s="1">
        <f t="shared" si="3"/>
        <v>57</v>
      </c>
      <c r="D41" s="1">
        <f t="shared" si="4"/>
        <v>6</v>
      </c>
      <c r="F41" s="1">
        <v>19.0</v>
      </c>
      <c r="G41" s="1">
        <v>3.0</v>
      </c>
    </row>
    <row r="42" ht="15.75" customHeight="1">
      <c r="A42" s="1">
        <f t="shared" si="1"/>
        <v>118</v>
      </c>
      <c r="B42" s="1">
        <f t="shared" si="2"/>
        <v>57</v>
      </c>
      <c r="C42" s="1">
        <f t="shared" si="3"/>
        <v>57</v>
      </c>
      <c r="D42" s="1">
        <f t="shared" si="4"/>
        <v>4</v>
      </c>
      <c r="F42" s="1">
        <v>19.0</v>
      </c>
      <c r="G42" s="1">
        <v>2.0</v>
      </c>
    </row>
    <row r="43" ht="15.75" customHeight="1">
      <c r="A43" s="1">
        <f t="shared" si="1"/>
        <v>116</v>
      </c>
      <c r="B43" s="1">
        <f t="shared" si="2"/>
        <v>57</v>
      </c>
      <c r="C43" s="1">
        <f t="shared" si="3"/>
        <v>57</v>
      </c>
      <c r="D43" s="1">
        <f t="shared" si="4"/>
        <v>2</v>
      </c>
      <c r="F43" s="1">
        <v>19.0</v>
      </c>
      <c r="G43" s="1">
        <v>1.0</v>
      </c>
    </row>
    <row r="44" ht="15.75" customHeight="1">
      <c r="A44" s="1">
        <f t="shared" si="1"/>
        <v>158</v>
      </c>
      <c r="B44" s="1">
        <f t="shared" si="2"/>
        <v>54</v>
      </c>
      <c r="C44" s="1">
        <f t="shared" si="3"/>
        <v>54</v>
      </c>
      <c r="D44" s="1">
        <f t="shared" si="4"/>
        <v>50</v>
      </c>
      <c r="F44" s="1">
        <v>18.0</v>
      </c>
      <c r="G44" s="1">
        <v>25.0</v>
      </c>
    </row>
    <row r="45" ht="15.75" customHeight="1">
      <c r="A45" s="1">
        <f t="shared" si="1"/>
        <v>148</v>
      </c>
      <c r="B45" s="1">
        <f t="shared" si="2"/>
        <v>54</v>
      </c>
      <c r="C45" s="1">
        <f t="shared" si="3"/>
        <v>54</v>
      </c>
      <c r="D45" s="1">
        <f t="shared" si="4"/>
        <v>40</v>
      </c>
      <c r="F45" s="1">
        <v>18.0</v>
      </c>
      <c r="G45" s="1">
        <v>20.0</v>
      </c>
    </row>
    <row r="46" ht="15.75" customHeight="1">
      <c r="A46" s="1">
        <f t="shared" si="1"/>
        <v>146</v>
      </c>
      <c r="B46" s="1">
        <f t="shared" si="2"/>
        <v>54</v>
      </c>
      <c r="C46" s="1">
        <f t="shared" si="3"/>
        <v>54</v>
      </c>
      <c r="D46" s="1">
        <f t="shared" si="4"/>
        <v>38</v>
      </c>
      <c r="F46" s="1">
        <v>18.0</v>
      </c>
      <c r="G46" s="1">
        <v>19.0</v>
      </c>
    </row>
    <row r="47" ht="15.75" customHeight="1">
      <c r="A47" s="1">
        <f t="shared" si="1"/>
        <v>144</v>
      </c>
      <c r="B47" s="1">
        <f t="shared" si="2"/>
        <v>54</v>
      </c>
      <c r="C47" s="1">
        <f t="shared" si="3"/>
        <v>54</v>
      </c>
      <c r="D47" s="1">
        <f t="shared" si="4"/>
        <v>36</v>
      </c>
      <c r="F47" s="1">
        <v>18.0</v>
      </c>
      <c r="G47" s="1">
        <v>18.0</v>
      </c>
    </row>
    <row r="48" ht="15.75" customHeight="1">
      <c r="A48" s="1">
        <f t="shared" si="1"/>
        <v>142</v>
      </c>
      <c r="B48" s="1">
        <f t="shared" si="2"/>
        <v>54</v>
      </c>
      <c r="C48" s="1">
        <f t="shared" si="3"/>
        <v>54</v>
      </c>
      <c r="D48" s="1">
        <f t="shared" si="4"/>
        <v>34</v>
      </c>
      <c r="F48" s="1">
        <v>18.0</v>
      </c>
      <c r="G48" s="1">
        <v>17.0</v>
      </c>
    </row>
    <row r="49" ht="15.75" customHeight="1">
      <c r="A49" s="1">
        <f t="shared" si="1"/>
        <v>140</v>
      </c>
      <c r="B49" s="1">
        <f t="shared" si="2"/>
        <v>54</v>
      </c>
      <c r="C49" s="1">
        <f t="shared" si="3"/>
        <v>54</v>
      </c>
      <c r="D49" s="1">
        <f t="shared" si="4"/>
        <v>32</v>
      </c>
      <c r="F49" s="1">
        <v>18.0</v>
      </c>
      <c r="G49" s="1">
        <v>16.0</v>
      </c>
    </row>
    <row r="50" ht="15.75" customHeight="1">
      <c r="A50" s="1">
        <f t="shared" si="1"/>
        <v>138</v>
      </c>
      <c r="B50" s="1">
        <f t="shared" si="2"/>
        <v>54</v>
      </c>
      <c r="C50" s="1">
        <f t="shared" si="3"/>
        <v>54</v>
      </c>
      <c r="D50" s="1">
        <f t="shared" si="4"/>
        <v>30</v>
      </c>
      <c r="F50" s="1">
        <v>18.0</v>
      </c>
      <c r="G50" s="1">
        <v>15.0</v>
      </c>
    </row>
    <row r="51" ht="15.75" customHeight="1">
      <c r="A51" s="1">
        <f t="shared" si="1"/>
        <v>136</v>
      </c>
      <c r="B51" s="1">
        <f t="shared" si="2"/>
        <v>54</v>
      </c>
      <c r="C51" s="1">
        <f t="shared" si="3"/>
        <v>54</v>
      </c>
      <c r="D51" s="1">
        <f t="shared" si="4"/>
        <v>28</v>
      </c>
      <c r="F51" s="1">
        <v>18.0</v>
      </c>
      <c r="G51" s="1">
        <v>14.0</v>
      </c>
    </row>
    <row r="52" ht="15.75" customHeight="1">
      <c r="A52" s="1">
        <f t="shared" si="1"/>
        <v>134</v>
      </c>
      <c r="B52" s="1">
        <f t="shared" si="2"/>
        <v>54</v>
      </c>
      <c r="C52" s="1">
        <f t="shared" si="3"/>
        <v>54</v>
      </c>
      <c r="D52" s="1">
        <f t="shared" si="4"/>
        <v>26</v>
      </c>
      <c r="F52" s="1">
        <v>18.0</v>
      </c>
      <c r="G52" s="1">
        <v>13.0</v>
      </c>
    </row>
    <row r="53" ht="15.75" customHeight="1">
      <c r="A53" s="1">
        <f t="shared" si="1"/>
        <v>132</v>
      </c>
      <c r="B53" s="1">
        <f t="shared" si="2"/>
        <v>54</v>
      </c>
      <c r="C53" s="1">
        <f t="shared" si="3"/>
        <v>54</v>
      </c>
      <c r="D53" s="1">
        <f t="shared" si="4"/>
        <v>24</v>
      </c>
      <c r="F53" s="1">
        <v>18.0</v>
      </c>
      <c r="G53" s="1">
        <v>12.0</v>
      </c>
    </row>
    <row r="54" ht="15.75" customHeight="1">
      <c r="A54" s="1">
        <f t="shared" si="1"/>
        <v>130</v>
      </c>
      <c r="B54" s="1">
        <f t="shared" si="2"/>
        <v>54</v>
      </c>
      <c r="C54" s="1">
        <f t="shared" si="3"/>
        <v>54</v>
      </c>
      <c r="D54" s="1">
        <f t="shared" si="4"/>
        <v>22</v>
      </c>
      <c r="F54" s="1">
        <v>18.0</v>
      </c>
      <c r="G54" s="1">
        <v>11.0</v>
      </c>
    </row>
    <row r="55" ht="15.75" customHeight="1">
      <c r="A55" s="1">
        <f t="shared" si="1"/>
        <v>128</v>
      </c>
      <c r="B55" s="1">
        <f t="shared" si="2"/>
        <v>54</v>
      </c>
      <c r="C55" s="1">
        <f t="shared" si="3"/>
        <v>54</v>
      </c>
      <c r="D55" s="1">
        <f t="shared" si="4"/>
        <v>20</v>
      </c>
      <c r="F55" s="1">
        <v>18.0</v>
      </c>
      <c r="G55" s="1">
        <v>10.0</v>
      </c>
    </row>
    <row r="56" ht="15.75" customHeight="1">
      <c r="A56" s="1">
        <f t="shared" si="1"/>
        <v>126</v>
      </c>
      <c r="B56" s="1">
        <f t="shared" si="2"/>
        <v>54</v>
      </c>
      <c r="C56" s="1">
        <f t="shared" si="3"/>
        <v>54</v>
      </c>
      <c r="D56" s="1">
        <f t="shared" si="4"/>
        <v>18</v>
      </c>
      <c r="F56" s="1">
        <v>18.0</v>
      </c>
      <c r="G56" s="1">
        <v>9.0</v>
      </c>
    </row>
    <row r="57" ht="15.75" customHeight="1">
      <c r="A57" s="1">
        <f t="shared" si="1"/>
        <v>124</v>
      </c>
      <c r="B57" s="1">
        <f t="shared" si="2"/>
        <v>54</v>
      </c>
      <c r="C57" s="1">
        <f t="shared" si="3"/>
        <v>54</v>
      </c>
      <c r="D57" s="1">
        <f t="shared" si="4"/>
        <v>16</v>
      </c>
      <c r="F57" s="1">
        <v>18.0</v>
      </c>
      <c r="G57" s="1">
        <v>8.0</v>
      </c>
    </row>
    <row r="58" ht="15.75" customHeight="1">
      <c r="A58" s="1">
        <f t="shared" si="1"/>
        <v>122</v>
      </c>
      <c r="B58" s="1">
        <f t="shared" si="2"/>
        <v>54</v>
      </c>
      <c r="C58" s="1">
        <f t="shared" si="3"/>
        <v>54</v>
      </c>
      <c r="D58" s="1">
        <f t="shared" si="4"/>
        <v>14</v>
      </c>
      <c r="F58" s="1">
        <v>18.0</v>
      </c>
      <c r="G58" s="1">
        <v>7.0</v>
      </c>
    </row>
    <row r="59" ht="15.75" customHeight="1">
      <c r="A59" s="1">
        <f t="shared" si="1"/>
        <v>120</v>
      </c>
      <c r="B59" s="1">
        <f t="shared" si="2"/>
        <v>54</v>
      </c>
      <c r="C59" s="1">
        <f t="shared" si="3"/>
        <v>54</v>
      </c>
      <c r="D59" s="1">
        <f t="shared" si="4"/>
        <v>12</v>
      </c>
      <c r="F59" s="1">
        <v>18.0</v>
      </c>
      <c r="G59" s="1">
        <v>6.0</v>
      </c>
    </row>
    <row r="60" ht="15.75" customHeight="1">
      <c r="A60" s="1">
        <f t="shared" si="1"/>
        <v>118</v>
      </c>
      <c r="B60" s="1">
        <f t="shared" si="2"/>
        <v>54</v>
      </c>
      <c r="C60" s="1">
        <f t="shared" si="3"/>
        <v>54</v>
      </c>
      <c r="D60" s="1">
        <f t="shared" si="4"/>
        <v>10</v>
      </c>
      <c r="F60" s="1">
        <v>18.0</v>
      </c>
      <c r="G60" s="1">
        <v>5.0</v>
      </c>
    </row>
    <row r="61" ht="15.75" customHeight="1">
      <c r="A61" s="1">
        <f t="shared" si="1"/>
        <v>116</v>
      </c>
      <c r="B61" s="1">
        <f t="shared" si="2"/>
        <v>54</v>
      </c>
      <c r="C61" s="1">
        <f t="shared" si="3"/>
        <v>54</v>
      </c>
      <c r="D61" s="1">
        <f t="shared" si="4"/>
        <v>8</v>
      </c>
      <c r="F61" s="1">
        <v>18.0</v>
      </c>
      <c r="G61" s="1">
        <v>4.0</v>
      </c>
    </row>
    <row r="62" ht="15.75" customHeight="1">
      <c r="A62" s="1">
        <f t="shared" si="1"/>
        <v>114</v>
      </c>
      <c r="B62" s="1">
        <f t="shared" si="2"/>
        <v>54</v>
      </c>
      <c r="C62" s="1">
        <f t="shared" si="3"/>
        <v>54</v>
      </c>
      <c r="D62" s="1">
        <f t="shared" si="4"/>
        <v>6</v>
      </c>
      <c r="F62" s="1">
        <v>18.0</v>
      </c>
      <c r="G62" s="1">
        <v>3.0</v>
      </c>
    </row>
    <row r="63" ht="15.75" customHeight="1">
      <c r="A63" s="1">
        <f t="shared" si="1"/>
        <v>112</v>
      </c>
      <c r="B63" s="1">
        <f t="shared" si="2"/>
        <v>54</v>
      </c>
      <c r="C63" s="1">
        <f t="shared" si="3"/>
        <v>54</v>
      </c>
      <c r="D63" s="1">
        <f t="shared" si="4"/>
        <v>4</v>
      </c>
      <c r="F63" s="1">
        <v>18.0</v>
      </c>
      <c r="G63" s="1">
        <v>2.0</v>
      </c>
    </row>
    <row r="64" ht="15.75" customHeight="1">
      <c r="A64" s="1">
        <f t="shared" si="1"/>
        <v>110</v>
      </c>
      <c r="B64" s="1">
        <f t="shared" si="2"/>
        <v>54</v>
      </c>
      <c r="C64" s="1">
        <f t="shared" si="3"/>
        <v>54</v>
      </c>
      <c r="D64" s="1">
        <f t="shared" si="4"/>
        <v>2</v>
      </c>
      <c r="F64" s="1">
        <v>18.0</v>
      </c>
      <c r="G64" s="1">
        <v>1.0</v>
      </c>
    </row>
    <row r="65" ht="15.75" customHeight="1">
      <c r="A65" s="1">
        <f t="shared" si="1"/>
        <v>152</v>
      </c>
      <c r="B65" s="1">
        <f t="shared" si="2"/>
        <v>51</v>
      </c>
      <c r="C65" s="1">
        <f t="shared" si="3"/>
        <v>51</v>
      </c>
      <c r="D65" s="1">
        <f t="shared" si="4"/>
        <v>50</v>
      </c>
      <c r="F65" s="1">
        <v>17.0</v>
      </c>
      <c r="G65" s="1">
        <v>25.0</v>
      </c>
    </row>
    <row r="66" ht="15.75" customHeight="1">
      <c r="A66" s="1">
        <f t="shared" si="1"/>
        <v>142</v>
      </c>
      <c r="B66" s="1">
        <f t="shared" si="2"/>
        <v>51</v>
      </c>
      <c r="C66" s="1">
        <f t="shared" si="3"/>
        <v>51</v>
      </c>
      <c r="D66" s="1">
        <f t="shared" si="4"/>
        <v>40</v>
      </c>
      <c r="F66" s="1">
        <v>17.0</v>
      </c>
      <c r="G66" s="1">
        <v>20.0</v>
      </c>
    </row>
    <row r="67" ht="15.75" customHeight="1">
      <c r="A67" s="1">
        <f t="shared" si="1"/>
        <v>140</v>
      </c>
      <c r="B67" s="1">
        <f t="shared" si="2"/>
        <v>51</v>
      </c>
      <c r="C67" s="1">
        <f t="shared" si="3"/>
        <v>51</v>
      </c>
      <c r="D67" s="1">
        <f t="shared" si="4"/>
        <v>38</v>
      </c>
      <c r="F67" s="1">
        <v>17.0</v>
      </c>
      <c r="G67" s="1">
        <v>19.0</v>
      </c>
    </row>
    <row r="68" ht="15.75" customHeight="1">
      <c r="A68" s="1">
        <f t="shared" si="1"/>
        <v>138</v>
      </c>
      <c r="B68" s="1">
        <f t="shared" si="2"/>
        <v>51</v>
      </c>
      <c r="C68" s="1">
        <f t="shared" si="3"/>
        <v>51</v>
      </c>
      <c r="D68" s="1">
        <f t="shared" si="4"/>
        <v>36</v>
      </c>
      <c r="F68" s="1">
        <v>17.0</v>
      </c>
      <c r="G68" s="1">
        <v>18.0</v>
      </c>
    </row>
    <row r="69" ht="15.75" customHeight="1">
      <c r="A69" s="1">
        <f t="shared" si="1"/>
        <v>136</v>
      </c>
      <c r="B69" s="1">
        <f t="shared" si="2"/>
        <v>51</v>
      </c>
      <c r="C69" s="1">
        <f t="shared" si="3"/>
        <v>51</v>
      </c>
      <c r="D69" s="1">
        <f t="shared" si="4"/>
        <v>34</v>
      </c>
      <c r="F69" s="1">
        <v>17.0</v>
      </c>
      <c r="G69" s="1">
        <v>17.0</v>
      </c>
    </row>
    <row r="70" ht="15.75" customHeight="1">
      <c r="A70" s="1">
        <f t="shared" si="1"/>
        <v>134</v>
      </c>
      <c r="B70" s="1">
        <f t="shared" si="2"/>
        <v>51</v>
      </c>
      <c r="C70" s="1">
        <f t="shared" si="3"/>
        <v>51</v>
      </c>
      <c r="D70" s="1">
        <f t="shared" si="4"/>
        <v>32</v>
      </c>
      <c r="F70" s="1">
        <v>17.0</v>
      </c>
      <c r="G70" s="1">
        <v>16.0</v>
      </c>
    </row>
    <row r="71" ht="15.75" customHeight="1">
      <c r="A71" s="1">
        <f t="shared" si="1"/>
        <v>132</v>
      </c>
      <c r="B71" s="1">
        <f t="shared" si="2"/>
        <v>51</v>
      </c>
      <c r="C71" s="1">
        <f t="shared" si="3"/>
        <v>51</v>
      </c>
      <c r="D71" s="1">
        <f t="shared" si="4"/>
        <v>30</v>
      </c>
      <c r="F71" s="1">
        <v>17.0</v>
      </c>
      <c r="G71" s="1">
        <v>15.0</v>
      </c>
    </row>
    <row r="72" ht="15.75" customHeight="1">
      <c r="A72" s="1">
        <f t="shared" si="1"/>
        <v>130</v>
      </c>
      <c r="B72" s="1">
        <f t="shared" si="2"/>
        <v>51</v>
      </c>
      <c r="C72" s="1">
        <f t="shared" si="3"/>
        <v>51</v>
      </c>
      <c r="D72" s="1">
        <f t="shared" si="4"/>
        <v>28</v>
      </c>
      <c r="F72" s="1">
        <v>17.0</v>
      </c>
      <c r="G72" s="1">
        <v>14.0</v>
      </c>
    </row>
    <row r="73" ht="15.75" customHeight="1">
      <c r="A73" s="1">
        <f t="shared" si="1"/>
        <v>128</v>
      </c>
      <c r="B73" s="1">
        <f t="shared" si="2"/>
        <v>51</v>
      </c>
      <c r="C73" s="1">
        <f t="shared" si="3"/>
        <v>51</v>
      </c>
      <c r="D73" s="1">
        <f t="shared" si="4"/>
        <v>26</v>
      </c>
      <c r="F73" s="1">
        <v>17.0</v>
      </c>
      <c r="G73" s="1">
        <v>13.0</v>
      </c>
    </row>
    <row r="74" ht="15.75" customHeight="1">
      <c r="A74" s="1">
        <f t="shared" si="1"/>
        <v>126</v>
      </c>
      <c r="B74" s="1">
        <f t="shared" si="2"/>
        <v>51</v>
      </c>
      <c r="C74" s="1">
        <f t="shared" si="3"/>
        <v>51</v>
      </c>
      <c r="D74" s="1">
        <f t="shared" si="4"/>
        <v>24</v>
      </c>
      <c r="F74" s="1">
        <v>17.0</v>
      </c>
      <c r="G74" s="1">
        <v>12.0</v>
      </c>
    </row>
    <row r="75" ht="15.75" customHeight="1">
      <c r="A75" s="1">
        <f t="shared" si="1"/>
        <v>124</v>
      </c>
      <c r="B75" s="1">
        <f t="shared" si="2"/>
        <v>51</v>
      </c>
      <c r="C75" s="1">
        <f t="shared" si="3"/>
        <v>51</v>
      </c>
      <c r="D75" s="1">
        <f t="shared" si="4"/>
        <v>22</v>
      </c>
      <c r="F75" s="1">
        <v>17.0</v>
      </c>
      <c r="G75" s="1">
        <v>11.0</v>
      </c>
    </row>
    <row r="76" ht="15.75" customHeight="1">
      <c r="A76" s="1">
        <f t="shared" si="1"/>
        <v>122</v>
      </c>
      <c r="B76" s="1">
        <f t="shared" si="2"/>
        <v>51</v>
      </c>
      <c r="C76" s="1">
        <f t="shared" si="3"/>
        <v>51</v>
      </c>
      <c r="D76" s="1">
        <f t="shared" si="4"/>
        <v>20</v>
      </c>
      <c r="F76" s="1">
        <v>17.0</v>
      </c>
      <c r="G76" s="1">
        <v>10.0</v>
      </c>
    </row>
    <row r="77" ht="15.75" customHeight="1">
      <c r="A77" s="1">
        <f t="shared" si="1"/>
        <v>120</v>
      </c>
      <c r="B77" s="1">
        <f t="shared" si="2"/>
        <v>51</v>
      </c>
      <c r="C77" s="1">
        <f t="shared" si="3"/>
        <v>51</v>
      </c>
      <c r="D77" s="1">
        <f t="shared" si="4"/>
        <v>18</v>
      </c>
      <c r="F77" s="1">
        <v>17.0</v>
      </c>
      <c r="G77" s="1">
        <v>9.0</v>
      </c>
    </row>
    <row r="78" ht="15.75" customHeight="1">
      <c r="A78" s="1">
        <f t="shared" si="1"/>
        <v>118</v>
      </c>
      <c r="B78" s="1">
        <f t="shared" si="2"/>
        <v>51</v>
      </c>
      <c r="C78" s="1">
        <f t="shared" si="3"/>
        <v>51</v>
      </c>
      <c r="D78" s="1">
        <f t="shared" si="4"/>
        <v>16</v>
      </c>
      <c r="F78" s="1">
        <v>17.0</v>
      </c>
      <c r="G78" s="1">
        <v>8.0</v>
      </c>
    </row>
    <row r="79" ht="15.75" customHeight="1">
      <c r="A79" s="1">
        <f t="shared" si="1"/>
        <v>116</v>
      </c>
      <c r="B79" s="1">
        <f t="shared" si="2"/>
        <v>51</v>
      </c>
      <c r="C79" s="1">
        <f t="shared" si="3"/>
        <v>51</v>
      </c>
      <c r="D79" s="1">
        <f t="shared" si="4"/>
        <v>14</v>
      </c>
      <c r="F79" s="1">
        <v>17.0</v>
      </c>
      <c r="G79" s="1">
        <v>7.0</v>
      </c>
    </row>
    <row r="80" ht="15.75" customHeight="1">
      <c r="A80" s="1">
        <f t="shared" si="1"/>
        <v>114</v>
      </c>
      <c r="B80" s="1">
        <f t="shared" si="2"/>
        <v>51</v>
      </c>
      <c r="C80" s="1">
        <f t="shared" si="3"/>
        <v>51</v>
      </c>
      <c r="D80" s="1">
        <f t="shared" si="4"/>
        <v>12</v>
      </c>
      <c r="F80" s="1">
        <v>17.0</v>
      </c>
      <c r="G80" s="1">
        <v>6.0</v>
      </c>
    </row>
    <row r="81" ht="15.75" customHeight="1">
      <c r="A81" s="1">
        <f t="shared" si="1"/>
        <v>112</v>
      </c>
      <c r="B81" s="1">
        <f t="shared" si="2"/>
        <v>51</v>
      </c>
      <c r="C81" s="1">
        <f t="shared" si="3"/>
        <v>51</v>
      </c>
      <c r="D81" s="1">
        <f t="shared" si="4"/>
        <v>10</v>
      </c>
      <c r="F81" s="1">
        <v>17.0</v>
      </c>
      <c r="G81" s="1">
        <v>5.0</v>
      </c>
    </row>
    <row r="82" ht="15.75" customHeight="1">
      <c r="A82" s="1">
        <f t="shared" si="1"/>
        <v>110</v>
      </c>
      <c r="B82" s="1">
        <f t="shared" si="2"/>
        <v>51</v>
      </c>
      <c r="C82" s="1">
        <f t="shared" si="3"/>
        <v>51</v>
      </c>
      <c r="D82" s="1">
        <f t="shared" si="4"/>
        <v>8</v>
      </c>
      <c r="F82" s="1">
        <v>17.0</v>
      </c>
      <c r="G82" s="1">
        <v>4.0</v>
      </c>
    </row>
    <row r="83" ht="15.75" customHeight="1">
      <c r="A83" s="1">
        <f t="shared" si="1"/>
        <v>108</v>
      </c>
      <c r="B83" s="1">
        <f t="shared" si="2"/>
        <v>51</v>
      </c>
      <c r="C83" s="1">
        <f t="shared" si="3"/>
        <v>51</v>
      </c>
      <c r="D83" s="1">
        <f t="shared" si="4"/>
        <v>6</v>
      </c>
      <c r="F83" s="1">
        <v>17.0</v>
      </c>
      <c r="G83" s="1">
        <v>3.0</v>
      </c>
    </row>
    <row r="84" ht="15.75" customHeight="1">
      <c r="A84" s="1">
        <f t="shared" si="1"/>
        <v>106</v>
      </c>
      <c r="B84" s="1">
        <f t="shared" si="2"/>
        <v>51</v>
      </c>
      <c r="C84" s="1">
        <f t="shared" si="3"/>
        <v>51</v>
      </c>
      <c r="D84" s="1">
        <f t="shared" si="4"/>
        <v>4</v>
      </c>
      <c r="F84" s="1">
        <v>17.0</v>
      </c>
      <c r="G84" s="1">
        <v>2.0</v>
      </c>
    </row>
    <row r="85" ht="15.75" customHeight="1">
      <c r="A85" s="1">
        <f t="shared" si="1"/>
        <v>104</v>
      </c>
      <c r="B85" s="1">
        <f t="shared" si="2"/>
        <v>51</v>
      </c>
      <c r="C85" s="1">
        <f t="shared" si="3"/>
        <v>51</v>
      </c>
      <c r="D85" s="1">
        <f t="shared" si="4"/>
        <v>2</v>
      </c>
      <c r="F85" s="1">
        <v>17.0</v>
      </c>
      <c r="G85" s="1">
        <v>1.0</v>
      </c>
    </row>
    <row r="86" ht="15.75" customHeight="1">
      <c r="A86" s="1">
        <f t="shared" si="1"/>
        <v>146</v>
      </c>
      <c r="B86" s="1">
        <f t="shared" si="2"/>
        <v>48</v>
      </c>
      <c r="C86" s="1">
        <f t="shared" si="3"/>
        <v>48</v>
      </c>
      <c r="D86" s="1">
        <f t="shared" si="4"/>
        <v>50</v>
      </c>
      <c r="F86" s="1">
        <v>16.0</v>
      </c>
      <c r="G86" s="1">
        <v>25.0</v>
      </c>
    </row>
    <row r="87" ht="15.75" customHeight="1">
      <c r="A87" s="1">
        <f t="shared" si="1"/>
        <v>136</v>
      </c>
      <c r="B87" s="1">
        <f t="shared" si="2"/>
        <v>48</v>
      </c>
      <c r="C87" s="1">
        <f t="shared" si="3"/>
        <v>48</v>
      </c>
      <c r="D87" s="1">
        <f t="shared" si="4"/>
        <v>40</v>
      </c>
      <c r="F87" s="1">
        <v>16.0</v>
      </c>
      <c r="G87" s="1">
        <v>20.0</v>
      </c>
    </row>
    <row r="88" ht="15.75" customHeight="1">
      <c r="A88" s="1">
        <f t="shared" si="1"/>
        <v>134</v>
      </c>
      <c r="B88" s="1">
        <f t="shared" si="2"/>
        <v>48</v>
      </c>
      <c r="C88" s="1">
        <f t="shared" si="3"/>
        <v>48</v>
      </c>
      <c r="D88" s="1">
        <f t="shared" si="4"/>
        <v>38</v>
      </c>
      <c r="F88" s="1">
        <v>16.0</v>
      </c>
      <c r="G88" s="1">
        <v>19.0</v>
      </c>
    </row>
    <row r="89" ht="15.75" customHeight="1">
      <c r="A89" s="1">
        <f t="shared" si="1"/>
        <v>132</v>
      </c>
      <c r="B89" s="1">
        <f t="shared" si="2"/>
        <v>48</v>
      </c>
      <c r="C89" s="1">
        <f t="shared" si="3"/>
        <v>48</v>
      </c>
      <c r="D89" s="1">
        <f t="shared" si="4"/>
        <v>36</v>
      </c>
      <c r="F89" s="1">
        <v>16.0</v>
      </c>
      <c r="G89" s="1">
        <v>18.0</v>
      </c>
    </row>
    <row r="90" ht="15.75" customHeight="1">
      <c r="A90" s="1">
        <f t="shared" si="1"/>
        <v>130</v>
      </c>
      <c r="B90" s="1">
        <f t="shared" si="2"/>
        <v>48</v>
      </c>
      <c r="C90" s="1">
        <f t="shared" si="3"/>
        <v>48</v>
      </c>
      <c r="D90" s="1">
        <f t="shared" si="4"/>
        <v>34</v>
      </c>
      <c r="F90" s="1">
        <v>16.0</v>
      </c>
      <c r="G90" s="1">
        <v>17.0</v>
      </c>
    </row>
    <row r="91" ht="15.75" customHeight="1">
      <c r="A91" s="1">
        <f t="shared" si="1"/>
        <v>128</v>
      </c>
      <c r="B91" s="1">
        <f t="shared" si="2"/>
        <v>48</v>
      </c>
      <c r="C91" s="1">
        <f t="shared" si="3"/>
        <v>48</v>
      </c>
      <c r="D91" s="1">
        <f t="shared" si="4"/>
        <v>32</v>
      </c>
      <c r="F91" s="1">
        <v>16.0</v>
      </c>
      <c r="G91" s="1">
        <v>16.0</v>
      </c>
    </row>
    <row r="92" ht="15.75" customHeight="1">
      <c r="A92" s="1">
        <f t="shared" si="1"/>
        <v>126</v>
      </c>
      <c r="B92" s="1">
        <f t="shared" si="2"/>
        <v>48</v>
      </c>
      <c r="C92" s="1">
        <f t="shared" si="3"/>
        <v>48</v>
      </c>
      <c r="D92" s="1">
        <f t="shared" si="4"/>
        <v>30</v>
      </c>
      <c r="F92" s="1">
        <v>16.0</v>
      </c>
      <c r="G92" s="1">
        <v>15.0</v>
      </c>
    </row>
    <row r="93" ht="15.75" customHeight="1">
      <c r="A93" s="1">
        <f t="shared" si="1"/>
        <v>124</v>
      </c>
      <c r="B93" s="1">
        <f t="shared" si="2"/>
        <v>48</v>
      </c>
      <c r="C93" s="1">
        <f t="shared" si="3"/>
        <v>48</v>
      </c>
      <c r="D93" s="1">
        <f t="shared" si="4"/>
        <v>28</v>
      </c>
      <c r="F93" s="1">
        <v>16.0</v>
      </c>
      <c r="G93" s="1">
        <v>14.0</v>
      </c>
    </row>
    <row r="94" ht="15.75" customHeight="1">
      <c r="A94" s="1">
        <f t="shared" si="1"/>
        <v>122</v>
      </c>
      <c r="B94" s="1">
        <f t="shared" si="2"/>
        <v>48</v>
      </c>
      <c r="C94" s="1">
        <f t="shared" si="3"/>
        <v>48</v>
      </c>
      <c r="D94" s="1">
        <f t="shared" si="4"/>
        <v>26</v>
      </c>
      <c r="F94" s="1">
        <v>16.0</v>
      </c>
      <c r="G94" s="1">
        <v>13.0</v>
      </c>
    </row>
    <row r="95" ht="15.75" customHeight="1">
      <c r="A95" s="1">
        <f t="shared" si="1"/>
        <v>120</v>
      </c>
      <c r="B95" s="1">
        <f t="shared" si="2"/>
        <v>48</v>
      </c>
      <c r="C95" s="1">
        <f t="shared" si="3"/>
        <v>48</v>
      </c>
      <c r="D95" s="1">
        <f t="shared" si="4"/>
        <v>24</v>
      </c>
      <c r="F95" s="1">
        <v>16.0</v>
      </c>
      <c r="G95" s="1">
        <v>12.0</v>
      </c>
    </row>
    <row r="96" ht="15.75" customHeight="1">
      <c r="A96" s="1">
        <f t="shared" si="1"/>
        <v>118</v>
      </c>
      <c r="B96" s="1">
        <f t="shared" si="2"/>
        <v>48</v>
      </c>
      <c r="C96" s="1">
        <f t="shared" si="3"/>
        <v>48</v>
      </c>
      <c r="D96" s="1">
        <f t="shared" si="4"/>
        <v>22</v>
      </c>
      <c r="F96" s="1">
        <v>16.0</v>
      </c>
      <c r="G96" s="1">
        <v>11.0</v>
      </c>
    </row>
    <row r="97" ht="15.75" customHeight="1">
      <c r="A97" s="1">
        <f t="shared" si="1"/>
        <v>116</v>
      </c>
      <c r="B97" s="1">
        <f t="shared" si="2"/>
        <v>48</v>
      </c>
      <c r="C97" s="1">
        <f t="shared" si="3"/>
        <v>48</v>
      </c>
      <c r="D97" s="1">
        <f t="shared" si="4"/>
        <v>20</v>
      </c>
      <c r="F97" s="1">
        <v>16.0</v>
      </c>
      <c r="G97" s="1">
        <v>10.0</v>
      </c>
    </row>
    <row r="98" ht="15.75" customHeight="1">
      <c r="A98" s="1">
        <f t="shared" si="1"/>
        <v>114</v>
      </c>
      <c r="B98" s="1">
        <f t="shared" si="2"/>
        <v>48</v>
      </c>
      <c r="C98" s="1">
        <f t="shared" si="3"/>
        <v>48</v>
      </c>
      <c r="D98" s="1">
        <f t="shared" si="4"/>
        <v>18</v>
      </c>
      <c r="F98" s="1">
        <v>16.0</v>
      </c>
      <c r="G98" s="1">
        <v>9.0</v>
      </c>
    </row>
    <row r="99" ht="15.75" customHeight="1">
      <c r="A99" s="1">
        <f t="shared" si="1"/>
        <v>112</v>
      </c>
      <c r="B99" s="1">
        <f t="shared" si="2"/>
        <v>48</v>
      </c>
      <c r="C99" s="1">
        <f t="shared" si="3"/>
        <v>48</v>
      </c>
      <c r="D99" s="1">
        <f t="shared" si="4"/>
        <v>16</v>
      </c>
      <c r="F99" s="1">
        <v>16.0</v>
      </c>
      <c r="G99" s="1">
        <v>8.0</v>
      </c>
    </row>
    <row r="100" ht="15.75" customHeight="1">
      <c r="A100" s="1">
        <f t="shared" si="1"/>
        <v>110</v>
      </c>
      <c r="B100" s="1">
        <f t="shared" si="2"/>
        <v>48</v>
      </c>
      <c r="C100" s="1">
        <f t="shared" si="3"/>
        <v>48</v>
      </c>
      <c r="D100" s="1">
        <f t="shared" si="4"/>
        <v>14</v>
      </c>
      <c r="F100" s="1">
        <v>16.0</v>
      </c>
      <c r="G100" s="1">
        <v>7.0</v>
      </c>
    </row>
    <row r="101" ht="15.75" customHeight="1">
      <c r="A101" s="1">
        <f t="shared" si="1"/>
        <v>108</v>
      </c>
      <c r="B101" s="1">
        <f t="shared" si="2"/>
        <v>48</v>
      </c>
      <c r="C101" s="1">
        <f t="shared" si="3"/>
        <v>48</v>
      </c>
      <c r="D101" s="1">
        <f t="shared" si="4"/>
        <v>12</v>
      </c>
      <c r="F101" s="1">
        <v>16.0</v>
      </c>
      <c r="G101" s="1">
        <v>6.0</v>
      </c>
    </row>
    <row r="102" ht="15.75" customHeight="1">
      <c r="A102" s="1">
        <f t="shared" si="1"/>
        <v>106</v>
      </c>
      <c r="B102" s="1">
        <f t="shared" si="2"/>
        <v>48</v>
      </c>
      <c r="C102" s="1">
        <f t="shared" si="3"/>
        <v>48</v>
      </c>
      <c r="D102" s="1">
        <f t="shared" si="4"/>
        <v>10</v>
      </c>
      <c r="F102" s="1">
        <v>16.0</v>
      </c>
      <c r="G102" s="1">
        <v>5.0</v>
      </c>
    </row>
    <row r="103" ht="15.75" customHeight="1">
      <c r="A103" s="1">
        <f t="shared" si="1"/>
        <v>104</v>
      </c>
      <c r="B103" s="1">
        <f t="shared" si="2"/>
        <v>48</v>
      </c>
      <c r="C103" s="1">
        <f t="shared" si="3"/>
        <v>48</v>
      </c>
      <c r="D103" s="1">
        <f t="shared" si="4"/>
        <v>8</v>
      </c>
      <c r="F103" s="1">
        <v>16.0</v>
      </c>
      <c r="G103" s="1">
        <v>4.0</v>
      </c>
    </row>
    <row r="104" ht="15.75" customHeight="1">
      <c r="A104" s="1">
        <f t="shared" si="1"/>
        <v>102</v>
      </c>
      <c r="B104" s="1">
        <f t="shared" si="2"/>
        <v>48</v>
      </c>
      <c r="C104" s="1">
        <f t="shared" si="3"/>
        <v>48</v>
      </c>
      <c r="D104" s="1">
        <f t="shared" si="4"/>
        <v>6</v>
      </c>
      <c r="F104" s="1">
        <v>16.0</v>
      </c>
      <c r="G104" s="1">
        <v>3.0</v>
      </c>
    </row>
    <row r="105" ht="15.75" customHeight="1">
      <c r="A105" s="1">
        <f t="shared" si="1"/>
        <v>100</v>
      </c>
      <c r="B105" s="1">
        <f t="shared" si="2"/>
        <v>48</v>
      </c>
      <c r="C105" s="1">
        <f t="shared" si="3"/>
        <v>48</v>
      </c>
      <c r="D105" s="1">
        <f t="shared" si="4"/>
        <v>4</v>
      </c>
      <c r="F105" s="1">
        <v>16.0</v>
      </c>
      <c r="G105" s="1">
        <v>2.0</v>
      </c>
    </row>
    <row r="106" ht="15.75" customHeight="1">
      <c r="A106" s="1">
        <f t="shared" si="1"/>
        <v>98</v>
      </c>
      <c r="B106" s="1">
        <f t="shared" si="2"/>
        <v>48</v>
      </c>
      <c r="C106" s="1">
        <f t="shared" si="3"/>
        <v>48</v>
      </c>
      <c r="D106" s="1">
        <f t="shared" si="4"/>
        <v>2</v>
      </c>
      <c r="F106" s="1">
        <v>16.0</v>
      </c>
      <c r="G106" s="1">
        <v>1.0</v>
      </c>
    </row>
    <row r="107" ht="15.75" customHeight="1">
      <c r="A107" s="1">
        <f t="shared" si="1"/>
        <v>140</v>
      </c>
      <c r="B107" s="1">
        <f t="shared" si="2"/>
        <v>45</v>
      </c>
      <c r="C107" s="1">
        <f t="shared" si="3"/>
        <v>45</v>
      </c>
      <c r="D107" s="1">
        <f t="shared" si="4"/>
        <v>50</v>
      </c>
      <c r="F107" s="1">
        <v>15.0</v>
      </c>
      <c r="G107" s="1">
        <v>25.0</v>
      </c>
    </row>
    <row r="108" ht="15.75" customHeight="1">
      <c r="A108" s="1">
        <f t="shared" si="1"/>
        <v>130</v>
      </c>
      <c r="B108" s="1">
        <f t="shared" si="2"/>
        <v>45</v>
      </c>
      <c r="C108" s="1">
        <f t="shared" si="3"/>
        <v>45</v>
      </c>
      <c r="D108" s="1">
        <f t="shared" si="4"/>
        <v>40</v>
      </c>
      <c r="F108" s="1">
        <v>15.0</v>
      </c>
      <c r="G108" s="1">
        <v>20.0</v>
      </c>
    </row>
    <row r="109" ht="15.75" customHeight="1">
      <c r="A109" s="1">
        <f t="shared" si="1"/>
        <v>128</v>
      </c>
      <c r="B109" s="1">
        <f t="shared" si="2"/>
        <v>45</v>
      </c>
      <c r="C109" s="1">
        <f t="shared" si="3"/>
        <v>45</v>
      </c>
      <c r="D109" s="1">
        <f t="shared" si="4"/>
        <v>38</v>
      </c>
      <c r="F109" s="1">
        <v>15.0</v>
      </c>
      <c r="G109" s="1">
        <v>19.0</v>
      </c>
    </row>
    <row r="110" ht="15.75" customHeight="1">
      <c r="A110" s="1">
        <f t="shared" si="1"/>
        <v>126</v>
      </c>
      <c r="B110" s="1">
        <f t="shared" si="2"/>
        <v>45</v>
      </c>
      <c r="C110" s="1">
        <f t="shared" si="3"/>
        <v>45</v>
      </c>
      <c r="D110" s="1">
        <f t="shared" si="4"/>
        <v>36</v>
      </c>
      <c r="F110" s="1">
        <v>15.0</v>
      </c>
      <c r="G110" s="1">
        <v>18.0</v>
      </c>
    </row>
    <row r="111" ht="15.75" customHeight="1">
      <c r="A111" s="1">
        <f t="shared" si="1"/>
        <v>124</v>
      </c>
      <c r="B111" s="1">
        <f t="shared" si="2"/>
        <v>45</v>
      </c>
      <c r="C111" s="1">
        <f t="shared" si="3"/>
        <v>45</v>
      </c>
      <c r="D111" s="1">
        <f t="shared" si="4"/>
        <v>34</v>
      </c>
      <c r="F111" s="1">
        <v>15.0</v>
      </c>
      <c r="G111" s="1">
        <v>17.0</v>
      </c>
    </row>
    <row r="112" ht="15.75" customHeight="1">
      <c r="A112" s="1">
        <f t="shared" si="1"/>
        <v>122</v>
      </c>
      <c r="B112" s="1">
        <f t="shared" si="2"/>
        <v>45</v>
      </c>
      <c r="C112" s="1">
        <f t="shared" si="3"/>
        <v>45</v>
      </c>
      <c r="D112" s="1">
        <f t="shared" si="4"/>
        <v>32</v>
      </c>
      <c r="F112" s="1">
        <v>15.0</v>
      </c>
      <c r="G112" s="1">
        <v>16.0</v>
      </c>
    </row>
    <row r="113" ht="15.75" customHeight="1">
      <c r="A113" s="1">
        <f t="shared" si="1"/>
        <v>120</v>
      </c>
      <c r="B113" s="1">
        <f t="shared" si="2"/>
        <v>45</v>
      </c>
      <c r="C113" s="1">
        <f t="shared" si="3"/>
        <v>45</v>
      </c>
      <c r="D113" s="1">
        <f t="shared" si="4"/>
        <v>30</v>
      </c>
      <c r="F113" s="1">
        <v>15.0</v>
      </c>
      <c r="G113" s="1">
        <v>15.0</v>
      </c>
    </row>
    <row r="114" ht="15.75" customHeight="1">
      <c r="A114" s="1">
        <f t="shared" si="1"/>
        <v>118</v>
      </c>
      <c r="B114" s="1">
        <f t="shared" si="2"/>
        <v>45</v>
      </c>
      <c r="C114" s="1">
        <f t="shared" si="3"/>
        <v>45</v>
      </c>
      <c r="D114" s="1">
        <f t="shared" si="4"/>
        <v>28</v>
      </c>
      <c r="F114" s="1">
        <v>15.0</v>
      </c>
      <c r="G114" s="1">
        <v>14.0</v>
      </c>
    </row>
    <row r="115" ht="15.75" customHeight="1">
      <c r="A115" s="1">
        <f t="shared" si="1"/>
        <v>116</v>
      </c>
      <c r="B115" s="1">
        <f t="shared" si="2"/>
        <v>45</v>
      </c>
      <c r="C115" s="1">
        <f t="shared" si="3"/>
        <v>45</v>
      </c>
      <c r="D115" s="1">
        <f t="shared" si="4"/>
        <v>26</v>
      </c>
      <c r="F115" s="1">
        <v>15.0</v>
      </c>
      <c r="G115" s="1">
        <v>13.0</v>
      </c>
    </row>
    <row r="116" ht="15.75" customHeight="1">
      <c r="A116" s="1">
        <f t="shared" si="1"/>
        <v>114</v>
      </c>
      <c r="B116" s="1">
        <f t="shared" si="2"/>
        <v>45</v>
      </c>
      <c r="C116" s="1">
        <f t="shared" si="3"/>
        <v>45</v>
      </c>
      <c r="D116" s="1">
        <f t="shared" si="4"/>
        <v>24</v>
      </c>
      <c r="F116" s="1">
        <v>15.0</v>
      </c>
      <c r="G116" s="1">
        <v>12.0</v>
      </c>
    </row>
    <row r="117" ht="15.75" customHeight="1">
      <c r="A117" s="1">
        <f t="shared" si="1"/>
        <v>112</v>
      </c>
      <c r="B117" s="1">
        <f t="shared" si="2"/>
        <v>45</v>
      </c>
      <c r="C117" s="1">
        <f t="shared" si="3"/>
        <v>45</v>
      </c>
      <c r="D117" s="1">
        <f t="shared" si="4"/>
        <v>22</v>
      </c>
      <c r="F117" s="1">
        <v>15.0</v>
      </c>
      <c r="G117" s="1">
        <v>11.0</v>
      </c>
    </row>
    <row r="118" ht="15.75" customHeight="1">
      <c r="A118" s="1">
        <f t="shared" si="1"/>
        <v>110</v>
      </c>
      <c r="B118" s="1">
        <f t="shared" si="2"/>
        <v>45</v>
      </c>
      <c r="C118" s="1">
        <f t="shared" si="3"/>
        <v>45</v>
      </c>
      <c r="D118" s="1">
        <f t="shared" si="4"/>
        <v>20</v>
      </c>
      <c r="F118" s="1">
        <v>15.0</v>
      </c>
      <c r="G118" s="1">
        <v>10.0</v>
      </c>
    </row>
    <row r="119" ht="15.75" customHeight="1">
      <c r="A119" s="1">
        <f t="shared" si="1"/>
        <v>108</v>
      </c>
      <c r="B119" s="1">
        <f t="shared" si="2"/>
        <v>45</v>
      </c>
      <c r="C119" s="1">
        <f t="shared" si="3"/>
        <v>45</v>
      </c>
      <c r="D119" s="1">
        <f t="shared" si="4"/>
        <v>18</v>
      </c>
      <c r="F119" s="1">
        <v>15.0</v>
      </c>
      <c r="G119" s="1">
        <v>9.0</v>
      </c>
    </row>
    <row r="120" ht="15.75" customHeight="1">
      <c r="A120" s="1">
        <f t="shared" si="1"/>
        <v>106</v>
      </c>
      <c r="B120" s="1">
        <f t="shared" si="2"/>
        <v>45</v>
      </c>
      <c r="C120" s="1">
        <f t="shared" si="3"/>
        <v>45</v>
      </c>
      <c r="D120" s="1">
        <f t="shared" si="4"/>
        <v>16</v>
      </c>
      <c r="F120" s="1">
        <v>15.0</v>
      </c>
      <c r="G120" s="1">
        <v>8.0</v>
      </c>
    </row>
    <row r="121" ht="15.75" customHeight="1">
      <c r="A121" s="1">
        <f t="shared" si="1"/>
        <v>104</v>
      </c>
      <c r="B121" s="1">
        <f t="shared" si="2"/>
        <v>45</v>
      </c>
      <c r="C121" s="1">
        <f t="shared" si="3"/>
        <v>45</v>
      </c>
      <c r="D121" s="1">
        <f t="shared" si="4"/>
        <v>14</v>
      </c>
      <c r="F121" s="1">
        <v>15.0</v>
      </c>
      <c r="G121" s="1">
        <v>7.0</v>
      </c>
    </row>
    <row r="122" ht="15.75" customHeight="1">
      <c r="A122" s="1">
        <f t="shared" si="1"/>
        <v>102</v>
      </c>
      <c r="B122" s="1">
        <f t="shared" si="2"/>
        <v>45</v>
      </c>
      <c r="C122" s="1">
        <f t="shared" si="3"/>
        <v>45</v>
      </c>
      <c r="D122" s="1">
        <f t="shared" si="4"/>
        <v>12</v>
      </c>
      <c r="F122" s="1">
        <v>15.0</v>
      </c>
      <c r="G122" s="1">
        <v>6.0</v>
      </c>
    </row>
    <row r="123" ht="15.75" customHeight="1">
      <c r="A123" s="1">
        <f t="shared" si="1"/>
        <v>100</v>
      </c>
      <c r="B123" s="1">
        <f t="shared" si="2"/>
        <v>45</v>
      </c>
      <c r="C123" s="1">
        <f t="shared" si="3"/>
        <v>45</v>
      </c>
      <c r="D123" s="1">
        <f t="shared" si="4"/>
        <v>10</v>
      </c>
      <c r="F123" s="1">
        <v>15.0</v>
      </c>
      <c r="G123" s="1">
        <v>5.0</v>
      </c>
    </row>
    <row r="124" ht="15.75" customHeight="1">
      <c r="A124" s="1">
        <f t="shared" si="1"/>
        <v>98</v>
      </c>
      <c r="B124" s="1">
        <f t="shared" si="2"/>
        <v>45</v>
      </c>
      <c r="C124" s="1">
        <f t="shared" si="3"/>
        <v>45</v>
      </c>
      <c r="D124" s="1">
        <f t="shared" si="4"/>
        <v>8</v>
      </c>
      <c r="F124" s="1">
        <v>15.0</v>
      </c>
      <c r="G124" s="1">
        <v>4.0</v>
      </c>
    </row>
    <row r="125" ht="15.75" customHeight="1">
      <c r="A125" s="1">
        <f t="shared" si="1"/>
        <v>96</v>
      </c>
      <c r="B125" s="1">
        <f t="shared" si="2"/>
        <v>45</v>
      </c>
      <c r="C125" s="1">
        <f t="shared" si="3"/>
        <v>45</v>
      </c>
      <c r="D125" s="1">
        <f t="shared" si="4"/>
        <v>6</v>
      </c>
      <c r="F125" s="1">
        <v>15.0</v>
      </c>
      <c r="G125" s="1">
        <v>3.0</v>
      </c>
    </row>
    <row r="126" ht="15.75" customHeight="1">
      <c r="A126" s="1">
        <f t="shared" si="1"/>
        <v>94</v>
      </c>
      <c r="B126" s="1">
        <f t="shared" si="2"/>
        <v>45</v>
      </c>
      <c r="C126" s="1">
        <f t="shared" si="3"/>
        <v>45</v>
      </c>
      <c r="D126" s="1">
        <f t="shared" si="4"/>
        <v>4</v>
      </c>
      <c r="F126" s="1">
        <v>15.0</v>
      </c>
      <c r="G126" s="1">
        <v>2.0</v>
      </c>
    </row>
    <row r="127" ht="15.75" customHeight="1">
      <c r="A127" s="1">
        <f t="shared" si="1"/>
        <v>92</v>
      </c>
      <c r="B127" s="1">
        <f t="shared" si="2"/>
        <v>45</v>
      </c>
      <c r="C127" s="1">
        <f t="shared" si="3"/>
        <v>45</v>
      </c>
      <c r="D127" s="1">
        <f t="shared" si="4"/>
        <v>2</v>
      </c>
      <c r="F127" s="1">
        <v>15.0</v>
      </c>
      <c r="G127" s="1">
        <v>1.0</v>
      </c>
    </row>
    <row r="128" ht="15.75" customHeight="1">
      <c r="A128" s="1">
        <f t="shared" si="1"/>
        <v>134</v>
      </c>
      <c r="B128" s="1">
        <f t="shared" si="2"/>
        <v>42</v>
      </c>
      <c r="C128" s="1">
        <f t="shared" si="3"/>
        <v>42</v>
      </c>
      <c r="D128" s="1">
        <f t="shared" si="4"/>
        <v>50</v>
      </c>
      <c r="F128" s="1">
        <v>14.0</v>
      </c>
      <c r="G128" s="1">
        <v>25.0</v>
      </c>
    </row>
    <row r="129" ht="15.75" customHeight="1">
      <c r="A129" s="1">
        <f t="shared" si="1"/>
        <v>124</v>
      </c>
      <c r="B129" s="1">
        <f t="shared" si="2"/>
        <v>42</v>
      </c>
      <c r="C129" s="1">
        <f t="shared" si="3"/>
        <v>42</v>
      </c>
      <c r="D129" s="1">
        <f t="shared" si="4"/>
        <v>40</v>
      </c>
      <c r="F129" s="1">
        <v>14.0</v>
      </c>
      <c r="G129" s="1">
        <v>20.0</v>
      </c>
    </row>
    <row r="130" ht="15.75" customHeight="1">
      <c r="A130" s="1">
        <f t="shared" si="1"/>
        <v>122</v>
      </c>
      <c r="B130" s="1">
        <f t="shared" si="2"/>
        <v>42</v>
      </c>
      <c r="C130" s="1">
        <f t="shared" si="3"/>
        <v>42</v>
      </c>
      <c r="D130" s="1">
        <f t="shared" si="4"/>
        <v>38</v>
      </c>
      <c r="F130" s="1">
        <v>14.0</v>
      </c>
      <c r="G130" s="1">
        <v>19.0</v>
      </c>
    </row>
    <row r="131" ht="15.75" customHeight="1">
      <c r="A131" s="1">
        <f t="shared" si="1"/>
        <v>120</v>
      </c>
      <c r="B131" s="1">
        <f t="shared" si="2"/>
        <v>42</v>
      </c>
      <c r="C131" s="1">
        <f t="shared" si="3"/>
        <v>42</v>
      </c>
      <c r="D131" s="1">
        <f t="shared" si="4"/>
        <v>36</v>
      </c>
      <c r="F131" s="1">
        <v>14.0</v>
      </c>
      <c r="G131" s="1">
        <v>18.0</v>
      </c>
    </row>
    <row r="132" ht="15.75" customHeight="1">
      <c r="A132" s="1">
        <f t="shared" si="1"/>
        <v>118</v>
      </c>
      <c r="B132" s="1">
        <f t="shared" si="2"/>
        <v>42</v>
      </c>
      <c r="C132" s="1">
        <f t="shared" si="3"/>
        <v>42</v>
      </c>
      <c r="D132" s="1">
        <f t="shared" si="4"/>
        <v>34</v>
      </c>
      <c r="F132" s="1">
        <v>14.0</v>
      </c>
      <c r="G132" s="1">
        <v>17.0</v>
      </c>
    </row>
    <row r="133" ht="15.75" customHeight="1">
      <c r="A133" s="1">
        <f t="shared" si="1"/>
        <v>116</v>
      </c>
      <c r="B133" s="1">
        <f t="shared" si="2"/>
        <v>42</v>
      </c>
      <c r="C133" s="1">
        <f t="shared" si="3"/>
        <v>42</v>
      </c>
      <c r="D133" s="1">
        <f t="shared" si="4"/>
        <v>32</v>
      </c>
      <c r="F133" s="1">
        <v>14.0</v>
      </c>
      <c r="G133" s="1">
        <v>16.0</v>
      </c>
    </row>
    <row r="134" ht="15.75" customHeight="1">
      <c r="A134" s="1">
        <f t="shared" si="1"/>
        <v>114</v>
      </c>
      <c r="B134" s="1">
        <f t="shared" si="2"/>
        <v>42</v>
      </c>
      <c r="C134" s="1">
        <f t="shared" si="3"/>
        <v>42</v>
      </c>
      <c r="D134" s="1">
        <f t="shared" si="4"/>
        <v>30</v>
      </c>
      <c r="F134" s="1">
        <v>14.0</v>
      </c>
      <c r="G134" s="1">
        <v>15.0</v>
      </c>
    </row>
    <row r="135" ht="15.75" customHeight="1">
      <c r="A135" s="1">
        <f t="shared" si="1"/>
        <v>112</v>
      </c>
      <c r="B135" s="1">
        <f t="shared" si="2"/>
        <v>42</v>
      </c>
      <c r="C135" s="1">
        <f t="shared" si="3"/>
        <v>42</v>
      </c>
      <c r="D135" s="1">
        <f t="shared" si="4"/>
        <v>28</v>
      </c>
      <c r="F135" s="1">
        <v>14.0</v>
      </c>
      <c r="G135" s="1">
        <v>14.0</v>
      </c>
    </row>
    <row r="136" ht="15.75" customHeight="1">
      <c r="A136" s="1">
        <f t="shared" si="1"/>
        <v>110</v>
      </c>
      <c r="B136" s="1">
        <f t="shared" si="2"/>
        <v>42</v>
      </c>
      <c r="C136" s="1">
        <f t="shared" si="3"/>
        <v>42</v>
      </c>
      <c r="D136" s="1">
        <f t="shared" si="4"/>
        <v>26</v>
      </c>
      <c r="F136" s="1">
        <v>14.0</v>
      </c>
      <c r="G136" s="1">
        <v>13.0</v>
      </c>
    </row>
    <row r="137" ht="15.75" customHeight="1">
      <c r="A137" s="1">
        <f t="shared" si="1"/>
        <v>108</v>
      </c>
      <c r="B137" s="1">
        <f t="shared" si="2"/>
        <v>42</v>
      </c>
      <c r="C137" s="1">
        <f t="shared" si="3"/>
        <v>42</v>
      </c>
      <c r="D137" s="1">
        <f t="shared" si="4"/>
        <v>24</v>
      </c>
      <c r="F137" s="1">
        <v>14.0</v>
      </c>
      <c r="G137" s="1">
        <v>12.0</v>
      </c>
    </row>
    <row r="138" ht="15.75" customHeight="1">
      <c r="A138" s="1">
        <f t="shared" si="1"/>
        <v>106</v>
      </c>
      <c r="B138" s="1">
        <f t="shared" si="2"/>
        <v>42</v>
      </c>
      <c r="C138" s="1">
        <f t="shared" si="3"/>
        <v>42</v>
      </c>
      <c r="D138" s="1">
        <f t="shared" si="4"/>
        <v>22</v>
      </c>
      <c r="F138" s="1">
        <v>14.0</v>
      </c>
      <c r="G138" s="1">
        <v>11.0</v>
      </c>
    </row>
    <row r="139" ht="15.75" customHeight="1">
      <c r="A139" s="1">
        <f t="shared" si="1"/>
        <v>104</v>
      </c>
      <c r="B139" s="1">
        <f t="shared" si="2"/>
        <v>42</v>
      </c>
      <c r="C139" s="1">
        <f t="shared" si="3"/>
        <v>42</v>
      </c>
      <c r="D139" s="1">
        <f t="shared" si="4"/>
        <v>20</v>
      </c>
      <c r="F139" s="1">
        <v>14.0</v>
      </c>
      <c r="G139" s="1">
        <v>10.0</v>
      </c>
    </row>
    <row r="140" ht="15.75" customHeight="1">
      <c r="A140" s="1">
        <f t="shared" si="1"/>
        <v>102</v>
      </c>
      <c r="B140" s="1">
        <f t="shared" si="2"/>
        <v>42</v>
      </c>
      <c r="C140" s="1">
        <f t="shared" si="3"/>
        <v>42</v>
      </c>
      <c r="D140" s="1">
        <f t="shared" si="4"/>
        <v>18</v>
      </c>
      <c r="F140" s="1">
        <v>14.0</v>
      </c>
      <c r="G140" s="1">
        <v>9.0</v>
      </c>
    </row>
    <row r="141" ht="15.75" customHeight="1">
      <c r="A141" s="1">
        <f t="shared" si="1"/>
        <v>100</v>
      </c>
      <c r="B141" s="1">
        <f t="shared" si="2"/>
        <v>42</v>
      </c>
      <c r="C141" s="1">
        <f t="shared" si="3"/>
        <v>42</v>
      </c>
      <c r="D141" s="1">
        <f t="shared" si="4"/>
        <v>16</v>
      </c>
      <c r="F141" s="1">
        <v>14.0</v>
      </c>
      <c r="G141" s="1">
        <v>8.0</v>
      </c>
    </row>
    <row r="142" ht="15.75" customHeight="1">
      <c r="A142" s="1">
        <f t="shared" si="1"/>
        <v>98</v>
      </c>
      <c r="B142" s="1">
        <f t="shared" si="2"/>
        <v>42</v>
      </c>
      <c r="C142" s="1">
        <f t="shared" si="3"/>
        <v>42</v>
      </c>
      <c r="D142" s="1">
        <f t="shared" si="4"/>
        <v>14</v>
      </c>
      <c r="F142" s="1">
        <v>14.0</v>
      </c>
      <c r="G142" s="1">
        <v>7.0</v>
      </c>
    </row>
    <row r="143" ht="15.75" customHeight="1">
      <c r="A143" s="1">
        <f t="shared" si="1"/>
        <v>96</v>
      </c>
      <c r="B143" s="1">
        <f t="shared" si="2"/>
        <v>42</v>
      </c>
      <c r="C143" s="1">
        <f t="shared" si="3"/>
        <v>42</v>
      </c>
      <c r="D143" s="1">
        <f t="shared" si="4"/>
        <v>12</v>
      </c>
      <c r="F143" s="1">
        <v>14.0</v>
      </c>
      <c r="G143" s="1">
        <v>6.0</v>
      </c>
    </row>
    <row r="144" ht="15.75" customHeight="1">
      <c r="A144" s="1">
        <f t="shared" si="1"/>
        <v>94</v>
      </c>
      <c r="B144" s="1">
        <f t="shared" si="2"/>
        <v>42</v>
      </c>
      <c r="C144" s="1">
        <f t="shared" si="3"/>
        <v>42</v>
      </c>
      <c r="D144" s="1">
        <f t="shared" si="4"/>
        <v>10</v>
      </c>
      <c r="F144" s="1">
        <v>14.0</v>
      </c>
      <c r="G144" s="1">
        <v>5.0</v>
      </c>
    </row>
    <row r="145" ht="15.75" customHeight="1">
      <c r="A145" s="1">
        <f t="shared" si="1"/>
        <v>92</v>
      </c>
      <c r="B145" s="1">
        <f t="shared" si="2"/>
        <v>42</v>
      </c>
      <c r="C145" s="1">
        <f t="shared" si="3"/>
        <v>42</v>
      </c>
      <c r="D145" s="1">
        <f t="shared" si="4"/>
        <v>8</v>
      </c>
      <c r="F145" s="1">
        <v>14.0</v>
      </c>
      <c r="G145" s="1">
        <v>4.0</v>
      </c>
    </row>
    <row r="146" ht="15.75" customHeight="1">
      <c r="A146" s="1">
        <f t="shared" si="1"/>
        <v>90</v>
      </c>
      <c r="B146" s="1">
        <f t="shared" si="2"/>
        <v>42</v>
      </c>
      <c r="C146" s="1">
        <f t="shared" si="3"/>
        <v>42</v>
      </c>
      <c r="D146" s="1">
        <f t="shared" si="4"/>
        <v>6</v>
      </c>
      <c r="F146" s="1">
        <v>14.0</v>
      </c>
      <c r="G146" s="1">
        <v>3.0</v>
      </c>
    </row>
    <row r="147" ht="15.75" customHeight="1">
      <c r="A147" s="1">
        <f t="shared" si="1"/>
        <v>88</v>
      </c>
      <c r="B147" s="1">
        <f t="shared" si="2"/>
        <v>42</v>
      </c>
      <c r="C147" s="1">
        <f t="shared" si="3"/>
        <v>42</v>
      </c>
      <c r="D147" s="1">
        <f t="shared" si="4"/>
        <v>4</v>
      </c>
      <c r="F147" s="1">
        <v>14.0</v>
      </c>
      <c r="G147" s="1">
        <v>2.0</v>
      </c>
    </row>
    <row r="148" ht="15.75" customHeight="1">
      <c r="A148" s="1">
        <f t="shared" si="1"/>
        <v>86</v>
      </c>
      <c r="B148" s="1">
        <f t="shared" si="2"/>
        <v>42</v>
      </c>
      <c r="C148" s="1">
        <f t="shared" si="3"/>
        <v>42</v>
      </c>
      <c r="D148" s="1">
        <f t="shared" si="4"/>
        <v>2</v>
      </c>
      <c r="F148" s="1">
        <v>14.0</v>
      </c>
      <c r="G148" s="1">
        <v>1.0</v>
      </c>
    </row>
    <row r="149" ht="15.75" customHeight="1">
      <c r="A149" s="1">
        <f t="shared" si="1"/>
        <v>128</v>
      </c>
      <c r="B149" s="1">
        <f t="shared" si="2"/>
        <v>39</v>
      </c>
      <c r="C149" s="1">
        <f t="shared" si="3"/>
        <v>39</v>
      </c>
      <c r="D149" s="1">
        <f t="shared" si="4"/>
        <v>50</v>
      </c>
      <c r="F149" s="1">
        <v>13.0</v>
      </c>
      <c r="G149" s="1">
        <v>25.0</v>
      </c>
    </row>
    <row r="150" ht="15.75" customHeight="1">
      <c r="A150" s="1">
        <f t="shared" si="1"/>
        <v>118</v>
      </c>
      <c r="B150" s="1">
        <f t="shared" si="2"/>
        <v>39</v>
      </c>
      <c r="C150" s="1">
        <f t="shared" si="3"/>
        <v>39</v>
      </c>
      <c r="D150" s="1">
        <f t="shared" si="4"/>
        <v>40</v>
      </c>
      <c r="F150" s="1">
        <v>13.0</v>
      </c>
      <c r="G150" s="1">
        <v>20.0</v>
      </c>
    </row>
    <row r="151" ht="15.75" customHeight="1">
      <c r="A151" s="1">
        <f t="shared" si="1"/>
        <v>116</v>
      </c>
      <c r="B151" s="1">
        <f t="shared" si="2"/>
        <v>39</v>
      </c>
      <c r="C151" s="1">
        <f t="shared" si="3"/>
        <v>39</v>
      </c>
      <c r="D151" s="1">
        <f t="shared" si="4"/>
        <v>38</v>
      </c>
      <c r="F151" s="1">
        <v>13.0</v>
      </c>
      <c r="G151" s="1">
        <v>19.0</v>
      </c>
    </row>
    <row r="152" ht="15.75" customHeight="1">
      <c r="A152" s="1">
        <f t="shared" si="1"/>
        <v>114</v>
      </c>
      <c r="B152" s="1">
        <f t="shared" si="2"/>
        <v>39</v>
      </c>
      <c r="C152" s="1">
        <f t="shared" si="3"/>
        <v>39</v>
      </c>
      <c r="D152" s="1">
        <f t="shared" si="4"/>
        <v>36</v>
      </c>
      <c r="F152" s="1">
        <v>13.0</v>
      </c>
      <c r="G152" s="1">
        <v>18.0</v>
      </c>
    </row>
    <row r="153" ht="15.75" customHeight="1">
      <c r="A153" s="1">
        <f t="shared" si="1"/>
        <v>112</v>
      </c>
      <c r="B153" s="1">
        <f t="shared" si="2"/>
        <v>39</v>
      </c>
      <c r="C153" s="1">
        <f t="shared" si="3"/>
        <v>39</v>
      </c>
      <c r="D153" s="1">
        <f t="shared" si="4"/>
        <v>34</v>
      </c>
      <c r="F153" s="1">
        <v>13.0</v>
      </c>
      <c r="G153" s="1">
        <v>17.0</v>
      </c>
    </row>
    <row r="154" ht="15.75" customHeight="1">
      <c r="A154" s="1">
        <f t="shared" si="1"/>
        <v>110</v>
      </c>
      <c r="B154" s="1">
        <f t="shared" si="2"/>
        <v>39</v>
      </c>
      <c r="C154" s="1">
        <f t="shared" si="3"/>
        <v>39</v>
      </c>
      <c r="D154" s="1">
        <f t="shared" si="4"/>
        <v>32</v>
      </c>
      <c r="F154" s="1">
        <v>13.0</v>
      </c>
      <c r="G154" s="1">
        <v>16.0</v>
      </c>
    </row>
    <row r="155" ht="15.75" customHeight="1">
      <c r="A155" s="1">
        <f t="shared" si="1"/>
        <v>108</v>
      </c>
      <c r="B155" s="1">
        <f t="shared" si="2"/>
        <v>39</v>
      </c>
      <c r="C155" s="1">
        <f t="shared" si="3"/>
        <v>39</v>
      </c>
      <c r="D155" s="1">
        <f t="shared" si="4"/>
        <v>30</v>
      </c>
      <c r="F155" s="1">
        <v>13.0</v>
      </c>
      <c r="G155" s="1">
        <v>15.0</v>
      </c>
    </row>
    <row r="156" ht="15.75" customHeight="1">
      <c r="A156" s="1">
        <f t="shared" si="1"/>
        <v>106</v>
      </c>
      <c r="B156" s="1">
        <f t="shared" si="2"/>
        <v>39</v>
      </c>
      <c r="C156" s="1">
        <f t="shared" si="3"/>
        <v>39</v>
      </c>
      <c r="D156" s="1">
        <f t="shared" si="4"/>
        <v>28</v>
      </c>
      <c r="F156" s="1">
        <v>13.0</v>
      </c>
      <c r="G156" s="1">
        <v>14.0</v>
      </c>
    </row>
    <row r="157" ht="15.75" customHeight="1">
      <c r="A157" s="1">
        <f t="shared" si="1"/>
        <v>104</v>
      </c>
      <c r="B157" s="1">
        <f t="shared" si="2"/>
        <v>39</v>
      </c>
      <c r="C157" s="1">
        <f t="shared" si="3"/>
        <v>39</v>
      </c>
      <c r="D157" s="1">
        <f t="shared" si="4"/>
        <v>26</v>
      </c>
      <c r="F157" s="1">
        <v>13.0</v>
      </c>
      <c r="G157" s="1">
        <v>13.0</v>
      </c>
    </row>
    <row r="158" ht="15.75" customHeight="1">
      <c r="A158" s="1">
        <f t="shared" si="1"/>
        <v>102</v>
      </c>
      <c r="B158" s="1">
        <f t="shared" si="2"/>
        <v>39</v>
      </c>
      <c r="C158" s="1">
        <f t="shared" si="3"/>
        <v>39</v>
      </c>
      <c r="D158" s="1">
        <f t="shared" si="4"/>
        <v>24</v>
      </c>
      <c r="F158" s="1">
        <v>13.0</v>
      </c>
      <c r="G158" s="1">
        <v>12.0</v>
      </c>
    </row>
    <row r="159" ht="15.75" customHeight="1">
      <c r="A159" s="1">
        <f t="shared" si="1"/>
        <v>100</v>
      </c>
      <c r="B159" s="1">
        <f t="shared" si="2"/>
        <v>39</v>
      </c>
      <c r="C159" s="1">
        <f t="shared" si="3"/>
        <v>39</v>
      </c>
      <c r="D159" s="1">
        <f t="shared" si="4"/>
        <v>22</v>
      </c>
      <c r="F159" s="1">
        <v>13.0</v>
      </c>
      <c r="G159" s="1">
        <v>11.0</v>
      </c>
    </row>
    <row r="160" ht="15.75" customHeight="1">
      <c r="A160" s="1">
        <f t="shared" si="1"/>
        <v>98</v>
      </c>
      <c r="B160" s="1">
        <f t="shared" si="2"/>
        <v>39</v>
      </c>
      <c r="C160" s="1">
        <f t="shared" si="3"/>
        <v>39</v>
      </c>
      <c r="D160" s="1">
        <f t="shared" si="4"/>
        <v>20</v>
      </c>
      <c r="F160" s="1">
        <v>13.0</v>
      </c>
      <c r="G160" s="1">
        <v>10.0</v>
      </c>
    </row>
    <row r="161" ht="15.75" customHeight="1">
      <c r="A161" s="1">
        <f t="shared" si="1"/>
        <v>96</v>
      </c>
      <c r="B161" s="1">
        <f t="shared" si="2"/>
        <v>39</v>
      </c>
      <c r="C161" s="1">
        <f t="shared" si="3"/>
        <v>39</v>
      </c>
      <c r="D161" s="1">
        <f t="shared" si="4"/>
        <v>18</v>
      </c>
      <c r="F161" s="1">
        <v>13.0</v>
      </c>
      <c r="G161" s="1">
        <v>9.0</v>
      </c>
    </row>
    <row r="162" ht="15.75" customHeight="1">
      <c r="A162" s="1">
        <f t="shared" si="1"/>
        <v>94</v>
      </c>
      <c r="B162" s="1">
        <f t="shared" si="2"/>
        <v>39</v>
      </c>
      <c r="C162" s="1">
        <f t="shared" si="3"/>
        <v>39</v>
      </c>
      <c r="D162" s="1">
        <f t="shared" si="4"/>
        <v>16</v>
      </c>
      <c r="F162" s="1">
        <v>13.0</v>
      </c>
      <c r="G162" s="1">
        <v>8.0</v>
      </c>
    </row>
    <row r="163" ht="15.75" customHeight="1">
      <c r="A163" s="1">
        <f t="shared" si="1"/>
        <v>92</v>
      </c>
      <c r="B163" s="1">
        <f t="shared" si="2"/>
        <v>39</v>
      </c>
      <c r="C163" s="1">
        <f t="shared" si="3"/>
        <v>39</v>
      </c>
      <c r="D163" s="1">
        <f t="shared" si="4"/>
        <v>14</v>
      </c>
      <c r="F163" s="1">
        <v>13.0</v>
      </c>
      <c r="G163" s="1">
        <v>7.0</v>
      </c>
    </row>
    <row r="164" ht="15.75" customHeight="1">
      <c r="A164" s="1">
        <f t="shared" si="1"/>
        <v>90</v>
      </c>
      <c r="B164" s="1">
        <f t="shared" si="2"/>
        <v>39</v>
      </c>
      <c r="C164" s="1">
        <f t="shared" si="3"/>
        <v>39</v>
      </c>
      <c r="D164" s="1">
        <f t="shared" si="4"/>
        <v>12</v>
      </c>
      <c r="F164" s="1">
        <v>13.0</v>
      </c>
      <c r="G164" s="1">
        <v>6.0</v>
      </c>
    </row>
    <row r="165" ht="15.75" customHeight="1">
      <c r="A165" s="1">
        <f t="shared" si="1"/>
        <v>88</v>
      </c>
      <c r="B165" s="1">
        <f t="shared" si="2"/>
        <v>39</v>
      </c>
      <c r="C165" s="1">
        <f t="shared" si="3"/>
        <v>39</v>
      </c>
      <c r="D165" s="1">
        <f t="shared" si="4"/>
        <v>10</v>
      </c>
      <c r="F165" s="1">
        <v>13.0</v>
      </c>
      <c r="G165" s="1">
        <v>5.0</v>
      </c>
    </row>
    <row r="166" ht="15.75" customHeight="1">
      <c r="A166" s="1">
        <f t="shared" si="1"/>
        <v>86</v>
      </c>
      <c r="B166" s="1">
        <f t="shared" si="2"/>
        <v>39</v>
      </c>
      <c r="C166" s="1">
        <f t="shared" si="3"/>
        <v>39</v>
      </c>
      <c r="D166" s="1">
        <f t="shared" si="4"/>
        <v>8</v>
      </c>
      <c r="F166" s="1">
        <v>13.0</v>
      </c>
      <c r="G166" s="1">
        <v>4.0</v>
      </c>
    </row>
    <row r="167" ht="15.75" customHeight="1">
      <c r="A167" s="1">
        <f t="shared" si="1"/>
        <v>84</v>
      </c>
      <c r="B167" s="1">
        <f t="shared" si="2"/>
        <v>39</v>
      </c>
      <c r="C167" s="1">
        <f t="shared" si="3"/>
        <v>39</v>
      </c>
      <c r="D167" s="1">
        <f t="shared" si="4"/>
        <v>6</v>
      </c>
      <c r="F167" s="1">
        <v>13.0</v>
      </c>
      <c r="G167" s="1">
        <v>3.0</v>
      </c>
    </row>
    <row r="168" ht="15.75" customHeight="1">
      <c r="A168" s="1">
        <f t="shared" si="1"/>
        <v>82</v>
      </c>
      <c r="B168" s="1">
        <f t="shared" si="2"/>
        <v>39</v>
      </c>
      <c r="C168" s="1">
        <f t="shared" si="3"/>
        <v>39</v>
      </c>
      <c r="D168" s="1">
        <f t="shared" si="4"/>
        <v>4</v>
      </c>
      <c r="F168" s="1">
        <v>13.0</v>
      </c>
      <c r="G168" s="1">
        <v>2.0</v>
      </c>
    </row>
    <row r="169" ht="15.75" customHeight="1">
      <c r="A169" s="1">
        <f t="shared" si="1"/>
        <v>80</v>
      </c>
      <c r="B169" s="1">
        <f t="shared" si="2"/>
        <v>39</v>
      </c>
      <c r="C169" s="1">
        <f t="shared" si="3"/>
        <v>39</v>
      </c>
      <c r="D169" s="1">
        <f t="shared" si="4"/>
        <v>2</v>
      </c>
      <c r="F169" s="1">
        <v>13.0</v>
      </c>
      <c r="G169" s="1">
        <v>1.0</v>
      </c>
    </row>
    <row r="170" ht="15.75" customHeight="1">
      <c r="A170" s="1">
        <f t="shared" si="1"/>
        <v>122</v>
      </c>
      <c r="B170" s="1">
        <f t="shared" si="2"/>
        <v>36</v>
      </c>
      <c r="C170" s="1">
        <f t="shared" si="3"/>
        <v>36</v>
      </c>
      <c r="D170" s="1">
        <f t="shared" si="4"/>
        <v>50</v>
      </c>
      <c r="F170" s="1">
        <v>12.0</v>
      </c>
      <c r="G170" s="1">
        <v>25.0</v>
      </c>
    </row>
    <row r="171" ht="15.75" customHeight="1">
      <c r="A171" s="1">
        <f t="shared" si="1"/>
        <v>112</v>
      </c>
      <c r="B171" s="1">
        <f t="shared" si="2"/>
        <v>36</v>
      </c>
      <c r="C171" s="1">
        <f t="shared" si="3"/>
        <v>36</v>
      </c>
      <c r="D171" s="1">
        <f t="shared" si="4"/>
        <v>40</v>
      </c>
      <c r="F171" s="1">
        <v>12.0</v>
      </c>
      <c r="G171" s="1">
        <v>20.0</v>
      </c>
    </row>
    <row r="172" ht="15.75" customHeight="1">
      <c r="A172" s="1">
        <f t="shared" si="1"/>
        <v>110</v>
      </c>
      <c r="B172" s="1">
        <f t="shared" si="2"/>
        <v>36</v>
      </c>
      <c r="C172" s="1">
        <f t="shared" si="3"/>
        <v>36</v>
      </c>
      <c r="D172" s="1">
        <f t="shared" si="4"/>
        <v>38</v>
      </c>
      <c r="F172" s="1">
        <v>12.0</v>
      </c>
      <c r="G172" s="1">
        <v>19.0</v>
      </c>
    </row>
    <row r="173" ht="15.75" customHeight="1">
      <c r="A173" s="1">
        <f t="shared" si="1"/>
        <v>108</v>
      </c>
      <c r="B173" s="1">
        <f t="shared" si="2"/>
        <v>36</v>
      </c>
      <c r="C173" s="1">
        <f t="shared" si="3"/>
        <v>36</v>
      </c>
      <c r="D173" s="1">
        <f t="shared" si="4"/>
        <v>36</v>
      </c>
      <c r="F173" s="1">
        <v>12.0</v>
      </c>
      <c r="G173" s="1">
        <v>18.0</v>
      </c>
    </row>
    <row r="174" ht="15.75" customHeight="1">
      <c r="A174" s="1">
        <f t="shared" si="1"/>
        <v>106</v>
      </c>
      <c r="B174" s="1">
        <f t="shared" si="2"/>
        <v>36</v>
      </c>
      <c r="C174" s="1">
        <f t="shared" si="3"/>
        <v>36</v>
      </c>
      <c r="D174" s="1">
        <f t="shared" si="4"/>
        <v>34</v>
      </c>
      <c r="F174" s="1">
        <v>12.0</v>
      </c>
      <c r="G174" s="1">
        <v>17.0</v>
      </c>
    </row>
    <row r="175" ht="15.75" customHeight="1">
      <c r="A175" s="1">
        <f t="shared" si="1"/>
        <v>104</v>
      </c>
      <c r="B175" s="1">
        <f t="shared" si="2"/>
        <v>36</v>
      </c>
      <c r="C175" s="1">
        <f t="shared" si="3"/>
        <v>36</v>
      </c>
      <c r="D175" s="1">
        <f t="shared" si="4"/>
        <v>32</v>
      </c>
      <c r="F175" s="1">
        <v>12.0</v>
      </c>
      <c r="G175" s="1">
        <v>16.0</v>
      </c>
    </row>
    <row r="176" ht="15.75" customHeight="1">
      <c r="A176" s="1">
        <f t="shared" si="1"/>
        <v>102</v>
      </c>
      <c r="B176" s="1">
        <f t="shared" si="2"/>
        <v>36</v>
      </c>
      <c r="C176" s="1">
        <f t="shared" si="3"/>
        <v>36</v>
      </c>
      <c r="D176" s="1">
        <f t="shared" si="4"/>
        <v>30</v>
      </c>
      <c r="F176" s="1">
        <v>12.0</v>
      </c>
      <c r="G176" s="1">
        <v>15.0</v>
      </c>
    </row>
    <row r="177" ht="15.75" customHeight="1">
      <c r="A177" s="1">
        <f t="shared" si="1"/>
        <v>100</v>
      </c>
      <c r="B177" s="1">
        <f t="shared" si="2"/>
        <v>36</v>
      </c>
      <c r="C177" s="1">
        <f t="shared" si="3"/>
        <v>36</v>
      </c>
      <c r="D177" s="1">
        <f t="shared" si="4"/>
        <v>28</v>
      </c>
      <c r="F177" s="1">
        <v>12.0</v>
      </c>
      <c r="G177" s="1">
        <v>14.0</v>
      </c>
    </row>
    <row r="178" ht="15.75" customHeight="1">
      <c r="A178" s="1">
        <f t="shared" si="1"/>
        <v>98</v>
      </c>
      <c r="B178" s="1">
        <f t="shared" si="2"/>
        <v>36</v>
      </c>
      <c r="C178" s="1">
        <f t="shared" si="3"/>
        <v>36</v>
      </c>
      <c r="D178" s="1">
        <f t="shared" si="4"/>
        <v>26</v>
      </c>
      <c r="F178" s="1">
        <v>12.0</v>
      </c>
      <c r="G178" s="1">
        <v>13.0</v>
      </c>
    </row>
    <row r="179" ht="15.75" customHeight="1">
      <c r="A179" s="1">
        <f t="shared" si="1"/>
        <v>96</v>
      </c>
      <c r="B179" s="1">
        <f t="shared" si="2"/>
        <v>36</v>
      </c>
      <c r="C179" s="1">
        <f t="shared" si="3"/>
        <v>36</v>
      </c>
      <c r="D179" s="1">
        <f t="shared" si="4"/>
        <v>24</v>
      </c>
      <c r="F179" s="1">
        <v>12.0</v>
      </c>
      <c r="G179" s="1">
        <v>12.0</v>
      </c>
    </row>
    <row r="180" ht="15.75" customHeight="1">
      <c r="A180" s="1">
        <f t="shared" si="1"/>
        <v>94</v>
      </c>
      <c r="B180" s="1">
        <f t="shared" si="2"/>
        <v>36</v>
      </c>
      <c r="C180" s="1">
        <f t="shared" si="3"/>
        <v>36</v>
      </c>
      <c r="D180" s="1">
        <f t="shared" si="4"/>
        <v>22</v>
      </c>
      <c r="F180" s="1">
        <v>12.0</v>
      </c>
      <c r="G180" s="1">
        <v>11.0</v>
      </c>
    </row>
    <row r="181" ht="15.75" customHeight="1">
      <c r="A181" s="1">
        <f t="shared" si="1"/>
        <v>92</v>
      </c>
      <c r="B181" s="1">
        <f t="shared" si="2"/>
        <v>36</v>
      </c>
      <c r="C181" s="1">
        <f t="shared" si="3"/>
        <v>36</v>
      </c>
      <c r="D181" s="1">
        <f t="shared" si="4"/>
        <v>20</v>
      </c>
      <c r="F181" s="1">
        <v>12.0</v>
      </c>
      <c r="G181" s="1">
        <v>10.0</v>
      </c>
    </row>
    <row r="182" ht="15.75" customHeight="1">
      <c r="A182" s="1">
        <f t="shared" si="1"/>
        <v>90</v>
      </c>
      <c r="B182" s="1">
        <f t="shared" si="2"/>
        <v>36</v>
      </c>
      <c r="C182" s="1">
        <f t="shared" si="3"/>
        <v>36</v>
      </c>
      <c r="D182" s="1">
        <f t="shared" si="4"/>
        <v>18</v>
      </c>
      <c r="F182" s="1">
        <v>12.0</v>
      </c>
      <c r="G182" s="1">
        <v>9.0</v>
      </c>
    </row>
    <row r="183" ht="15.75" customHeight="1">
      <c r="A183" s="1">
        <f t="shared" si="1"/>
        <v>88</v>
      </c>
      <c r="B183" s="1">
        <f t="shared" si="2"/>
        <v>36</v>
      </c>
      <c r="C183" s="1">
        <f t="shared" si="3"/>
        <v>36</v>
      </c>
      <c r="D183" s="1">
        <f t="shared" si="4"/>
        <v>16</v>
      </c>
      <c r="F183" s="1">
        <v>12.0</v>
      </c>
      <c r="G183" s="1">
        <v>8.0</v>
      </c>
    </row>
    <row r="184" ht="15.75" customHeight="1">
      <c r="A184" s="1">
        <f t="shared" si="1"/>
        <v>86</v>
      </c>
      <c r="B184" s="1">
        <f t="shared" si="2"/>
        <v>36</v>
      </c>
      <c r="C184" s="1">
        <f t="shared" si="3"/>
        <v>36</v>
      </c>
      <c r="D184" s="1">
        <f t="shared" si="4"/>
        <v>14</v>
      </c>
      <c r="F184" s="1">
        <v>12.0</v>
      </c>
      <c r="G184" s="1">
        <v>7.0</v>
      </c>
    </row>
    <row r="185" ht="15.75" customHeight="1">
      <c r="A185" s="1">
        <f t="shared" si="1"/>
        <v>84</v>
      </c>
      <c r="B185" s="1">
        <f t="shared" si="2"/>
        <v>36</v>
      </c>
      <c r="C185" s="1">
        <f t="shared" si="3"/>
        <v>36</v>
      </c>
      <c r="D185" s="1">
        <f t="shared" si="4"/>
        <v>12</v>
      </c>
      <c r="F185" s="1">
        <v>12.0</v>
      </c>
      <c r="G185" s="1">
        <v>6.0</v>
      </c>
    </row>
    <row r="186" ht="15.75" customHeight="1">
      <c r="A186" s="1">
        <f t="shared" si="1"/>
        <v>82</v>
      </c>
      <c r="B186" s="1">
        <f t="shared" si="2"/>
        <v>36</v>
      </c>
      <c r="C186" s="1">
        <f t="shared" si="3"/>
        <v>36</v>
      </c>
      <c r="D186" s="1">
        <f t="shared" si="4"/>
        <v>10</v>
      </c>
      <c r="F186" s="1">
        <v>12.0</v>
      </c>
      <c r="G186" s="1">
        <v>5.0</v>
      </c>
    </row>
    <row r="187" ht="15.75" customHeight="1">
      <c r="A187" s="1">
        <f t="shared" si="1"/>
        <v>80</v>
      </c>
      <c r="B187" s="1">
        <f t="shared" si="2"/>
        <v>36</v>
      </c>
      <c r="C187" s="1">
        <f t="shared" si="3"/>
        <v>36</v>
      </c>
      <c r="D187" s="1">
        <f t="shared" si="4"/>
        <v>8</v>
      </c>
      <c r="F187" s="1">
        <v>12.0</v>
      </c>
      <c r="G187" s="1">
        <v>4.0</v>
      </c>
    </row>
    <row r="188" ht="15.75" customHeight="1">
      <c r="A188" s="1">
        <f t="shared" si="1"/>
        <v>78</v>
      </c>
      <c r="B188" s="1">
        <f t="shared" si="2"/>
        <v>36</v>
      </c>
      <c r="C188" s="1">
        <f t="shared" si="3"/>
        <v>36</v>
      </c>
      <c r="D188" s="1">
        <f t="shared" si="4"/>
        <v>6</v>
      </c>
      <c r="F188" s="1">
        <v>12.0</v>
      </c>
      <c r="G188" s="1">
        <v>3.0</v>
      </c>
    </row>
    <row r="189" ht="15.75" customHeight="1">
      <c r="A189" s="1">
        <f t="shared" si="1"/>
        <v>76</v>
      </c>
      <c r="B189" s="1">
        <f t="shared" si="2"/>
        <v>36</v>
      </c>
      <c r="C189" s="1">
        <f t="shared" si="3"/>
        <v>36</v>
      </c>
      <c r="D189" s="1">
        <f t="shared" si="4"/>
        <v>4</v>
      </c>
      <c r="F189" s="1">
        <v>12.0</v>
      </c>
      <c r="G189" s="1">
        <v>2.0</v>
      </c>
    </row>
    <row r="190" ht="15.75" customHeight="1">
      <c r="A190" s="1">
        <f t="shared" si="1"/>
        <v>74</v>
      </c>
      <c r="B190" s="1">
        <f t="shared" si="2"/>
        <v>36</v>
      </c>
      <c r="C190" s="1">
        <f t="shared" si="3"/>
        <v>36</v>
      </c>
      <c r="D190" s="1">
        <f t="shared" si="4"/>
        <v>2</v>
      </c>
      <c r="F190" s="1">
        <v>12.0</v>
      </c>
      <c r="G190" s="1">
        <v>1.0</v>
      </c>
    </row>
    <row r="191" ht="15.75" customHeight="1">
      <c r="A191" s="1">
        <f t="shared" si="1"/>
        <v>116</v>
      </c>
      <c r="B191" s="1">
        <f t="shared" si="2"/>
        <v>33</v>
      </c>
      <c r="C191" s="1">
        <f t="shared" si="3"/>
        <v>33</v>
      </c>
      <c r="D191" s="1">
        <f t="shared" si="4"/>
        <v>50</v>
      </c>
      <c r="F191" s="1">
        <v>11.0</v>
      </c>
      <c r="G191" s="1">
        <v>25.0</v>
      </c>
    </row>
    <row r="192" ht="15.75" customHeight="1">
      <c r="A192" s="1">
        <f t="shared" si="1"/>
        <v>106</v>
      </c>
      <c r="B192" s="1">
        <f t="shared" si="2"/>
        <v>33</v>
      </c>
      <c r="C192" s="1">
        <f t="shared" si="3"/>
        <v>33</v>
      </c>
      <c r="D192" s="1">
        <f t="shared" si="4"/>
        <v>40</v>
      </c>
      <c r="F192" s="1">
        <v>11.0</v>
      </c>
      <c r="G192" s="1">
        <v>20.0</v>
      </c>
    </row>
    <row r="193" ht="15.75" customHeight="1">
      <c r="A193" s="1">
        <f t="shared" si="1"/>
        <v>104</v>
      </c>
      <c r="B193" s="1">
        <f t="shared" si="2"/>
        <v>33</v>
      </c>
      <c r="C193" s="1">
        <f t="shared" si="3"/>
        <v>33</v>
      </c>
      <c r="D193" s="1">
        <f t="shared" si="4"/>
        <v>38</v>
      </c>
      <c r="F193" s="1">
        <v>11.0</v>
      </c>
      <c r="G193" s="1">
        <v>19.0</v>
      </c>
    </row>
    <row r="194" ht="15.75" customHeight="1">
      <c r="A194" s="1">
        <f t="shared" si="1"/>
        <v>102</v>
      </c>
      <c r="B194" s="1">
        <f t="shared" si="2"/>
        <v>33</v>
      </c>
      <c r="C194" s="1">
        <f t="shared" si="3"/>
        <v>33</v>
      </c>
      <c r="D194" s="1">
        <f t="shared" si="4"/>
        <v>36</v>
      </c>
      <c r="F194" s="1">
        <v>11.0</v>
      </c>
      <c r="G194" s="1">
        <v>18.0</v>
      </c>
    </row>
    <row r="195" ht="15.75" customHeight="1">
      <c r="A195" s="1">
        <f t="shared" si="1"/>
        <v>100</v>
      </c>
      <c r="B195" s="1">
        <f t="shared" si="2"/>
        <v>33</v>
      </c>
      <c r="C195" s="1">
        <f t="shared" si="3"/>
        <v>33</v>
      </c>
      <c r="D195" s="1">
        <f t="shared" si="4"/>
        <v>34</v>
      </c>
      <c r="F195" s="1">
        <v>11.0</v>
      </c>
      <c r="G195" s="1">
        <v>17.0</v>
      </c>
    </row>
    <row r="196" ht="15.75" customHeight="1">
      <c r="A196" s="1">
        <f t="shared" si="1"/>
        <v>98</v>
      </c>
      <c r="B196" s="1">
        <f t="shared" si="2"/>
        <v>33</v>
      </c>
      <c r="C196" s="1">
        <f t="shared" si="3"/>
        <v>33</v>
      </c>
      <c r="D196" s="1">
        <f t="shared" si="4"/>
        <v>32</v>
      </c>
      <c r="F196" s="1">
        <v>11.0</v>
      </c>
      <c r="G196" s="1">
        <v>16.0</v>
      </c>
    </row>
    <row r="197" ht="15.75" customHeight="1">
      <c r="A197" s="1">
        <f t="shared" si="1"/>
        <v>96</v>
      </c>
      <c r="B197" s="1">
        <f t="shared" si="2"/>
        <v>33</v>
      </c>
      <c r="C197" s="1">
        <f t="shared" si="3"/>
        <v>33</v>
      </c>
      <c r="D197" s="1">
        <f t="shared" si="4"/>
        <v>30</v>
      </c>
      <c r="F197" s="1">
        <v>11.0</v>
      </c>
      <c r="G197" s="1">
        <v>15.0</v>
      </c>
    </row>
    <row r="198" ht="15.75" customHeight="1">
      <c r="A198" s="1">
        <f t="shared" si="1"/>
        <v>94</v>
      </c>
      <c r="B198" s="1">
        <f t="shared" si="2"/>
        <v>33</v>
      </c>
      <c r="C198" s="1">
        <f t="shared" si="3"/>
        <v>33</v>
      </c>
      <c r="D198" s="1">
        <f t="shared" si="4"/>
        <v>28</v>
      </c>
      <c r="F198" s="1">
        <v>11.0</v>
      </c>
      <c r="G198" s="1">
        <v>14.0</v>
      </c>
    </row>
    <row r="199" ht="15.75" customHeight="1">
      <c r="A199" s="1">
        <f t="shared" si="1"/>
        <v>92</v>
      </c>
      <c r="B199" s="1">
        <f t="shared" si="2"/>
        <v>33</v>
      </c>
      <c r="C199" s="1">
        <f t="shared" si="3"/>
        <v>33</v>
      </c>
      <c r="D199" s="1">
        <f t="shared" si="4"/>
        <v>26</v>
      </c>
      <c r="F199" s="1">
        <v>11.0</v>
      </c>
      <c r="G199" s="1">
        <v>13.0</v>
      </c>
    </row>
    <row r="200" ht="15.75" customHeight="1">
      <c r="A200" s="1">
        <f t="shared" si="1"/>
        <v>90</v>
      </c>
      <c r="B200" s="1">
        <f t="shared" si="2"/>
        <v>33</v>
      </c>
      <c r="C200" s="1">
        <f t="shared" si="3"/>
        <v>33</v>
      </c>
      <c r="D200" s="1">
        <f t="shared" si="4"/>
        <v>24</v>
      </c>
      <c r="F200" s="1">
        <v>11.0</v>
      </c>
      <c r="G200" s="1">
        <v>12.0</v>
      </c>
    </row>
    <row r="201" ht="15.75" customHeight="1">
      <c r="A201" s="1">
        <f t="shared" si="1"/>
        <v>88</v>
      </c>
      <c r="B201" s="1">
        <f t="shared" si="2"/>
        <v>33</v>
      </c>
      <c r="C201" s="1">
        <f t="shared" si="3"/>
        <v>33</v>
      </c>
      <c r="D201" s="1">
        <f t="shared" si="4"/>
        <v>22</v>
      </c>
      <c r="F201" s="1">
        <v>11.0</v>
      </c>
      <c r="G201" s="1">
        <v>11.0</v>
      </c>
    </row>
    <row r="202" ht="15.75" customHeight="1">
      <c r="A202" s="1">
        <f t="shared" si="1"/>
        <v>86</v>
      </c>
      <c r="B202" s="1">
        <f t="shared" si="2"/>
        <v>33</v>
      </c>
      <c r="C202" s="1">
        <f t="shared" si="3"/>
        <v>33</v>
      </c>
      <c r="D202" s="1">
        <f t="shared" si="4"/>
        <v>20</v>
      </c>
      <c r="F202" s="1">
        <v>11.0</v>
      </c>
      <c r="G202" s="1">
        <v>10.0</v>
      </c>
    </row>
    <row r="203" ht="15.75" customHeight="1">
      <c r="A203" s="1">
        <f t="shared" si="1"/>
        <v>84</v>
      </c>
      <c r="B203" s="1">
        <f t="shared" si="2"/>
        <v>33</v>
      </c>
      <c r="C203" s="1">
        <f t="shared" si="3"/>
        <v>33</v>
      </c>
      <c r="D203" s="1">
        <f t="shared" si="4"/>
        <v>18</v>
      </c>
      <c r="F203" s="1">
        <v>11.0</v>
      </c>
      <c r="G203" s="1">
        <v>9.0</v>
      </c>
    </row>
    <row r="204" ht="15.75" customHeight="1">
      <c r="A204" s="1">
        <f t="shared" si="1"/>
        <v>82</v>
      </c>
      <c r="B204" s="1">
        <f t="shared" si="2"/>
        <v>33</v>
      </c>
      <c r="C204" s="1">
        <f t="shared" si="3"/>
        <v>33</v>
      </c>
      <c r="D204" s="1">
        <f t="shared" si="4"/>
        <v>16</v>
      </c>
      <c r="F204" s="1">
        <v>11.0</v>
      </c>
      <c r="G204" s="1">
        <v>8.0</v>
      </c>
    </row>
    <row r="205" ht="15.75" customHeight="1">
      <c r="A205" s="1">
        <f t="shared" si="1"/>
        <v>80</v>
      </c>
      <c r="B205" s="1">
        <f t="shared" si="2"/>
        <v>33</v>
      </c>
      <c r="C205" s="1">
        <f t="shared" si="3"/>
        <v>33</v>
      </c>
      <c r="D205" s="1">
        <f t="shared" si="4"/>
        <v>14</v>
      </c>
      <c r="F205" s="1">
        <v>11.0</v>
      </c>
      <c r="G205" s="1">
        <v>7.0</v>
      </c>
    </row>
    <row r="206" ht="15.75" customHeight="1">
      <c r="A206" s="1">
        <f t="shared" si="1"/>
        <v>78</v>
      </c>
      <c r="B206" s="1">
        <f t="shared" si="2"/>
        <v>33</v>
      </c>
      <c r="C206" s="1">
        <f t="shared" si="3"/>
        <v>33</v>
      </c>
      <c r="D206" s="1">
        <f t="shared" si="4"/>
        <v>12</v>
      </c>
      <c r="F206" s="1">
        <v>11.0</v>
      </c>
      <c r="G206" s="1">
        <v>6.0</v>
      </c>
    </row>
    <row r="207" ht="15.75" customHeight="1">
      <c r="A207" s="1">
        <f t="shared" si="1"/>
        <v>76</v>
      </c>
      <c r="B207" s="1">
        <f t="shared" si="2"/>
        <v>33</v>
      </c>
      <c r="C207" s="1">
        <f t="shared" si="3"/>
        <v>33</v>
      </c>
      <c r="D207" s="1">
        <f t="shared" si="4"/>
        <v>10</v>
      </c>
      <c r="F207" s="1">
        <v>11.0</v>
      </c>
      <c r="G207" s="1">
        <v>5.0</v>
      </c>
    </row>
    <row r="208" ht="15.75" customHeight="1">
      <c r="A208" s="1">
        <f t="shared" si="1"/>
        <v>74</v>
      </c>
      <c r="B208" s="1">
        <f t="shared" si="2"/>
        <v>33</v>
      </c>
      <c r="C208" s="1">
        <f t="shared" si="3"/>
        <v>33</v>
      </c>
      <c r="D208" s="1">
        <f t="shared" si="4"/>
        <v>8</v>
      </c>
      <c r="F208" s="1">
        <v>11.0</v>
      </c>
      <c r="G208" s="1">
        <v>4.0</v>
      </c>
    </row>
    <row r="209" ht="15.75" customHeight="1">
      <c r="A209" s="1">
        <f t="shared" si="1"/>
        <v>72</v>
      </c>
      <c r="B209" s="1">
        <f t="shared" si="2"/>
        <v>33</v>
      </c>
      <c r="C209" s="1">
        <f t="shared" si="3"/>
        <v>33</v>
      </c>
      <c r="D209" s="1">
        <f t="shared" si="4"/>
        <v>6</v>
      </c>
      <c r="F209" s="1">
        <v>11.0</v>
      </c>
      <c r="G209" s="1">
        <v>3.0</v>
      </c>
    </row>
    <row r="210" ht="15.75" customHeight="1">
      <c r="A210" s="1">
        <f t="shared" si="1"/>
        <v>70</v>
      </c>
      <c r="B210" s="1">
        <f t="shared" si="2"/>
        <v>33</v>
      </c>
      <c r="C210" s="1">
        <f t="shared" si="3"/>
        <v>33</v>
      </c>
      <c r="D210" s="1">
        <f t="shared" si="4"/>
        <v>4</v>
      </c>
      <c r="F210" s="1">
        <v>11.0</v>
      </c>
      <c r="G210" s="1">
        <v>2.0</v>
      </c>
    </row>
    <row r="211" ht="15.75" customHeight="1">
      <c r="A211" s="1">
        <f t="shared" si="1"/>
        <v>68</v>
      </c>
      <c r="B211" s="1">
        <f t="shared" si="2"/>
        <v>33</v>
      </c>
      <c r="C211" s="1">
        <f t="shared" si="3"/>
        <v>33</v>
      </c>
      <c r="D211" s="1">
        <f t="shared" si="4"/>
        <v>2</v>
      </c>
      <c r="F211" s="1">
        <v>11.0</v>
      </c>
      <c r="G211" s="1">
        <v>1.0</v>
      </c>
    </row>
    <row r="212" ht="15.75" customHeight="1">
      <c r="A212" s="1">
        <f t="shared" si="1"/>
        <v>110</v>
      </c>
      <c r="B212" s="1">
        <f t="shared" si="2"/>
        <v>30</v>
      </c>
      <c r="C212" s="1">
        <f t="shared" si="3"/>
        <v>30</v>
      </c>
      <c r="D212" s="1">
        <f t="shared" si="4"/>
        <v>50</v>
      </c>
      <c r="F212" s="1">
        <v>10.0</v>
      </c>
      <c r="G212" s="1">
        <v>25.0</v>
      </c>
    </row>
    <row r="213" ht="15.75" customHeight="1">
      <c r="A213" s="1">
        <f t="shared" si="1"/>
        <v>100</v>
      </c>
      <c r="B213" s="1">
        <f t="shared" si="2"/>
        <v>30</v>
      </c>
      <c r="C213" s="1">
        <f t="shared" si="3"/>
        <v>30</v>
      </c>
      <c r="D213" s="1">
        <f t="shared" si="4"/>
        <v>40</v>
      </c>
      <c r="F213" s="1">
        <v>10.0</v>
      </c>
      <c r="G213" s="1">
        <v>20.0</v>
      </c>
    </row>
    <row r="214" ht="15.75" customHeight="1">
      <c r="A214" s="1">
        <f t="shared" si="1"/>
        <v>98</v>
      </c>
      <c r="B214" s="1">
        <f t="shared" si="2"/>
        <v>30</v>
      </c>
      <c r="C214" s="1">
        <f t="shared" si="3"/>
        <v>30</v>
      </c>
      <c r="D214" s="1">
        <f t="shared" si="4"/>
        <v>38</v>
      </c>
      <c r="F214" s="1">
        <v>10.0</v>
      </c>
      <c r="G214" s="1">
        <v>19.0</v>
      </c>
    </row>
    <row r="215" ht="15.75" customHeight="1">
      <c r="A215" s="1">
        <f t="shared" si="1"/>
        <v>96</v>
      </c>
      <c r="B215" s="1">
        <f t="shared" si="2"/>
        <v>30</v>
      </c>
      <c r="C215" s="1">
        <f t="shared" si="3"/>
        <v>30</v>
      </c>
      <c r="D215" s="1">
        <f t="shared" si="4"/>
        <v>36</v>
      </c>
      <c r="F215" s="1">
        <v>10.0</v>
      </c>
      <c r="G215" s="1">
        <v>18.0</v>
      </c>
    </row>
    <row r="216" ht="15.75" customHeight="1">
      <c r="A216" s="1">
        <f t="shared" si="1"/>
        <v>94</v>
      </c>
      <c r="B216" s="1">
        <f t="shared" si="2"/>
        <v>30</v>
      </c>
      <c r="C216" s="1">
        <f t="shared" si="3"/>
        <v>30</v>
      </c>
      <c r="D216" s="1">
        <f t="shared" si="4"/>
        <v>34</v>
      </c>
      <c r="F216" s="1">
        <v>10.0</v>
      </c>
      <c r="G216" s="1">
        <v>17.0</v>
      </c>
    </row>
    <row r="217" ht="15.75" customHeight="1">
      <c r="A217" s="1">
        <f t="shared" si="1"/>
        <v>92</v>
      </c>
      <c r="B217" s="1">
        <f t="shared" si="2"/>
        <v>30</v>
      </c>
      <c r="C217" s="1">
        <f t="shared" si="3"/>
        <v>30</v>
      </c>
      <c r="D217" s="1">
        <f t="shared" si="4"/>
        <v>32</v>
      </c>
      <c r="F217" s="1">
        <v>10.0</v>
      </c>
      <c r="G217" s="1">
        <v>16.0</v>
      </c>
    </row>
    <row r="218" ht="15.75" customHeight="1">
      <c r="A218" s="1">
        <f t="shared" si="1"/>
        <v>90</v>
      </c>
      <c r="B218" s="1">
        <f t="shared" si="2"/>
        <v>30</v>
      </c>
      <c r="C218" s="1">
        <f t="shared" si="3"/>
        <v>30</v>
      </c>
      <c r="D218" s="1">
        <f t="shared" si="4"/>
        <v>30</v>
      </c>
      <c r="F218" s="1">
        <v>10.0</v>
      </c>
      <c r="G218" s="1">
        <v>15.0</v>
      </c>
    </row>
    <row r="219" ht="15.75" customHeight="1">
      <c r="A219" s="1">
        <f t="shared" si="1"/>
        <v>88</v>
      </c>
      <c r="B219" s="1">
        <f t="shared" si="2"/>
        <v>30</v>
      </c>
      <c r="C219" s="1">
        <f t="shared" si="3"/>
        <v>30</v>
      </c>
      <c r="D219" s="1">
        <f t="shared" si="4"/>
        <v>28</v>
      </c>
      <c r="F219" s="1">
        <v>10.0</v>
      </c>
      <c r="G219" s="1">
        <v>14.0</v>
      </c>
    </row>
    <row r="220" ht="15.75" customHeight="1">
      <c r="A220" s="1">
        <f t="shared" si="1"/>
        <v>86</v>
      </c>
      <c r="B220" s="1">
        <f t="shared" si="2"/>
        <v>30</v>
      </c>
      <c r="C220" s="1">
        <f t="shared" si="3"/>
        <v>30</v>
      </c>
      <c r="D220" s="1">
        <f t="shared" si="4"/>
        <v>26</v>
      </c>
      <c r="F220" s="1">
        <v>10.0</v>
      </c>
      <c r="G220" s="1">
        <v>13.0</v>
      </c>
    </row>
    <row r="221" ht="15.75" customHeight="1">
      <c r="A221" s="1">
        <f t="shared" si="1"/>
        <v>84</v>
      </c>
      <c r="B221" s="1">
        <f t="shared" si="2"/>
        <v>30</v>
      </c>
      <c r="C221" s="1">
        <f t="shared" si="3"/>
        <v>30</v>
      </c>
      <c r="D221" s="1">
        <f t="shared" si="4"/>
        <v>24</v>
      </c>
      <c r="F221" s="1">
        <v>10.0</v>
      </c>
      <c r="G221" s="1">
        <v>12.0</v>
      </c>
    </row>
    <row r="222" ht="15.75" customHeight="1">
      <c r="A222" s="1">
        <f t="shared" si="1"/>
        <v>82</v>
      </c>
      <c r="B222" s="1">
        <f t="shared" si="2"/>
        <v>30</v>
      </c>
      <c r="C222" s="1">
        <f t="shared" si="3"/>
        <v>30</v>
      </c>
      <c r="D222" s="1">
        <f t="shared" si="4"/>
        <v>22</v>
      </c>
      <c r="F222" s="1">
        <v>10.0</v>
      </c>
      <c r="G222" s="1">
        <v>11.0</v>
      </c>
    </row>
    <row r="223" ht="15.75" customHeight="1">
      <c r="A223" s="1">
        <f t="shared" si="1"/>
        <v>80</v>
      </c>
      <c r="B223" s="1">
        <f t="shared" si="2"/>
        <v>30</v>
      </c>
      <c r="C223" s="1">
        <f t="shared" si="3"/>
        <v>30</v>
      </c>
      <c r="D223" s="1">
        <f t="shared" si="4"/>
        <v>20</v>
      </c>
      <c r="F223" s="1">
        <v>10.0</v>
      </c>
      <c r="G223" s="1">
        <v>10.0</v>
      </c>
    </row>
    <row r="224" ht="15.75" customHeight="1">
      <c r="A224" s="1">
        <f t="shared" si="1"/>
        <v>78</v>
      </c>
      <c r="B224" s="1">
        <f t="shared" si="2"/>
        <v>30</v>
      </c>
      <c r="C224" s="1">
        <f t="shared" si="3"/>
        <v>30</v>
      </c>
      <c r="D224" s="1">
        <f t="shared" si="4"/>
        <v>18</v>
      </c>
      <c r="F224" s="1">
        <v>10.0</v>
      </c>
      <c r="G224" s="1">
        <v>9.0</v>
      </c>
    </row>
    <row r="225" ht="15.75" customHeight="1">
      <c r="A225" s="1">
        <f t="shared" si="1"/>
        <v>76</v>
      </c>
      <c r="B225" s="1">
        <f t="shared" si="2"/>
        <v>30</v>
      </c>
      <c r="C225" s="1">
        <f t="shared" si="3"/>
        <v>30</v>
      </c>
      <c r="D225" s="1">
        <f t="shared" si="4"/>
        <v>16</v>
      </c>
      <c r="F225" s="1">
        <v>10.0</v>
      </c>
      <c r="G225" s="1">
        <v>8.0</v>
      </c>
    </row>
    <row r="226" ht="15.75" customHeight="1">
      <c r="A226" s="1">
        <f t="shared" si="1"/>
        <v>74</v>
      </c>
      <c r="B226" s="1">
        <f t="shared" si="2"/>
        <v>30</v>
      </c>
      <c r="C226" s="1">
        <f t="shared" si="3"/>
        <v>30</v>
      </c>
      <c r="D226" s="1">
        <f t="shared" si="4"/>
        <v>14</v>
      </c>
      <c r="F226" s="1">
        <v>10.0</v>
      </c>
      <c r="G226" s="1">
        <v>7.0</v>
      </c>
    </row>
    <row r="227" ht="15.75" customHeight="1">
      <c r="A227" s="1">
        <f t="shared" si="1"/>
        <v>72</v>
      </c>
      <c r="B227" s="1">
        <f t="shared" si="2"/>
        <v>30</v>
      </c>
      <c r="C227" s="1">
        <f t="shared" si="3"/>
        <v>30</v>
      </c>
      <c r="D227" s="1">
        <f t="shared" si="4"/>
        <v>12</v>
      </c>
      <c r="F227" s="1">
        <v>10.0</v>
      </c>
      <c r="G227" s="1">
        <v>6.0</v>
      </c>
    </row>
    <row r="228" ht="15.75" customHeight="1">
      <c r="A228" s="1">
        <f t="shared" si="1"/>
        <v>70</v>
      </c>
      <c r="B228" s="1">
        <f t="shared" si="2"/>
        <v>30</v>
      </c>
      <c r="C228" s="1">
        <f t="shared" si="3"/>
        <v>30</v>
      </c>
      <c r="D228" s="1">
        <f t="shared" si="4"/>
        <v>10</v>
      </c>
      <c r="F228" s="1">
        <v>10.0</v>
      </c>
      <c r="G228" s="1">
        <v>5.0</v>
      </c>
    </row>
    <row r="229" ht="15.75" customHeight="1">
      <c r="A229" s="1">
        <f t="shared" si="1"/>
        <v>68</v>
      </c>
      <c r="B229" s="1">
        <f t="shared" si="2"/>
        <v>30</v>
      </c>
      <c r="C229" s="1">
        <f t="shared" si="3"/>
        <v>30</v>
      </c>
      <c r="D229" s="1">
        <f t="shared" si="4"/>
        <v>8</v>
      </c>
      <c r="F229" s="1">
        <v>10.0</v>
      </c>
      <c r="G229" s="1">
        <v>4.0</v>
      </c>
    </row>
    <row r="230" ht="15.75" customHeight="1">
      <c r="A230" s="1">
        <f t="shared" si="1"/>
        <v>66</v>
      </c>
      <c r="B230" s="1">
        <f t="shared" si="2"/>
        <v>30</v>
      </c>
      <c r="C230" s="1">
        <f t="shared" si="3"/>
        <v>30</v>
      </c>
      <c r="D230" s="1">
        <f t="shared" si="4"/>
        <v>6</v>
      </c>
      <c r="F230" s="1">
        <v>10.0</v>
      </c>
      <c r="G230" s="1">
        <v>3.0</v>
      </c>
    </row>
    <row r="231" ht="15.75" customHeight="1">
      <c r="A231" s="1">
        <f t="shared" si="1"/>
        <v>64</v>
      </c>
      <c r="B231" s="1">
        <f t="shared" si="2"/>
        <v>30</v>
      </c>
      <c r="C231" s="1">
        <f t="shared" si="3"/>
        <v>30</v>
      </c>
      <c r="D231" s="1">
        <f t="shared" si="4"/>
        <v>4</v>
      </c>
      <c r="F231" s="1">
        <v>10.0</v>
      </c>
      <c r="G231" s="1">
        <v>2.0</v>
      </c>
    </row>
    <row r="232" ht="15.75" customHeight="1">
      <c r="A232" s="1">
        <f t="shared" si="1"/>
        <v>62</v>
      </c>
      <c r="B232" s="1">
        <f t="shared" si="2"/>
        <v>30</v>
      </c>
      <c r="C232" s="1">
        <f t="shared" si="3"/>
        <v>30</v>
      </c>
      <c r="D232" s="1">
        <f t="shared" si="4"/>
        <v>2</v>
      </c>
      <c r="F232" s="1">
        <v>10.0</v>
      </c>
      <c r="G232" s="1">
        <v>1.0</v>
      </c>
    </row>
    <row r="233" ht="15.75" customHeight="1">
      <c r="A233" s="1">
        <f t="shared" si="1"/>
        <v>104</v>
      </c>
      <c r="B233" s="1">
        <f t="shared" si="2"/>
        <v>27</v>
      </c>
      <c r="C233" s="1">
        <f t="shared" si="3"/>
        <v>27</v>
      </c>
      <c r="D233" s="1">
        <f t="shared" si="4"/>
        <v>50</v>
      </c>
      <c r="F233" s="1">
        <v>9.0</v>
      </c>
      <c r="G233" s="1">
        <v>25.0</v>
      </c>
    </row>
    <row r="234" ht="15.75" customHeight="1">
      <c r="A234" s="1">
        <f t="shared" si="1"/>
        <v>94</v>
      </c>
      <c r="B234" s="1">
        <f t="shared" si="2"/>
        <v>27</v>
      </c>
      <c r="C234" s="1">
        <f t="shared" si="3"/>
        <v>27</v>
      </c>
      <c r="D234" s="1">
        <f t="shared" si="4"/>
        <v>40</v>
      </c>
      <c r="F234" s="1">
        <v>9.0</v>
      </c>
      <c r="G234" s="1">
        <v>20.0</v>
      </c>
    </row>
    <row r="235" ht="15.75" customHeight="1">
      <c r="A235" s="1">
        <f t="shared" si="1"/>
        <v>92</v>
      </c>
      <c r="B235" s="1">
        <f t="shared" si="2"/>
        <v>27</v>
      </c>
      <c r="C235" s="1">
        <f t="shared" si="3"/>
        <v>27</v>
      </c>
      <c r="D235" s="1">
        <f t="shared" si="4"/>
        <v>38</v>
      </c>
      <c r="F235" s="1">
        <v>9.0</v>
      </c>
      <c r="G235" s="1">
        <v>19.0</v>
      </c>
    </row>
    <row r="236" ht="15.75" customHeight="1">
      <c r="A236" s="1">
        <f t="shared" si="1"/>
        <v>90</v>
      </c>
      <c r="B236" s="1">
        <f t="shared" si="2"/>
        <v>27</v>
      </c>
      <c r="C236" s="1">
        <f t="shared" si="3"/>
        <v>27</v>
      </c>
      <c r="D236" s="1">
        <f t="shared" si="4"/>
        <v>36</v>
      </c>
      <c r="F236" s="1">
        <v>9.0</v>
      </c>
      <c r="G236" s="1">
        <v>18.0</v>
      </c>
    </row>
    <row r="237" ht="15.75" customHeight="1">
      <c r="A237" s="1">
        <f t="shared" si="1"/>
        <v>88</v>
      </c>
      <c r="B237" s="1">
        <f t="shared" si="2"/>
        <v>27</v>
      </c>
      <c r="C237" s="1">
        <f t="shared" si="3"/>
        <v>27</v>
      </c>
      <c r="D237" s="1">
        <f t="shared" si="4"/>
        <v>34</v>
      </c>
      <c r="F237" s="1">
        <v>9.0</v>
      </c>
      <c r="G237" s="1">
        <v>17.0</v>
      </c>
    </row>
    <row r="238" ht="15.75" customHeight="1">
      <c r="A238" s="1">
        <f t="shared" si="1"/>
        <v>86</v>
      </c>
      <c r="B238" s="1">
        <f t="shared" si="2"/>
        <v>27</v>
      </c>
      <c r="C238" s="1">
        <f t="shared" si="3"/>
        <v>27</v>
      </c>
      <c r="D238" s="1">
        <f t="shared" si="4"/>
        <v>32</v>
      </c>
      <c r="F238" s="1">
        <v>9.0</v>
      </c>
      <c r="G238" s="1">
        <v>16.0</v>
      </c>
    </row>
    <row r="239" ht="15.75" customHeight="1">
      <c r="A239" s="1">
        <f t="shared" si="1"/>
        <v>84</v>
      </c>
      <c r="B239" s="1">
        <f t="shared" si="2"/>
        <v>27</v>
      </c>
      <c r="C239" s="1">
        <f t="shared" si="3"/>
        <v>27</v>
      </c>
      <c r="D239" s="1">
        <f t="shared" si="4"/>
        <v>30</v>
      </c>
      <c r="F239" s="1">
        <v>9.0</v>
      </c>
      <c r="G239" s="1">
        <v>15.0</v>
      </c>
    </row>
    <row r="240" ht="15.75" customHeight="1">
      <c r="A240" s="1">
        <f t="shared" si="1"/>
        <v>82</v>
      </c>
      <c r="B240" s="1">
        <f t="shared" si="2"/>
        <v>27</v>
      </c>
      <c r="C240" s="1">
        <f t="shared" si="3"/>
        <v>27</v>
      </c>
      <c r="D240" s="1">
        <f t="shared" si="4"/>
        <v>28</v>
      </c>
      <c r="F240" s="1">
        <v>9.0</v>
      </c>
      <c r="G240" s="1">
        <v>14.0</v>
      </c>
    </row>
    <row r="241" ht="15.75" customHeight="1">
      <c r="A241" s="1">
        <f t="shared" si="1"/>
        <v>80</v>
      </c>
      <c r="B241" s="1">
        <f t="shared" si="2"/>
        <v>27</v>
      </c>
      <c r="C241" s="1">
        <f t="shared" si="3"/>
        <v>27</v>
      </c>
      <c r="D241" s="1">
        <f t="shared" si="4"/>
        <v>26</v>
      </c>
      <c r="F241" s="1">
        <v>9.0</v>
      </c>
      <c r="G241" s="1">
        <v>13.0</v>
      </c>
    </row>
    <row r="242" ht="15.75" customHeight="1">
      <c r="A242" s="1">
        <f t="shared" si="1"/>
        <v>78</v>
      </c>
      <c r="B242" s="1">
        <f t="shared" si="2"/>
        <v>27</v>
      </c>
      <c r="C242" s="1">
        <f t="shared" si="3"/>
        <v>27</v>
      </c>
      <c r="D242" s="1">
        <f t="shared" si="4"/>
        <v>24</v>
      </c>
      <c r="F242" s="1">
        <v>9.0</v>
      </c>
      <c r="G242" s="1">
        <v>12.0</v>
      </c>
    </row>
    <row r="243" ht="15.75" customHeight="1">
      <c r="A243" s="1">
        <f t="shared" si="1"/>
        <v>76</v>
      </c>
      <c r="B243" s="1">
        <f t="shared" si="2"/>
        <v>27</v>
      </c>
      <c r="C243" s="1">
        <f t="shared" si="3"/>
        <v>27</v>
      </c>
      <c r="D243" s="1">
        <f t="shared" si="4"/>
        <v>22</v>
      </c>
      <c r="F243" s="1">
        <v>9.0</v>
      </c>
      <c r="G243" s="1">
        <v>11.0</v>
      </c>
    </row>
    <row r="244" ht="15.75" customHeight="1">
      <c r="A244" s="1">
        <f t="shared" si="1"/>
        <v>74</v>
      </c>
      <c r="B244" s="1">
        <f t="shared" si="2"/>
        <v>27</v>
      </c>
      <c r="C244" s="1">
        <f t="shared" si="3"/>
        <v>27</v>
      </c>
      <c r="D244" s="1">
        <f t="shared" si="4"/>
        <v>20</v>
      </c>
      <c r="F244" s="1">
        <v>9.0</v>
      </c>
      <c r="G244" s="1">
        <v>10.0</v>
      </c>
    </row>
    <row r="245" ht="15.75" customHeight="1">
      <c r="A245" s="1">
        <f t="shared" si="1"/>
        <v>72</v>
      </c>
      <c r="B245" s="1">
        <f t="shared" si="2"/>
        <v>27</v>
      </c>
      <c r="C245" s="1">
        <f t="shared" si="3"/>
        <v>27</v>
      </c>
      <c r="D245" s="1">
        <f t="shared" si="4"/>
        <v>18</v>
      </c>
      <c r="F245" s="1">
        <v>9.0</v>
      </c>
      <c r="G245" s="1">
        <v>9.0</v>
      </c>
    </row>
    <row r="246" ht="15.75" customHeight="1">
      <c r="A246" s="1">
        <f t="shared" si="1"/>
        <v>70</v>
      </c>
      <c r="B246" s="1">
        <f t="shared" si="2"/>
        <v>27</v>
      </c>
      <c r="C246" s="1">
        <f t="shared" si="3"/>
        <v>27</v>
      </c>
      <c r="D246" s="1">
        <f t="shared" si="4"/>
        <v>16</v>
      </c>
      <c r="F246" s="1">
        <v>9.0</v>
      </c>
      <c r="G246" s="1">
        <v>8.0</v>
      </c>
    </row>
    <row r="247" ht="15.75" customHeight="1">
      <c r="A247" s="1">
        <f t="shared" si="1"/>
        <v>68</v>
      </c>
      <c r="B247" s="1">
        <f t="shared" si="2"/>
        <v>27</v>
      </c>
      <c r="C247" s="1">
        <f t="shared" si="3"/>
        <v>27</v>
      </c>
      <c r="D247" s="1">
        <f t="shared" si="4"/>
        <v>14</v>
      </c>
      <c r="F247" s="1">
        <v>9.0</v>
      </c>
      <c r="G247" s="1">
        <v>7.0</v>
      </c>
    </row>
    <row r="248" ht="15.75" customHeight="1">
      <c r="A248" s="1">
        <f t="shared" si="1"/>
        <v>66</v>
      </c>
      <c r="B248" s="1">
        <f t="shared" si="2"/>
        <v>27</v>
      </c>
      <c r="C248" s="1">
        <f t="shared" si="3"/>
        <v>27</v>
      </c>
      <c r="D248" s="1">
        <f t="shared" si="4"/>
        <v>12</v>
      </c>
      <c r="F248" s="1">
        <v>9.0</v>
      </c>
      <c r="G248" s="1">
        <v>6.0</v>
      </c>
    </row>
    <row r="249" ht="15.75" customHeight="1">
      <c r="A249" s="1">
        <f t="shared" si="1"/>
        <v>64</v>
      </c>
      <c r="B249" s="1">
        <f t="shared" si="2"/>
        <v>27</v>
      </c>
      <c r="C249" s="1">
        <f t="shared" si="3"/>
        <v>27</v>
      </c>
      <c r="D249" s="1">
        <f t="shared" si="4"/>
        <v>10</v>
      </c>
      <c r="F249" s="1">
        <v>9.0</v>
      </c>
      <c r="G249" s="1">
        <v>5.0</v>
      </c>
    </row>
    <row r="250" ht="15.75" customHeight="1">
      <c r="A250" s="1">
        <f t="shared" si="1"/>
        <v>62</v>
      </c>
      <c r="B250" s="1">
        <f t="shared" si="2"/>
        <v>27</v>
      </c>
      <c r="C250" s="1">
        <f t="shared" si="3"/>
        <v>27</v>
      </c>
      <c r="D250" s="1">
        <f t="shared" si="4"/>
        <v>8</v>
      </c>
      <c r="F250" s="1">
        <v>9.0</v>
      </c>
      <c r="G250" s="1">
        <v>4.0</v>
      </c>
    </row>
    <row r="251" ht="15.75" customHeight="1">
      <c r="A251" s="1">
        <f t="shared" si="1"/>
        <v>60</v>
      </c>
      <c r="B251" s="1">
        <f t="shared" si="2"/>
        <v>27</v>
      </c>
      <c r="C251" s="1">
        <f t="shared" si="3"/>
        <v>27</v>
      </c>
      <c r="D251" s="1">
        <f t="shared" si="4"/>
        <v>6</v>
      </c>
      <c r="F251" s="1">
        <v>9.0</v>
      </c>
      <c r="G251" s="1">
        <v>3.0</v>
      </c>
    </row>
    <row r="252" ht="15.75" customHeight="1">
      <c r="A252" s="1">
        <f t="shared" si="1"/>
        <v>58</v>
      </c>
      <c r="B252" s="1">
        <f t="shared" si="2"/>
        <v>27</v>
      </c>
      <c r="C252" s="1">
        <f t="shared" si="3"/>
        <v>27</v>
      </c>
      <c r="D252" s="1">
        <f t="shared" si="4"/>
        <v>4</v>
      </c>
      <c r="F252" s="1">
        <v>9.0</v>
      </c>
      <c r="G252" s="1">
        <v>2.0</v>
      </c>
    </row>
    <row r="253" ht="15.75" customHeight="1">
      <c r="A253" s="1">
        <f t="shared" si="1"/>
        <v>56</v>
      </c>
      <c r="B253" s="1">
        <f t="shared" si="2"/>
        <v>27</v>
      </c>
      <c r="C253" s="1">
        <f t="shared" si="3"/>
        <v>27</v>
      </c>
      <c r="D253" s="1">
        <f t="shared" si="4"/>
        <v>2</v>
      </c>
      <c r="F253" s="1">
        <v>9.0</v>
      </c>
      <c r="G253" s="1">
        <v>1.0</v>
      </c>
    </row>
    <row r="254" ht="15.75" customHeight="1">
      <c r="A254" s="1">
        <f t="shared" si="1"/>
        <v>98</v>
      </c>
      <c r="B254" s="1">
        <f t="shared" si="2"/>
        <v>24</v>
      </c>
      <c r="C254" s="1">
        <f t="shared" si="3"/>
        <v>24</v>
      </c>
      <c r="D254" s="1">
        <f t="shared" si="4"/>
        <v>50</v>
      </c>
      <c r="F254" s="1">
        <v>8.0</v>
      </c>
      <c r="G254" s="1">
        <v>25.0</v>
      </c>
    </row>
    <row r="255" ht="15.75" customHeight="1">
      <c r="A255" s="1">
        <f t="shared" si="1"/>
        <v>88</v>
      </c>
      <c r="B255" s="1">
        <f t="shared" si="2"/>
        <v>24</v>
      </c>
      <c r="C255" s="1">
        <f t="shared" si="3"/>
        <v>24</v>
      </c>
      <c r="D255" s="1">
        <f t="shared" si="4"/>
        <v>40</v>
      </c>
      <c r="F255" s="1">
        <v>8.0</v>
      </c>
      <c r="G255" s="1">
        <v>20.0</v>
      </c>
    </row>
    <row r="256" ht="15.75" customHeight="1">
      <c r="A256" s="1">
        <f t="shared" si="1"/>
        <v>86</v>
      </c>
      <c r="B256" s="1">
        <f t="shared" si="2"/>
        <v>24</v>
      </c>
      <c r="C256" s="1">
        <f t="shared" si="3"/>
        <v>24</v>
      </c>
      <c r="D256" s="1">
        <f t="shared" si="4"/>
        <v>38</v>
      </c>
      <c r="F256" s="1">
        <v>8.0</v>
      </c>
      <c r="G256" s="1">
        <v>19.0</v>
      </c>
    </row>
    <row r="257" ht="15.75" customHeight="1">
      <c r="A257" s="1">
        <f t="shared" si="1"/>
        <v>84</v>
      </c>
      <c r="B257" s="1">
        <f t="shared" si="2"/>
        <v>24</v>
      </c>
      <c r="C257" s="1">
        <f t="shared" si="3"/>
        <v>24</v>
      </c>
      <c r="D257" s="1">
        <f t="shared" si="4"/>
        <v>36</v>
      </c>
      <c r="F257" s="1">
        <v>8.0</v>
      </c>
      <c r="G257" s="1">
        <v>18.0</v>
      </c>
    </row>
    <row r="258" ht="15.75" customHeight="1">
      <c r="A258" s="1">
        <f t="shared" si="1"/>
        <v>82</v>
      </c>
      <c r="B258" s="1">
        <f t="shared" si="2"/>
        <v>24</v>
      </c>
      <c r="C258" s="1">
        <f t="shared" si="3"/>
        <v>24</v>
      </c>
      <c r="D258" s="1">
        <f t="shared" si="4"/>
        <v>34</v>
      </c>
      <c r="F258" s="1">
        <v>8.0</v>
      </c>
      <c r="G258" s="1">
        <v>17.0</v>
      </c>
    </row>
    <row r="259" ht="15.75" customHeight="1">
      <c r="A259" s="1">
        <f t="shared" si="1"/>
        <v>80</v>
      </c>
      <c r="B259" s="1">
        <f t="shared" si="2"/>
        <v>24</v>
      </c>
      <c r="C259" s="1">
        <f t="shared" si="3"/>
        <v>24</v>
      </c>
      <c r="D259" s="1">
        <f t="shared" si="4"/>
        <v>32</v>
      </c>
      <c r="F259" s="1">
        <v>8.0</v>
      </c>
      <c r="G259" s="1">
        <v>16.0</v>
      </c>
    </row>
    <row r="260" ht="15.75" customHeight="1">
      <c r="A260" s="1">
        <f t="shared" si="1"/>
        <v>78</v>
      </c>
      <c r="B260" s="1">
        <f t="shared" si="2"/>
        <v>24</v>
      </c>
      <c r="C260" s="1">
        <f t="shared" si="3"/>
        <v>24</v>
      </c>
      <c r="D260" s="1">
        <f t="shared" si="4"/>
        <v>30</v>
      </c>
      <c r="F260" s="1">
        <v>8.0</v>
      </c>
      <c r="G260" s="1">
        <v>15.0</v>
      </c>
    </row>
    <row r="261" ht="15.75" customHeight="1">
      <c r="A261" s="1">
        <f t="shared" si="1"/>
        <v>76</v>
      </c>
      <c r="B261" s="1">
        <f t="shared" si="2"/>
        <v>24</v>
      </c>
      <c r="C261" s="1">
        <f t="shared" si="3"/>
        <v>24</v>
      </c>
      <c r="D261" s="1">
        <f t="shared" si="4"/>
        <v>28</v>
      </c>
      <c r="F261" s="1">
        <v>8.0</v>
      </c>
      <c r="G261" s="1">
        <v>14.0</v>
      </c>
    </row>
    <row r="262" ht="15.75" customHeight="1">
      <c r="A262" s="1">
        <f t="shared" si="1"/>
        <v>74</v>
      </c>
      <c r="B262" s="1">
        <f t="shared" si="2"/>
        <v>24</v>
      </c>
      <c r="C262" s="1">
        <f t="shared" si="3"/>
        <v>24</v>
      </c>
      <c r="D262" s="1">
        <f t="shared" si="4"/>
        <v>26</v>
      </c>
      <c r="F262" s="1">
        <v>8.0</v>
      </c>
      <c r="G262" s="1">
        <v>13.0</v>
      </c>
    </row>
    <row r="263" ht="15.75" customHeight="1">
      <c r="A263" s="1">
        <f t="shared" si="1"/>
        <v>72</v>
      </c>
      <c r="B263" s="1">
        <f t="shared" si="2"/>
        <v>24</v>
      </c>
      <c r="C263" s="1">
        <f t="shared" si="3"/>
        <v>24</v>
      </c>
      <c r="D263" s="1">
        <f t="shared" si="4"/>
        <v>24</v>
      </c>
      <c r="F263" s="1">
        <v>8.0</v>
      </c>
      <c r="G263" s="1">
        <v>12.0</v>
      </c>
    </row>
    <row r="264" ht="15.75" customHeight="1">
      <c r="A264" s="1">
        <f t="shared" si="1"/>
        <v>70</v>
      </c>
      <c r="B264" s="1">
        <f t="shared" si="2"/>
        <v>24</v>
      </c>
      <c r="C264" s="1">
        <f t="shared" si="3"/>
        <v>24</v>
      </c>
      <c r="D264" s="1">
        <f t="shared" si="4"/>
        <v>22</v>
      </c>
      <c r="F264" s="1">
        <v>8.0</v>
      </c>
      <c r="G264" s="1">
        <v>11.0</v>
      </c>
    </row>
    <row r="265" ht="15.75" customHeight="1">
      <c r="A265" s="1">
        <f t="shared" si="1"/>
        <v>68</v>
      </c>
      <c r="B265" s="1">
        <f t="shared" si="2"/>
        <v>24</v>
      </c>
      <c r="C265" s="1">
        <f t="shared" si="3"/>
        <v>24</v>
      </c>
      <c r="D265" s="1">
        <f t="shared" si="4"/>
        <v>20</v>
      </c>
      <c r="F265" s="1">
        <v>8.0</v>
      </c>
      <c r="G265" s="1">
        <v>10.0</v>
      </c>
    </row>
    <row r="266" ht="15.75" customHeight="1">
      <c r="A266" s="1">
        <f t="shared" si="1"/>
        <v>66</v>
      </c>
      <c r="B266" s="1">
        <f t="shared" si="2"/>
        <v>24</v>
      </c>
      <c r="C266" s="1">
        <f t="shared" si="3"/>
        <v>24</v>
      </c>
      <c r="D266" s="1">
        <f t="shared" si="4"/>
        <v>18</v>
      </c>
      <c r="F266" s="1">
        <v>8.0</v>
      </c>
      <c r="G266" s="1">
        <v>9.0</v>
      </c>
    </row>
    <row r="267" ht="15.75" customHeight="1">
      <c r="A267" s="1">
        <f t="shared" si="1"/>
        <v>64</v>
      </c>
      <c r="B267" s="1">
        <f t="shared" si="2"/>
        <v>24</v>
      </c>
      <c r="C267" s="1">
        <f t="shared" si="3"/>
        <v>24</v>
      </c>
      <c r="D267" s="1">
        <f t="shared" si="4"/>
        <v>16</v>
      </c>
      <c r="F267" s="1">
        <v>8.0</v>
      </c>
      <c r="G267" s="1">
        <v>8.0</v>
      </c>
    </row>
    <row r="268" ht="15.75" customHeight="1">
      <c r="A268" s="1">
        <f t="shared" si="1"/>
        <v>62</v>
      </c>
      <c r="B268" s="1">
        <f t="shared" si="2"/>
        <v>24</v>
      </c>
      <c r="C268" s="1">
        <f t="shared" si="3"/>
        <v>24</v>
      </c>
      <c r="D268" s="1">
        <f t="shared" si="4"/>
        <v>14</v>
      </c>
      <c r="F268" s="1">
        <v>8.0</v>
      </c>
      <c r="G268" s="1">
        <v>7.0</v>
      </c>
    </row>
    <row r="269" ht="15.75" customHeight="1">
      <c r="A269" s="1">
        <f t="shared" si="1"/>
        <v>60</v>
      </c>
      <c r="B269" s="1">
        <f t="shared" si="2"/>
        <v>24</v>
      </c>
      <c r="C269" s="1">
        <f t="shared" si="3"/>
        <v>24</v>
      </c>
      <c r="D269" s="1">
        <f t="shared" si="4"/>
        <v>12</v>
      </c>
      <c r="F269" s="1">
        <v>8.0</v>
      </c>
      <c r="G269" s="1">
        <v>6.0</v>
      </c>
    </row>
    <row r="270" ht="15.75" customHeight="1">
      <c r="A270" s="1">
        <f t="shared" si="1"/>
        <v>58</v>
      </c>
      <c r="B270" s="1">
        <f t="shared" si="2"/>
        <v>24</v>
      </c>
      <c r="C270" s="1">
        <f t="shared" si="3"/>
        <v>24</v>
      </c>
      <c r="D270" s="1">
        <f t="shared" si="4"/>
        <v>10</v>
      </c>
      <c r="F270" s="1">
        <v>8.0</v>
      </c>
      <c r="G270" s="1">
        <v>5.0</v>
      </c>
    </row>
    <row r="271" ht="15.75" customHeight="1">
      <c r="A271" s="1">
        <f t="shared" si="1"/>
        <v>56</v>
      </c>
      <c r="B271" s="1">
        <f t="shared" si="2"/>
        <v>24</v>
      </c>
      <c r="C271" s="1">
        <f t="shared" si="3"/>
        <v>24</v>
      </c>
      <c r="D271" s="1">
        <f t="shared" si="4"/>
        <v>8</v>
      </c>
      <c r="F271" s="1">
        <v>8.0</v>
      </c>
      <c r="G271" s="1">
        <v>4.0</v>
      </c>
    </row>
    <row r="272" ht="15.75" customHeight="1">
      <c r="A272" s="1">
        <f t="shared" si="1"/>
        <v>54</v>
      </c>
      <c r="B272" s="1">
        <f t="shared" si="2"/>
        <v>24</v>
      </c>
      <c r="C272" s="1">
        <f t="shared" si="3"/>
        <v>24</v>
      </c>
      <c r="D272" s="1">
        <f t="shared" si="4"/>
        <v>6</v>
      </c>
      <c r="F272" s="1">
        <v>8.0</v>
      </c>
      <c r="G272" s="1">
        <v>3.0</v>
      </c>
    </row>
    <row r="273" ht="15.75" customHeight="1">
      <c r="A273" s="1">
        <f t="shared" si="1"/>
        <v>52</v>
      </c>
      <c r="B273" s="1">
        <f t="shared" si="2"/>
        <v>24</v>
      </c>
      <c r="C273" s="1">
        <f t="shared" si="3"/>
        <v>24</v>
      </c>
      <c r="D273" s="1">
        <f t="shared" si="4"/>
        <v>4</v>
      </c>
      <c r="F273" s="1">
        <v>8.0</v>
      </c>
      <c r="G273" s="1">
        <v>2.0</v>
      </c>
    </row>
    <row r="274" ht="15.75" customHeight="1">
      <c r="A274" s="1">
        <f t="shared" si="1"/>
        <v>50</v>
      </c>
      <c r="B274" s="1">
        <f t="shared" si="2"/>
        <v>24</v>
      </c>
      <c r="C274" s="1">
        <f t="shared" si="3"/>
        <v>24</v>
      </c>
      <c r="D274" s="1">
        <f t="shared" si="4"/>
        <v>2</v>
      </c>
      <c r="F274" s="1">
        <v>8.0</v>
      </c>
      <c r="G274" s="1">
        <v>1.0</v>
      </c>
    </row>
    <row r="275" ht="15.75" customHeight="1">
      <c r="A275" s="1">
        <f t="shared" si="1"/>
        <v>92</v>
      </c>
      <c r="B275" s="1">
        <f t="shared" si="2"/>
        <v>21</v>
      </c>
      <c r="C275" s="1">
        <f t="shared" si="3"/>
        <v>21</v>
      </c>
      <c r="D275" s="1">
        <f t="shared" si="4"/>
        <v>50</v>
      </c>
      <c r="F275" s="1">
        <v>7.0</v>
      </c>
      <c r="G275" s="1">
        <v>25.0</v>
      </c>
    </row>
    <row r="276" ht="15.75" customHeight="1">
      <c r="A276" s="1">
        <f t="shared" si="1"/>
        <v>82</v>
      </c>
      <c r="B276" s="1">
        <f t="shared" si="2"/>
        <v>21</v>
      </c>
      <c r="C276" s="1">
        <f t="shared" si="3"/>
        <v>21</v>
      </c>
      <c r="D276" s="1">
        <f t="shared" si="4"/>
        <v>40</v>
      </c>
      <c r="F276" s="1">
        <v>7.0</v>
      </c>
      <c r="G276" s="1">
        <v>20.0</v>
      </c>
    </row>
    <row r="277" ht="15.75" customHeight="1">
      <c r="A277" s="1">
        <f t="shared" si="1"/>
        <v>80</v>
      </c>
      <c r="B277" s="1">
        <f t="shared" si="2"/>
        <v>21</v>
      </c>
      <c r="C277" s="1">
        <f t="shared" si="3"/>
        <v>21</v>
      </c>
      <c r="D277" s="1">
        <f t="shared" si="4"/>
        <v>38</v>
      </c>
      <c r="F277" s="1">
        <v>7.0</v>
      </c>
      <c r="G277" s="1">
        <v>19.0</v>
      </c>
    </row>
    <row r="278" ht="15.75" customHeight="1">
      <c r="A278" s="1">
        <f t="shared" si="1"/>
        <v>78</v>
      </c>
      <c r="B278" s="1">
        <f t="shared" si="2"/>
        <v>21</v>
      </c>
      <c r="C278" s="1">
        <f t="shared" si="3"/>
        <v>21</v>
      </c>
      <c r="D278" s="1">
        <f t="shared" si="4"/>
        <v>36</v>
      </c>
      <c r="F278" s="1">
        <v>7.0</v>
      </c>
      <c r="G278" s="1">
        <v>18.0</v>
      </c>
    </row>
    <row r="279" ht="15.75" customHeight="1">
      <c r="A279" s="1">
        <f t="shared" si="1"/>
        <v>76</v>
      </c>
      <c r="B279" s="1">
        <f t="shared" si="2"/>
        <v>21</v>
      </c>
      <c r="C279" s="1">
        <f t="shared" si="3"/>
        <v>21</v>
      </c>
      <c r="D279" s="1">
        <f t="shared" si="4"/>
        <v>34</v>
      </c>
      <c r="F279" s="1">
        <v>7.0</v>
      </c>
      <c r="G279" s="1">
        <v>17.0</v>
      </c>
    </row>
    <row r="280" ht="15.75" customHeight="1">
      <c r="A280" s="1">
        <f t="shared" si="1"/>
        <v>74</v>
      </c>
      <c r="B280" s="1">
        <f t="shared" si="2"/>
        <v>21</v>
      </c>
      <c r="C280" s="1">
        <f t="shared" si="3"/>
        <v>21</v>
      </c>
      <c r="D280" s="1">
        <f t="shared" si="4"/>
        <v>32</v>
      </c>
      <c r="F280" s="1">
        <v>7.0</v>
      </c>
      <c r="G280" s="1">
        <v>16.0</v>
      </c>
    </row>
    <row r="281" ht="15.75" customHeight="1">
      <c r="A281" s="1">
        <f t="shared" si="1"/>
        <v>72</v>
      </c>
      <c r="B281" s="1">
        <f t="shared" si="2"/>
        <v>21</v>
      </c>
      <c r="C281" s="1">
        <f t="shared" si="3"/>
        <v>21</v>
      </c>
      <c r="D281" s="1">
        <f t="shared" si="4"/>
        <v>30</v>
      </c>
      <c r="F281" s="1">
        <v>7.0</v>
      </c>
      <c r="G281" s="1">
        <v>15.0</v>
      </c>
    </row>
    <row r="282" ht="15.75" customHeight="1">
      <c r="A282" s="1">
        <f t="shared" si="1"/>
        <v>70</v>
      </c>
      <c r="B282" s="1">
        <f t="shared" si="2"/>
        <v>21</v>
      </c>
      <c r="C282" s="1">
        <f t="shared" si="3"/>
        <v>21</v>
      </c>
      <c r="D282" s="1">
        <f t="shared" si="4"/>
        <v>28</v>
      </c>
      <c r="F282" s="1">
        <v>7.0</v>
      </c>
      <c r="G282" s="1">
        <v>14.0</v>
      </c>
    </row>
    <row r="283" ht="15.75" customHeight="1">
      <c r="A283" s="1">
        <f t="shared" si="1"/>
        <v>68</v>
      </c>
      <c r="B283" s="1">
        <f t="shared" si="2"/>
        <v>21</v>
      </c>
      <c r="C283" s="1">
        <f t="shared" si="3"/>
        <v>21</v>
      </c>
      <c r="D283" s="1">
        <f t="shared" si="4"/>
        <v>26</v>
      </c>
      <c r="F283" s="1">
        <v>7.0</v>
      </c>
      <c r="G283" s="1">
        <v>13.0</v>
      </c>
    </row>
    <row r="284" ht="15.75" customHeight="1">
      <c r="A284" s="1">
        <f t="shared" si="1"/>
        <v>66</v>
      </c>
      <c r="B284" s="1">
        <f t="shared" si="2"/>
        <v>21</v>
      </c>
      <c r="C284" s="1">
        <f t="shared" si="3"/>
        <v>21</v>
      </c>
      <c r="D284" s="1">
        <f t="shared" si="4"/>
        <v>24</v>
      </c>
      <c r="F284" s="1">
        <v>7.0</v>
      </c>
      <c r="G284" s="1">
        <v>12.0</v>
      </c>
    </row>
    <row r="285" ht="15.75" customHeight="1">
      <c r="A285" s="1">
        <f t="shared" si="1"/>
        <v>64</v>
      </c>
      <c r="B285" s="1">
        <f t="shared" si="2"/>
        <v>21</v>
      </c>
      <c r="C285" s="1">
        <f t="shared" si="3"/>
        <v>21</v>
      </c>
      <c r="D285" s="1">
        <f t="shared" si="4"/>
        <v>22</v>
      </c>
      <c r="F285" s="1">
        <v>7.0</v>
      </c>
      <c r="G285" s="1">
        <v>11.0</v>
      </c>
    </row>
    <row r="286" ht="15.75" customHeight="1">
      <c r="A286" s="1">
        <f t="shared" si="1"/>
        <v>62</v>
      </c>
      <c r="B286" s="1">
        <f t="shared" si="2"/>
        <v>21</v>
      </c>
      <c r="C286" s="1">
        <f t="shared" si="3"/>
        <v>21</v>
      </c>
      <c r="D286" s="1">
        <f t="shared" si="4"/>
        <v>20</v>
      </c>
      <c r="F286" s="1">
        <v>7.0</v>
      </c>
      <c r="G286" s="1">
        <v>10.0</v>
      </c>
    </row>
    <row r="287" ht="15.75" customHeight="1">
      <c r="A287" s="1">
        <f t="shared" si="1"/>
        <v>60</v>
      </c>
      <c r="B287" s="1">
        <f t="shared" si="2"/>
        <v>21</v>
      </c>
      <c r="C287" s="1">
        <f t="shared" si="3"/>
        <v>21</v>
      </c>
      <c r="D287" s="1">
        <f t="shared" si="4"/>
        <v>18</v>
      </c>
      <c r="F287" s="1">
        <v>7.0</v>
      </c>
      <c r="G287" s="1">
        <v>9.0</v>
      </c>
    </row>
    <row r="288" ht="15.75" customHeight="1">
      <c r="A288" s="1">
        <f t="shared" si="1"/>
        <v>58</v>
      </c>
      <c r="B288" s="1">
        <f t="shared" si="2"/>
        <v>21</v>
      </c>
      <c r="C288" s="1">
        <f t="shared" si="3"/>
        <v>21</v>
      </c>
      <c r="D288" s="1">
        <f t="shared" si="4"/>
        <v>16</v>
      </c>
      <c r="F288" s="1">
        <v>7.0</v>
      </c>
      <c r="G288" s="1">
        <v>8.0</v>
      </c>
    </row>
    <row r="289" ht="15.75" customHeight="1">
      <c r="A289" s="1">
        <f t="shared" si="1"/>
        <v>56</v>
      </c>
      <c r="B289" s="1">
        <f t="shared" si="2"/>
        <v>21</v>
      </c>
      <c r="C289" s="1">
        <f t="shared" si="3"/>
        <v>21</v>
      </c>
      <c r="D289" s="1">
        <f t="shared" si="4"/>
        <v>14</v>
      </c>
      <c r="F289" s="1">
        <v>7.0</v>
      </c>
      <c r="G289" s="1">
        <v>7.0</v>
      </c>
    </row>
    <row r="290" ht="15.75" customHeight="1">
      <c r="A290" s="1">
        <f t="shared" si="1"/>
        <v>54</v>
      </c>
      <c r="B290" s="1">
        <f t="shared" si="2"/>
        <v>21</v>
      </c>
      <c r="C290" s="1">
        <f t="shared" si="3"/>
        <v>21</v>
      </c>
      <c r="D290" s="1">
        <f t="shared" si="4"/>
        <v>12</v>
      </c>
      <c r="F290" s="1">
        <v>7.0</v>
      </c>
      <c r="G290" s="1">
        <v>6.0</v>
      </c>
    </row>
    <row r="291" ht="15.75" customHeight="1">
      <c r="A291" s="1">
        <f t="shared" si="1"/>
        <v>52</v>
      </c>
      <c r="B291" s="1">
        <f t="shared" si="2"/>
        <v>21</v>
      </c>
      <c r="C291" s="1">
        <f t="shared" si="3"/>
        <v>21</v>
      </c>
      <c r="D291" s="1">
        <f t="shared" si="4"/>
        <v>10</v>
      </c>
      <c r="F291" s="1">
        <v>7.0</v>
      </c>
      <c r="G291" s="1">
        <v>5.0</v>
      </c>
    </row>
    <row r="292" ht="15.75" customHeight="1">
      <c r="A292" s="1">
        <f t="shared" si="1"/>
        <v>50</v>
      </c>
      <c r="B292" s="1">
        <f t="shared" si="2"/>
        <v>21</v>
      </c>
      <c r="C292" s="1">
        <f t="shared" si="3"/>
        <v>21</v>
      </c>
      <c r="D292" s="1">
        <f t="shared" si="4"/>
        <v>8</v>
      </c>
      <c r="F292" s="1">
        <v>7.0</v>
      </c>
      <c r="G292" s="1">
        <v>4.0</v>
      </c>
    </row>
    <row r="293" ht="15.75" customHeight="1">
      <c r="A293" s="1">
        <f t="shared" si="1"/>
        <v>48</v>
      </c>
      <c r="B293" s="1">
        <f t="shared" si="2"/>
        <v>21</v>
      </c>
      <c r="C293" s="1">
        <f t="shared" si="3"/>
        <v>21</v>
      </c>
      <c r="D293" s="1">
        <f t="shared" si="4"/>
        <v>6</v>
      </c>
      <c r="F293" s="1">
        <v>7.0</v>
      </c>
      <c r="G293" s="1">
        <v>3.0</v>
      </c>
    </row>
    <row r="294" ht="15.75" customHeight="1">
      <c r="A294" s="1">
        <f t="shared" si="1"/>
        <v>46</v>
      </c>
      <c r="B294" s="1">
        <f t="shared" si="2"/>
        <v>21</v>
      </c>
      <c r="C294" s="1">
        <f t="shared" si="3"/>
        <v>21</v>
      </c>
      <c r="D294" s="1">
        <f t="shared" si="4"/>
        <v>4</v>
      </c>
      <c r="F294" s="1">
        <v>7.0</v>
      </c>
      <c r="G294" s="1">
        <v>2.0</v>
      </c>
    </row>
    <row r="295" ht="15.75" customHeight="1">
      <c r="A295" s="1">
        <f t="shared" si="1"/>
        <v>44</v>
      </c>
      <c r="B295" s="1">
        <f t="shared" si="2"/>
        <v>21</v>
      </c>
      <c r="C295" s="1">
        <f t="shared" si="3"/>
        <v>21</v>
      </c>
      <c r="D295" s="1">
        <f t="shared" si="4"/>
        <v>2</v>
      </c>
      <c r="F295" s="1">
        <v>7.0</v>
      </c>
      <c r="G295" s="1">
        <v>1.0</v>
      </c>
    </row>
    <row r="296" ht="15.75" customHeight="1">
      <c r="A296" s="1">
        <f t="shared" si="1"/>
        <v>86</v>
      </c>
      <c r="B296" s="1">
        <f t="shared" si="2"/>
        <v>18</v>
      </c>
      <c r="C296" s="1">
        <f t="shared" si="3"/>
        <v>18</v>
      </c>
      <c r="D296" s="1">
        <f t="shared" si="4"/>
        <v>50</v>
      </c>
      <c r="F296" s="1">
        <v>6.0</v>
      </c>
      <c r="G296" s="1">
        <v>25.0</v>
      </c>
    </row>
    <row r="297" ht="15.75" customHeight="1">
      <c r="A297" s="1">
        <f t="shared" si="1"/>
        <v>76</v>
      </c>
      <c r="B297" s="1">
        <f t="shared" si="2"/>
        <v>18</v>
      </c>
      <c r="C297" s="1">
        <f t="shared" si="3"/>
        <v>18</v>
      </c>
      <c r="D297" s="1">
        <f t="shared" si="4"/>
        <v>40</v>
      </c>
      <c r="F297" s="1">
        <v>6.0</v>
      </c>
      <c r="G297" s="1">
        <v>20.0</v>
      </c>
    </row>
    <row r="298" ht="15.75" customHeight="1">
      <c r="A298" s="1">
        <f t="shared" si="1"/>
        <v>74</v>
      </c>
      <c r="B298" s="1">
        <f t="shared" si="2"/>
        <v>18</v>
      </c>
      <c r="C298" s="1">
        <f t="shared" si="3"/>
        <v>18</v>
      </c>
      <c r="D298" s="1">
        <f t="shared" si="4"/>
        <v>38</v>
      </c>
      <c r="F298" s="1">
        <v>6.0</v>
      </c>
      <c r="G298" s="1">
        <v>19.0</v>
      </c>
    </row>
    <row r="299" ht="15.75" customHeight="1">
      <c r="A299" s="1">
        <f t="shared" si="1"/>
        <v>72</v>
      </c>
      <c r="B299" s="1">
        <f t="shared" si="2"/>
        <v>18</v>
      </c>
      <c r="C299" s="1">
        <f t="shared" si="3"/>
        <v>18</v>
      </c>
      <c r="D299" s="1">
        <f t="shared" si="4"/>
        <v>36</v>
      </c>
      <c r="F299" s="1">
        <v>6.0</v>
      </c>
      <c r="G299" s="1">
        <v>18.0</v>
      </c>
    </row>
    <row r="300" ht="15.75" customHeight="1">
      <c r="A300" s="1">
        <f t="shared" si="1"/>
        <v>70</v>
      </c>
      <c r="B300" s="1">
        <f t="shared" si="2"/>
        <v>18</v>
      </c>
      <c r="C300" s="1">
        <f t="shared" si="3"/>
        <v>18</v>
      </c>
      <c r="D300" s="1">
        <f t="shared" si="4"/>
        <v>34</v>
      </c>
      <c r="F300" s="1">
        <v>6.0</v>
      </c>
      <c r="G300" s="1">
        <v>17.0</v>
      </c>
    </row>
    <row r="301" ht="15.75" customHeight="1">
      <c r="A301" s="1">
        <f t="shared" si="1"/>
        <v>68</v>
      </c>
      <c r="B301" s="1">
        <f t="shared" si="2"/>
        <v>18</v>
      </c>
      <c r="C301" s="1">
        <f t="shared" si="3"/>
        <v>18</v>
      </c>
      <c r="D301" s="1">
        <f t="shared" si="4"/>
        <v>32</v>
      </c>
      <c r="F301" s="1">
        <v>6.0</v>
      </c>
      <c r="G301" s="1">
        <v>16.0</v>
      </c>
    </row>
    <row r="302" ht="15.75" customHeight="1">
      <c r="A302" s="1">
        <f t="shared" si="1"/>
        <v>66</v>
      </c>
      <c r="B302" s="1">
        <f t="shared" si="2"/>
        <v>18</v>
      </c>
      <c r="C302" s="1">
        <f t="shared" si="3"/>
        <v>18</v>
      </c>
      <c r="D302" s="1">
        <f t="shared" si="4"/>
        <v>30</v>
      </c>
      <c r="F302" s="1">
        <v>6.0</v>
      </c>
      <c r="G302" s="1">
        <v>15.0</v>
      </c>
    </row>
    <row r="303" ht="15.75" customHeight="1">
      <c r="A303" s="1">
        <f t="shared" si="1"/>
        <v>64</v>
      </c>
      <c r="B303" s="1">
        <f t="shared" si="2"/>
        <v>18</v>
      </c>
      <c r="C303" s="1">
        <f t="shared" si="3"/>
        <v>18</v>
      </c>
      <c r="D303" s="1">
        <f t="shared" si="4"/>
        <v>28</v>
      </c>
      <c r="F303" s="1">
        <v>6.0</v>
      </c>
      <c r="G303" s="1">
        <v>14.0</v>
      </c>
    </row>
    <row r="304" ht="15.75" customHeight="1">
      <c r="A304" s="1">
        <f t="shared" si="1"/>
        <v>62</v>
      </c>
      <c r="B304" s="1">
        <f t="shared" si="2"/>
        <v>18</v>
      </c>
      <c r="C304" s="1">
        <f t="shared" si="3"/>
        <v>18</v>
      </c>
      <c r="D304" s="1">
        <f t="shared" si="4"/>
        <v>26</v>
      </c>
      <c r="F304" s="1">
        <v>6.0</v>
      </c>
      <c r="G304" s="1">
        <v>13.0</v>
      </c>
    </row>
    <row r="305" ht="15.75" customHeight="1">
      <c r="A305" s="1">
        <f t="shared" si="1"/>
        <v>60</v>
      </c>
      <c r="B305" s="1">
        <f t="shared" si="2"/>
        <v>18</v>
      </c>
      <c r="C305" s="1">
        <f t="shared" si="3"/>
        <v>18</v>
      </c>
      <c r="D305" s="1">
        <f t="shared" si="4"/>
        <v>24</v>
      </c>
      <c r="F305" s="1">
        <v>6.0</v>
      </c>
      <c r="G305" s="1">
        <v>12.0</v>
      </c>
    </row>
    <row r="306" ht="15.75" customHeight="1">
      <c r="A306" s="1">
        <f t="shared" si="1"/>
        <v>58</v>
      </c>
      <c r="B306" s="1">
        <f t="shared" si="2"/>
        <v>18</v>
      </c>
      <c r="C306" s="1">
        <f t="shared" si="3"/>
        <v>18</v>
      </c>
      <c r="D306" s="1">
        <f t="shared" si="4"/>
        <v>22</v>
      </c>
      <c r="F306" s="1">
        <v>6.0</v>
      </c>
      <c r="G306" s="1">
        <v>11.0</v>
      </c>
    </row>
    <row r="307" ht="15.75" customHeight="1">
      <c r="A307" s="1">
        <f t="shared" si="1"/>
        <v>56</v>
      </c>
      <c r="B307" s="1">
        <f t="shared" si="2"/>
        <v>18</v>
      </c>
      <c r="C307" s="1">
        <f t="shared" si="3"/>
        <v>18</v>
      </c>
      <c r="D307" s="1">
        <f t="shared" si="4"/>
        <v>20</v>
      </c>
      <c r="F307" s="1">
        <v>6.0</v>
      </c>
      <c r="G307" s="1">
        <v>10.0</v>
      </c>
    </row>
    <row r="308" ht="15.75" customHeight="1">
      <c r="A308" s="1">
        <f t="shared" si="1"/>
        <v>54</v>
      </c>
      <c r="B308" s="1">
        <f t="shared" si="2"/>
        <v>18</v>
      </c>
      <c r="C308" s="1">
        <f t="shared" si="3"/>
        <v>18</v>
      </c>
      <c r="D308" s="1">
        <f t="shared" si="4"/>
        <v>18</v>
      </c>
      <c r="F308" s="1">
        <v>6.0</v>
      </c>
      <c r="G308" s="1">
        <v>9.0</v>
      </c>
    </row>
    <row r="309" ht="15.75" customHeight="1">
      <c r="A309" s="1">
        <f t="shared" si="1"/>
        <v>52</v>
      </c>
      <c r="B309" s="1">
        <f t="shared" si="2"/>
        <v>18</v>
      </c>
      <c r="C309" s="1">
        <f t="shared" si="3"/>
        <v>18</v>
      </c>
      <c r="D309" s="1">
        <f t="shared" si="4"/>
        <v>16</v>
      </c>
      <c r="F309" s="1">
        <v>6.0</v>
      </c>
      <c r="G309" s="1">
        <v>8.0</v>
      </c>
    </row>
    <row r="310" ht="15.75" customHeight="1">
      <c r="A310" s="1">
        <f t="shared" si="1"/>
        <v>50</v>
      </c>
      <c r="B310" s="1">
        <f t="shared" si="2"/>
        <v>18</v>
      </c>
      <c r="C310" s="1">
        <f t="shared" si="3"/>
        <v>18</v>
      </c>
      <c r="D310" s="1">
        <f t="shared" si="4"/>
        <v>14</v>
      </c>
      <c r="F310" s="1">
        <v>6.0</v>
      </c>
      <c r="G310" s="1">
        <v>7.0</v>
      </c>
    </row>
    <row r="311" ht="15.75" customHeight="1">
      <c r="A311" s="1">
        <f t="shared" si="1"/>
        <v>48</v>
      </c>
      <c r="B311" s="1">
        <f t="shared" si="2"/>
        <v>18</v>
      </c>
      <c r="C311" s="1">
        <f t="shared" si="3"/>
        <v>18</v>
      </c>
      <c r="D311" s="1">
        <f t="shared" si="4"/>
        <v>12</v>
      </c>
      <c r="F311" s="1">
        <v>6.0</v>
      </c>
      <c r="G311" s="1">
        <v>6.0</v>
      </c>
    </row>
    <row r="312" ht="15.75" customHeight="1">
      <c r="A312" s="1">
        <f t="shared" si="1"/>
        <v>46</v>
      </c>
      <c r="B312" s="1">
        <f t="shared" si="2"/>
        <v>18</v>
      </c>
      <c r="C312" s="1">
        <f t="shared" si="3"/>
        <v>18</v>
      </c>
      <c r="D312" s="1">
        <f t="shared" si="4"/>
        <v>10</v>
      </c>
      <c r="F312" s="1">
        <v>6.0</v>
      </c>
      <c r="G312" s="1">
        <v>5.0</v>
      </c>
    </row>
    <row r="313" ht="15.75" customHeight="1">
      <c r="A313" s="1">
        <f t="shared" si="1"/>
        <v>44</v>
      </c>
      <c r="B313" s="1">
        <f t="shared" si="2"/>
        <v>18</v>
      </c>
      <c r="C313" s="1">
        <f t="shared" si="3"/>
        <v>18</v>
      </c>
      <c r="D313" s="1">
        <f t="shared" si="4"/>
        <v>8</v>
      </c>
      <c r="F313" s="1">
        <v>6.0</v>
      </c>
      <c r="G313" s="1">
        <v>4.0</v>
      </c>
    </row>
    <row r="314" ht="15.75" customHeight="1">
      <c r="A314" s="1">
        <f t="shared" si="1"/>
        <v>42</v>
      </c>
      <c r="B314" s="1">
        <f t="shared" si="2"/>
        <v>18</v>
      </c>
      <c r="C314" s="1">
        <f t="shared" si="3"/>
        <v>18</v>
      </c>
      <c r="D314" s="1">
        <f t="shared" si="4"/>
        <v>6</v>
      </c>
      <c r="F314" s="1">
        <v>6.0</v>
      </c>
      <c r="G314" s="1">
        <v>3.0</v>
      </c>
    </row>
    <row r="315" ht="15.75" customHeight="1">
      <c r="A315" s="1">
        <f t="shared" si="1"/>
        <v>40</v>
      </c>
      <c r="B315" s="1">
        <f t="shared" si="2"/>
        <v>18</v>
      </c>
      <c r="C315" s="1">
        <f t="shared" si="3"/>
        <v>18</v>
      </c>
      <c r="D315" s="1">
        <f t="shared" si="4"/>
        <v>4</v>
      </c>
      <c r="F315" s="1">
        <v>6.0</v>
      </c>
      <c r="G315" s="1">
        <v>2.0</v>
      </c>
    </row>
    <row r="316" ht="15.75" customHeight="1">
      <c r="A316" s="1">
        <f t="shared" si="1"/>
        <v>38</v>
      </c>
      <c r="B316" s="1">
        <f t="shared" si="2"/>
        <v>18</v>
      </c>
      <c r="C316" s="1">
        <f t="shared" si="3"/>
        <v>18</v>
      </c>
      <c r="D316" s="1">
        <f t="shared" si="4"/>
        <v>2</v>
      </c>
      <c r="F316" s="1">
        <v>6.0</v>
      </c>
      <c r="G316" s="1">
        <v>1.0</v>
      </c>
    </row>
    <row r="317" ht="15.75" customHeight="1">
      <c r="A317" s="1">
        <f t="shared" si="1"/>
        <v>80</v>
      </c>
      <c r="B317" s="1">
        <f t="shared" si="2"/>
        <v>15</v>
      </c>
      <c r="C317" s="1">
        <f t="shared" si="3"/>
        <v>15</v>
      </c>
      <c r="D317" s="1">
        <f t="shared" si="4"/>
        <v>50</v>
      </c>
      <c r="F317" s="1">
        <v>5.0</v>
      </c>
      <c r="G317" s="1">
        <v>25.0</v>
      </c>
    </row>
    <row r="318" ht="15.75" customHeight="1">
      <c r="A318" s="1">
        <f t="shared" si="1"/>
        <v>70</v>
      </c>
      <c r="B318" s="1">
        <f t="shared" si="2"/>
        <v>15</v>
      </c>
      <c r="C318" s="1">
        <f t="shared" si="3"/>
        <v>15</v>
      </c>
      <c r="D318" s="1">
        <f t="shared" si="4"/>
        <v>40</v>
      </c>
      <c r="F318" s="1">
        <v>5.0</v>
      </c>
      <c r="G318" s="1">
        <v>20.0</v>
      </c>
    </row>
    <row r="319" ht="15.75" customHeight="1">
      <c r="A319" s="1">
        <f t="shared" si="1"/>
        <v>68</v>
      </c>
      <c r="B319" s="1">
        <f t="shared" si="2"/>
        <v>15</v>
      </c>
      <c r="C319" s="1">
        <f t="shared" si="3"/>
        <v>15</v>
      </c>
      <c r="D319" s="1">
        <f t="shared" si="4"/>
        <v>38</v>
      </c>
      <c r="F319" s="1">
        <v>5.0</v>
      </c>
      <c r="G319" s="1">
        <v>19.0</v>
      </c>
    </row>
    <row r="320" ht="15.75" customHeight="1">
      <c r="A320" s="1">
        <f t="shared" si="1"/>
        <v>66</v>
      </c>
      <c r="B320" s="1">
        <f t="shared" si="2"/>
        <v>15</v>
      </c>
      <c r="C320" s="1">
        <f t="shared" si="3"/>
        <v>15</v>
      </c>
      <c r="D320" s="1">
        <f t="shared" si="4"/>
        <v>36</v>
      </c>
      <c r="F320" s="1">
        <v>5.0</v>
      </c>
      <c r="G320" s="1">
        <v>18.0</v>
      </c>
    </row>
    <row r="321" ht="15.75" customHeight="1">
      <c r="A321" s="1">
        <f t="shared" si="1"/>
        <v>64</v>
      </c>
      <c r="B321" s="1">
        <f t="shared" si="2"/>
        <v>15</v>
      </c>
      <c r="C321" s="1">
        <f t="shared" si="3"/>
        <v>15</v>
      </c>
      <c r="D321" s="1">
        <f t="shared" si="4"/>
        <v>34</v>
      </c>
      <c r="F321" s="1">
        <v>5.0</v>
      </c>
      <c r="G321" s="1">
        <v>17.0</v>
      </c>
    </row>
    <row r="322" ht="15.75" customHeight="1">
      <c r="A322" s="1">
        <f t="shared" si="1"/>
        <v>62</v>
      </c>
      <c r="B322" s="1">
        <f t="shared" si="2"/>
        <v>15</v>
      </c>
      <c r="C322" s="1">
        <f t="shared" si="3"/>
        <v>15</v>
      </c>
      <c r="D322" s="1">
        <f t="shared" si="4"/>
        <v>32</v>
      </c>
      <c r="F322" s="1">
        <v>5.0</v>
      </c>
      <c r="G322" s="1">
        <v>16.0</v>
      </c>
    </row>
    <row r="323" ht="15.75" customHeight="1">
      <c r="A323" s="1">
        <f t="shared" si="1"/>
        <v>60</v>
      </c>
      <c r="B323" s="1">
        <f t="shared" si="2"/>
        <v>15</v>
      </c>
      <c r="C323" s="1">
        <f t="shared" si="3"/>
        <v>15</v>
      </c>
      <c r="D323" s="1">
        <f t="shared" si="4"/>
        <v>30</v>
      </c>
      <c r="F323" s="1">
        <v>5.0</v>
      </c>
      <c r="G323" s="1">
        <v>15.0</v>
      </c>
    </row>
    <row r="324" ht="15.75" customHeight="1">
      <c r="A324" s="1">
        <f t="shared" si="1"/>
        <v>58</v>
      </c>
      <c r="B324" s="1">
        <f t="shared" si="2"/>
        <v>15</v>
      </c>
      <c r="C324" s="1">
        <f t="shared" si="3"/>
        <v>15</v>
      </c>
      <c r="D324" s="1">
        <f t="shared" si="4"/>
        <v>28</v>
      </c>
      <c r="F324" s="1">
        <v>5.0</v>
      </c>
      <c r="G324" s="1">
        <v>14.0</v>
      </c>
    </row>
    <row r="325" ht="15.75" customHeight="1">
      <c r="A325" s="1">
        <f t="shared" si="1"/>
        <v>56</v>
      </c>
      <c r="B325" s="1">
        <f t="shared" si="2"/>
        <v>15</v>
      </c>
      <c r="C325" s="1">
        <f t="shared" si="3"/>
        <v>15</v>
      </c>
      <c r="D325" s="1">
        <f t="shared" si="4"/>
        <v>26</v>
      </c>
      <c r="F325" s="1">
        <v>5.0</v>
      </c>
      <c r="G325" s="1">
        <v>13.0</v>
      </c>
    </row>
    <row r="326" ht="15.75" customHeight="1">
      <c r="A326" s="1">
        <f t="shared" si="1"/>
        <v>54</v>
      </c>
      <c r="B326" s="1">
        <f t="shared" si="2"/>
        <v>15</v>
      </c>
      <c r="C326" s="1">
        <f t="shared" si="3"/>
        <v>15</v>
      </c>
      <c r="D326" s="1">
        <f t="shared" si="4"/>
        <v>24</v>
      </c>
      <c r="F326" s="1">
        <v>5.0</v>
      </c>
      <c r="G326" s="1">
        <v>12.0</v>
      </c>
    </row>
    <row r="327" ht="15.75" customHeight="1">
      <c r="A327" s="1">
        <f t="shared" si="1"/>
        <v>52</v>
      </c>
      <c r="B327" s="1">
        <f t="shared" si="2"/>
        <v>15</v>
      </c>
      <c r="C327" s="1">
        <f t="shared" si="3"/>
        <v>15</v>
      </c>
      <c r="D327" s="1">
        <f t="shared" si="4"/>
        <v>22</v>
      </c>
      <c r="F327" s="1">
        <v>5.0</v>
      </c>
      <c r="G327" s="1">
        <v>11.0</v>
      </c>
    </row>
    <row r="328" ht="15.75" customHeight="1">
      <c r="A328" s="1">
        <f t="shared" si="1"/>
        <v>50</v>
      </c>
      <c r="B328" s="1">
        <f t="shared" si="2"/>
        <v>15</v>
      </c>
      <c r="C328" s="1">
        <f t="shared" si="3"/>
        <v>15</v>
      </c>
      <c r="D328" s="1">
        <f t="shared" si="4"/>
        <v>20</v>
      </c>
      <c r="F328" s="1">
        <v>5.0</v>
      </c>
      <c r="G328" s="1">
        <v>10.0</v>
      </c>
    </row>
    <row r="329" ht="15.75" customHeight="1">
      <c r="A329" s="1">
        <f t="shared" si="1"/>
        <v>48</v>
      </c>
      <c r="B329" s="1">
        <f t="shared" si="2"/>
        <v>15</v>
      </c>
      <c r="C329" s="1">
        <f t="shared" si="3"/>
        <v>15</v>
      </c>
      <c r="D329" s="1">
        <f t="shared" si="4"/>
        <v>18</v>
      </c>
      <c r="F329" s="1">
        <v>5.0</v>
      </c>
      <c r="G329" s="1">
        <v>9.0</v>
      </c>
    </row>
    <row r="330" ht="15.75" customHeight="1">
      <c r="A330" s="1">
        <f t="shared" si="1"/>
        <v>46</v>
      </c>
      <c r="B330" s="1">
        <f t="shared" si="2"/>
        <v>15</v>
      </c>
      <c r="C330" s="1">
        <f t="shared" si="3"/>
        <v>15</v>
      </c>
      <c r="D330" s="1">
        <f t="shared" si="4"/>
        <v>16</v>
      </c>
      <c r="F330" s="1">
        <v>5.0</v>
      </c>
      <c r="G330" s="1">
        <v>8.0</v>
      </c>
    </row>
    <row r="331" ht="15.75" customHeight="1">
      <c r="A331" s="1">
        <f t="shared" si="1"/>
        <v>44</v>
      </c>
      <c r="B331" s="1">
        <f t="shared" si="2"/>
        <v>15</v>
      </c>
      <c r="C331" s="1">
        <f t="shared" si="3"/>
        <v>15</v>
      </c>
      <c r="D331" s="1">
        <f t="shared" si="4"/>
        <v>14</v>
      </c>
      <c r="F331" s="1">
        <v>5.0</v>
      </c>
      <c r="G331" s="1">
        <v>7.0</v>
      </c>
    </row>
    <row r="332" ht="15.75" customHeight="1">
      <c r="A332" s="1">
        <f t="shared" si="1"/>
        <v>42</v>
      </c>
      <c r="B332" s="1">
        <f t="shared" si="2"/>
        <v>15</v>
      </c>
      <c r="C332" s="1">
        <f t="shared" si="3"/>
        <v>15</v>
      </c>
      <c r="D332" s="1">
        <f t="shared" si="4"/>
        <v>12</v>
      </c>
      <c r="F332" s="1">
        <v>5.0</v>
      </c>
      <c r="G332" s="1">
        <v>6.0</v>
      </c>
    </row>
    <row r="333" ht="15.75" customHeight="1">
      <c r="A333" s="1">
        <f t="shared" si="1"/>
        <v>40</v>
      </c>
      <c r="B333" s="1">
        <f t="shared" si="2"/>
        <v>15</v>
      </c>
      <c r="C333" s="1">
        <f t="shared" si="3"/>
        <v>15</v>
      </c>
      <c r="D333" s="1">
        <f t="shared" si="4"/>
        <v>10</v>
      </c>
      <c r="F333" s="1">
        <v>5.0</v>
      </c>
      <c r="G333" s="1">
        <v>5.0</v>
      </c>
    </row>
    <row r="334" ht="15.75" customHeight="1">
      <c r="A334" s="1">
        <f t="shared" si="1"/>
        <v>38</v>
      </c>
      <c r="B334" s="1">
        <f t="shared" si="2"/>
        <v>15</v>
      </c>
      <c r="C334" s="1">
        <f t="shared" si="3"/>
        <v>15</v>
      </c>
      <c r="D334" s="1">
        <f t="shared" si="4"/>
        <v>8</v>
      </c>
      <c r="F334" s="1">
        <v>5.0</v>
      </c>
      <c r="G334" s="1">
        <v>4.0</v>
      </c>
    </row>
    <row r="335" ht="15.75" customHeight="1">
      <c r="A335" s="1">
        <f t="shared" si="1"/>
        <v>36</v>
      </c>
      <c r="B335" s="1">
        <f t="shared" si="2"/>
        <v>15</v>
      </c>
      <c r="C335" s="1">
        <f t="shared" si="3"/>
        <v>15</v>
      </c>
      <c r="D335" s="1">
        <f t="shared" si="4"/>
        <v>6</v>
      </c>
      <c r="F335" s="1">
        <v>5.0</v>
      </c>
      <c r="G335" s="1">
        <v>3.0</v>
      </c>
    </row>
    <row r="336" ht="15.75" customHeight="1">
      <c r="A336" s="1">
        <f t="shared" si="1"/>
        <v>34</v>
      </c>
      <c r="B336" s="1">
        <f t="shared" si="2"/>
        <v>15</v>
      </c>
      <c r="C336" s="1">
        <f t="shared" si="3"/>
        <v>15</v>
      </c>
      <c r="D336" s="1">
        <f t="shared" si="4"/>
        <v>4</v>
      </c>
      <c r="F336" s="1">
        <v>5.0</v>
      </c>
      <c r="G336" s="1">
        <v>2.0</v>
      </c>
    </row>
    <row r="337" ht="15.75" customHeight="1">
      <c r="A337" s="1">
        <f t="shared" si="1"/>
        <v>32</v>
      </c>
      <c r="B337" s="1">
        <f t="shared" si="2"/>
        <v>15</v>
      </c>
      <c r="C337" s="1">
        <f t="shared" si="3"/>
        <v>15</v>
      </c>
      <c r="D337" s="1">
        <f t="shared" si="4"/>
        <v>2</v>
      </c>
      <c r="F337" s="1">
        <v>5.0</v>
      </c>
      <c r="G337" s="1">
        <v>1.0</v>
      </c>
    </row>
    <row r="338" ht="15.75" customHeight="1">
      <c r="A338" s="1">
        <f t="shared" si="1"/>
        <v>74</v>
      </c>
      <c r="B338" s="1">
        <f t="shared" si="2"/>
        <v>12</v>
      </c>
      <c r="C338" s="1">
        <f t="shared" si="3"/>
        <v>12</v>
      </c>
      <c r="D338" s="1">
        <f t="shared" si="4"/>
        <v>50</v>
      </c>
      <c r="F338" s="1">
        <v>4.0</v>
      </c>
      <c r="G338" s="1">
        <v>25.0</v>
      </c>
    </row>
    <row r="339" ht="15.75" customHeight="1">
      <c r="A339" s="1">
        <f t="shared" si="1"/>
        <v>64</v>
      </c>
      <c r="B339" s="1">
        <f t="shared" si="2"/>
        <v>12</v>
      </c>
      <c r="C339" s="1">
        <f t="shared" si="3"/>
        <v>12</v>
      </c>
      <c r="D339" s="1">
        <f t="shared" si="4"/>
        <v>40</v>
      </c>
      <c r="F339" s="1">
        <v>4.0</v>
      </c>
      <c r="G339" s="1">
        <v>20.0</v>
      </c>
    </row>
    <row r="340" ht="15.75" customHeight="1">
      <c r="A340" s="1">
        <f t="shared" si="1"/>
        <v>62</v>
      </c>
      <c r="B340" s="1">
        <f t="shared" si="2"/>
        <v>12</v>
      </c>
      <c r="C340" s="1">
        <f t="shared" si="3"/>
        <v>12</v>
      </c>
      <c r="D340" s="1">
        <f t="shared" si="4"/>
        <v>38</v>
      </c>
      <c r="F340" s="1">
        <v>4.0</v>
      </c>
      <c r="G340" s="1">
        <v>19.0</v>
      </c>
    </row>
    <row r="341" ht="15.75" customHeight="1">
      <c r="A341" s="1">
        <f t="shared" si="1"/>
        <v>60</v>
      </c>
      <c r="B341" s="1">
        <f t="shared" si="2"/>
        <v>12</v>
      </c>
      <c r="C341" s="1">
        <f t="shared" si="3"/>
        <v>12</v>
      </c>
      <c r="D341" s="1">
        <f t="shared" si="4"/>
        <v>36</v>
      </c>
      <c r="F341" s="1">
        <v>4.0</v>
      </c>
      <c r="G341" s="1">
        <v>18.0</v>
      </c>
    </row>
    <row r="342" ht="15.75" customHeight="1">
      <c r="A342" s="1">
        <f t="shared" si="1"/>
        <v>58</v>
      </c>
      <c r="B342" s="1">
        <f t="shared" si="2"/>
        <v>12</v>
      </c>
      <c r="C342" s="1">
        <f t="shared" si="3"/>
        <v>12</v>
      </c>
      <c r="D342" s="1">
        <f t="shared" si="4"/>
        <v>34</v>
      </c>
      <c r="F342" s="1">
        <v>4.0</v>
      </c>
      <c r="G342" s="1">
        <v>17.0</v>
      </c>
    </row>
    <row r="343" ht="15.75" customHeight="1">
      <c r="A343" s="1">
        <f t="shared" si="1"/>
        <v>56</v>
      </c>
      <c r="B343" s="1">
        <f t="shared" si="2"/>
        <v>12</v>
      </c>
      <c r="C343" s="1">
        <f t="shared" si="3"/>
        <v>12</v>
      </c>
      <c r="D343" s="1">
        <f t="shared" si="4"/>
        <v>32</v>
      </c>
      <c r="F343" s="1">
        <v>4.0</v>
      </c>
      <c r="G343" s="1">
        <v>16.0</v>
      </c>
    </row>
    <row r="344" ht="15.75" customHeight="1">
      <c r="A344" s="1">
        <f t="shared" si="1"/>
        <v>54</v>
      </c>
      <c r="B344" s="1">
        <f t="shared" si="2"/>
        <v>12</v>
      </c>
      <c r="C344" s="1">
        <f t="shared" si="3"/>
        <v>12</v>
      </c>
      <c r="D344" s="1">
        <f t="shared" si="4"/>
        <v>30</v>
      </c>
      <c r="F344" s="1">
        <v>4.0</v>
      </c>
      <c r="G344" s="1">
        <v>15.0</v>
      </c>
    </row>
    <row r="345" ht="15.75" customHeight="1">
      <c r="A345" s="1">
        <f t="shared" si="1"/>
        <v>52</v>
      </c>
      <c r="B345" s="1">
        <f t="shared" si="2"/>
        <v>12</v>
      </c>
      <c r="C345" s="1">
        <f t="shared" si="3"/>
        <v>12</v>
      </c>
      <c r="D345" s="1">
        <f t="shared" si="4"/>
        <v>28</v>
      </c>
      <c r="F345" s="1">
        <v>4.0</v>
      </c>
      <c r="G345" s="1">
        <v>14.0</v>
      </c>
    </row>
    <row r="346" ht="15.75" customHeight="1">
      <c r="A346" s="1">
        <f t="shared" si="1"/>
        <v>50</v>
      </c>
      <c r="B346" s="1">
        <f t="shared" si="2"/>
        <v>12</v>
      </c>
      <c r="C346" s="1">
        <f t="shared" si="3"/>
        <v>12</v>
      </c>
      <c r="D346" s="1">
        <f t="shared" si="4"/>
        <v>26</v>
      </c>
      <c r="F346" s="1">
        <v>4.0</v>
      </c>
      <c r="G346" s="1">
        <v>13.0</v>
      </c>
    </row>
    <row r="347" ht="15.75" customHeight="1">
      <c r="A347" s="1">
        <f t="shared" si="1"/>
        <v>48</v>
      </c>
      <c r="B347" s="1">
        <f t="shared" si="2"/>
        <v>12</v>
      </c>
      <c r="C347" s="1">
        <f t="shared" si="3"/>
        <v>12</v>
      </c>
      <c r="D347" s="1">
        <f t="shared" si="4"/>
        <v>24</v>
      </c>
      <c r="F347" s="1">
        <v>4.0</v>
      </c>
      <c r="G347" s="1">
        <v>12.0</v>
      </c>
    </row>
    <row r="348" ht="15.75" customHeight="1">
      <c r="A348" s="1">
        <f t="shared" si="1"/>
        <v>46</v>
      </c>
      <c r="B348" s="1">
        <f t="shared" si="2"/>
        <v>12</v>
      </c>
      <c r="C348" s="1">
        <f t="shared" si="3"/>
        <v>12</v>
      </c>
      <c r="D348" s="1">
        <f t="shared" si="4"/>
        <v>22</v>
      </c>
      <c r="F348" s="1">
        <v>4.0</v>
      </c>
      <c r="G348" s="1">
        <v>11.0</v>
      </c>
    </row>
    <row r="349" ht="15.75" customHeight="1">
      <c r="A349" s="1">
        <f t="shared" si="1"/>
        <v>44</v>
      </c>
      <c r="B349" s="1">
        <f t="shared" si="2"/>
        <v>12</v>
      </c>
      <c r="C349" s="1">
        <f t="shared" si="3"/>
        <v>12</v>
      </c>
      <c r="D349" s="1">
        <f t="shared" si="4"/>
        <v>20</v>
      </c>
      <c r="F349" s="1">
        <v>4.0</v>
      </c>
      <c r="G349" s="1">
        <v>10.0</v>
      </c>
    </row>
    <row r="350" ht="15.75" customHeight="1">
      <c r="A350" s="1">
        <f t="shared" si="1"/>
        <v>42</v>
      </c>
      <c r="B350" s="1">
        <f t="shared" si="2"/>
        <v>12</v>
      </c>
      <c r="C350" s="1">
        <f t="shared" si="3"/>
        <v>12</v>
      </c>
      <c r="D350" s="1">
        <f t="shared" si="4"/>
        <v>18</v>
      </c>
      <c r="F350" s="1">
        <v>4.0</v>
      </c>
      <c r="G350" s="1">
        <v>9.0</v>
      </c>
    </row>
    <row r="351" ht="15.75" customHeight="1">
      <c r="A351" s="1">
        <f t="shared" si="1"/>
        <v>40</v>
      </c>
      <c r="B351" s="1">
        <f t="shared" si="2"/>
        <v>12</v>
      </c>
      <c r="C351" s="1">
        <f t="shared" si="3"/>
        <v>12</v>
      </c>
      <c r="D351" s="1">
        <f t="shared" si="4"/>
        <v>16</v>
      </c>
      <c r="F351" s="1">
        <v>4.0</v>
      </c>
      <c r="G351" s="1">
        <v>8.0</v>
      </c>
    </row>
    <row r="352" ht="15.75" customHeight="1">
      <c r="A352" s="1">
        <f t="shared" si="1"/>
        <v>38</v>
      </c>
      <c r="B352" s="1">
        <f t="shared" si="2"/>
        <v>12</v>
      </c>
      <c r="C352" s="1">
        <f t="shared" si="3"/>
        <v>12</v>
      </c>
      <c r="D352" s="1">
        <f t="shared" si="4"/>
        <v>14</v>
      </c>
      <c r="F352" s="1">
        <v>4.0</v>
      </c>
      <c r="G352" s="1">
        <v>7.0</v>
      </c>
    </row>
    <row r="353" ht="15.75" customHeight="1">
      <c r="A353" s="1">
        <f t="shared" si="1"/>
        <v>36</v>
      </c>
      <c r="B353" s="1">
        <f t="shared" si="2"/>
        <v>12</v>
      </c>
      <c r="C353" s="1">
        <f t="shared" si="3"/>
        <v>12</v>
      </c>
      <c r="D353" s="1">
        <f t="shared" si="4"/>
        <v>12</v>
      </c>
      <c r="F353" s="1">
        <v>4.0</v>
      </c>
      <c r="G353" s="1">
        <v>6.0</v>
      </c>
    </row>
    <row r="354" ht="15.75" customHeight="1">
      <c r="A354" s="1">
        <f t="shared" si="1"/>
        <v>34</v>
      </c>
      <c r="B354" s="1">
        <f t="shared" si="2"/>
        <v>12</v>
      </c>
      <c r="C354" s="1">
        <f t="shared" si="3"/>
        <v>12</v>
      </c>
      <c r="D354" s="1">
        <f t="shared" si="4"/>
        <v>10</v>
      </c>
      <c r="F354" s="1">
        <v>4.0</v>
      </c>
      <c r="G354" s="1">
        <v>5.0</v>
      </c>
    </row>
    <row r="355" ht="15.75" customHeight="1">
      <c r="A355" s="1">
        <f t="shared" si="1"/>
        <v>32</v>
      </c>
      <c r="B355" s="1">
        <f t="shared" si="2"/>
        <v>12</v>
      </c>
      <c r="C355" s="1">
        <f t="shared" si="3"/>
        <v>12</v>
      </c>
      <c r="D355" s="1">
        <f t="shared" si="4"/>
        <v>8</v>
      </c>
      <c r="F355" s="1">
        <v>4.0</v>
      </c>
      <c r="G355" s="1">
        <v>4.0</v>
      </c>
    </row>
    <row r="356" ht="15.75" customHeight="1">
      <c r="A356" s="1">
        <f t="shared" si="1"/>
        <v>30</v>
      </c>
      <c r="B356" s="1">
        <f t="shared" si="2"/>
        <v>12</v>
      </c>
      <c r="C356" s="1">
        <f t="shared" si="3"/>
        <v>12</v>
      </c>
      <c r="D356" s="1">
        <f t="shared" si="4"/>
        <v>6</v>
      </c>
      <c r="F356" s="1">
        <v>4.0</v>
      </c>
      <c r="G356" s="1">
        <v>3.0</v>
      </c>
    </row>
    <row r="357" ht="15.75" customHeight="1">
      <c r="A357" s="1">
        <f t="shared" si="1"/>
        <v>28</v>
      </c>
      <c r="B357" s="1">
        <f t="shared" si="2"/>
        <v>12</v>
      </c>
      <c r="C357" s="1">
        <f t="shared" si="3"/>
        <v>12</v>
      </c>
      <c r="D357" s="1">
        <f t="shared" si="4"/>
        <v>4</v>
      </c>
      <c r="F357" s="1">
        <v>4.0</v>
      </c>
      <c r="G357" s="1">
        <v>2.0</v>
      </c>
    </row>
    <row r="358" ht="15.75" customHeight="1">
      <c r="A358" s="1">
        <f t="shared" si="1"/>
        <v>26</v>
      </c>
      <c r="B358" s="1">
        <f t="shared" si="2"/>
        <v>12</v>
      </c>
      <c r="C358" s="1">
        <f t="shared" si="3"/>
        <v>12</v>
      </c>
      <c r="D358" s="1">
        <f t="shared" si="4"/>
        <v>2</v>
      </c>
      <c r="F358" s="1">
        <v>4.0</v>
      </c>
      <c r="G358" s="1">
        <v>1.0</v>
      </c>
    </row>
    <row r="359" ht="15.75" customHeight="1">
      <c r="A359" s="1">
        <f t="shared" si="1"/>
        <v>68</v>
      </c>
      <c r="B359" s="1">
        <f t="shared" si="2"/>
        <v>9</v>
      </c>
      <c r="C359" s="1">
        <f t="shared" si="3"/>
        <v>9</v>
      </c>
      <c r="D359" s="1">
        <f t="shared" si="4"/>
        <v>50</v>
      </c>
      <c r="F359" s="1">
        <v>3.0</v>
      </c>
      <c r="G359" s="1">
        <v>25.0</v>
      </c>
    </row>
    <row r="360" ht="15.75" customHeight="1">
      <c r="A360" s="1">
        <f t="shared" si="1"/>
        <v>58</v>
      </c>
      <c r="B360" s="1">
        <f t="shared" si="2"/>
        <v>9</v>
      </c>
      <c r="C360" s="1">
        <f t="shared" si="3"/>
        <v>9</v>
      </c>
      <c r="D360" s="1">
        <f t="shared" si="4"/>
        <v>40</v>
      </c>
      <c r="F360" s="1">
        <v>3.0</v>
      </c>
      <c r="G360" s="1">
        <v>20.0</v>
      </c>
    </row>
    <row r="361" ht="15.75" customHeight="1">
      <c r="A361" s="1">
        <f t="shared" si="1"/>
        <v>56</v>
      </c>
      <c r="B361" s="1">
        <f t="shared" si="2"/>
        <v>9</v>
      </c>
      <c r="C361" s="1">
        <f t="shared" si="3"/>
        <v>9</v>
      </c>
      <c r="D361" s="1">
        <f t="shared" si="4"/>
        <v>38</v>
      </c>
      <c r="F361" s="1">
        <v>3.0</v>
      </c>
      <c r="G361" s="1">
        <v>19.0</v>
      </c>
    </row>
    <row r="362" ht="15.75" customHeight="1">
      <c r="A362" s="1">
        <f t="shared" si="1"/>
        <v>54</v>
      </c>
      <c r="B362" s="1">
        <f t="shared" si="2"/>
        <v>9</v>
      </c>
      <c r="C362" s="1">
        <f t="shared" si="3"/>
        <v>9</v>
      </c>
      <c r="D362" s="1">
        <f t="shared" si="4"/>
        <v>36</v>
      </c>
      <c r="F362" s="1">
        <v>3.0</v>
      </c>
      <c r="G362" s="1">
        <v>18.0</v>
      </c>
    </row>
    <row r="363" ht="15.75" customHeight="1">
      <c r="A363" s="1">
        <f t="shared" si="1"/>
        <v>52</v>
      </c>
      <c r="B363" s="1">
        <f t="shared" si="2"/>
        <v>9</v>
      </c>
      <c r="C363" s="1">
        <f t="shared" si="3"/>
        <v>9</v>
      </c>
      <c r="D363" s="1">
        <f t="shared" si="4"/>
        <v>34</v>
      </c>
      <c r="F363" s="1">
        <v>3.0</v>
      </c>
      <c r="G363" s="1">
        <v>17.0</v>
      </c>
    </row>
    <row r="364" ht="15.75" customHeight="1">
      <c r="A364" s="1">
        <f t="shared" si="1"/>
        <v>50</v>
      </c>
      <c r="B364" s="1">
        <f t="shared" si="2"/>
        <v>9</v>
      </c>
      <c r="C364" s="1">
        <f t="shared" si="3"/>
        <v>9</v>
      </c>
      <c r="D364" s="1">
        <f t="shared" si="4"/>
        <v>32</v>
      </c>
      <c r="F364" s="1">
        <v>3.0</v>
      </c>
      <c r="G364" s="1">
        <v>16.0</v>
      </c>
    </row>
    <row r="365" ht="15.75" customHeight="1">
      <c r="A365" s="1">
        <f t="shared" si="1"/>
        <v>48</v>
      </c>
      <c r="B365" s="1">
        <f t="shared" si="2"/>
        <v>9</v>
      </c>
      <c r="C365" s="1">
        <f t="shared" si="3"/>
        <v>9</v>
      </c>
      <c r="D365" s="1">
        <f t="shared" si="4"/>
        <v>30</v>
      </c>
      <c r="F365" s="1">
        <v>3.0</v>
      </c>
      <c r="G365" s="1">
        <v>15.0</v>
      </c>
    </row>
    <row r="366" ht="15.75" customHeight="1">
      <c r="A366" s="1">
        <f t="shared" si="1"/>
        <v>46</v>
      </c>
      <c r="B366" s="1">
        <f t="shared" si="2"/>
        <v>9</v>
      </c>
      <c r="C366" s="1">
        <f t="shared" si="3"/>
        <v>9</v>
      </c>
      <c r="D366" s="1">
        <f t="shared" si="4"/>
        <v>28</v>
      </c>
      <c r="F366" s="1">
        <v>3.0</v>
      </c>
      <c r="G366" s="1">
        <v>14.0</v>
      </c>
    </row>
    <row r="367" ht="15.75" customHeight="1">
      <c r="A367" s="1">
        <f t="shared" si="1"/>
        <v>44</v>
      </c>
      <c r="B367" s="1">
        <f t="shared" si="2"/>
        <v>9</v>
      </c>
      <c r="C367" s="1">
        <f t="shared" si="3"/>
        <v>9</v>
      </c>
      <c r="D367" s="1">
        <f t="shared" si="4"/>
        <v>26</v>
      </c>
      <c r="F367" s="1">
        <v>3.0</v>
      </c>
      <c r="G367" s="1">
        <v>13.0</v>
      </c>
    </row>
    <row r="368" ht="15.75" customHeight="1">
      <c r="A368" s="1">
        <f t="shared" si="1"/>
        <v>42</v>
      </c>
      <c r="B368" s="1">
        <f t="shared" si="2"/>
        <v>9</v>
      </c>
      <c r="C368" s="1">
        <f t="shared" si="3"/>
        <v>9</v>
      </c>
      <c r="D368" s="1">
        <f t="shared" si="4"/>
        <v>24</v>
      </c>
      <c r="F368" s="1">
        <v>3.0</v>
      </c>
      <c r="G368" s="1">
        <v>12.0</v>
      </c>
    </row>
    <row r="369" ht="15.75" customHeight="1">
      <c r="A369" s="1">
        <f t="shared" si="1"/>
        <v>40</v>
      </c>
      <c r="B369" s="1">
        <f t="shared" si="2"/>
        <v>9</v>
      </c>
      <c r="C369" s="1">
        <f t="shared" si="3"/>
        <v>9</v>
      </c>
      <c r="D369" s="1">
        <f t="shared" si="4"/>
        <v>22</v>
      </c>
      <c r="F369" s="1">
        <v>3.0</v>
      </c>
      <c r="G369" s="1">
        <v>11.0</v>
      </c>
    </row>
    <row r="370" ht="15.75" customHeight="1">
      <c r="A370" s="1">
        <f t="shared" si="1"/>
        <v>38</v>
      </c>
      <c r="B370" s="1">
        <f t="shared" si="2"/>
        <v>9</v>
      </c>
      <c r="C370" s="1">
        <f t="shared" si="3"/>
        <v>9</v>
      </c>
      <c r="D370" s="1">
        <f t="shared" si="4"/>
        <v>20</v>
      </c>
      <c r="F370" s="1">
        <v>3.0</v>
      </c>
      <c r="G370" s="1">
        <v>10.0</v>
      </c>
    </row>
    <row r="371" ht="15.75" customHeight="1">
      <c r="A371" s="1">
        <f t="shared" si="1"/>
        <v>36</v>
      </c>
      <c r="B371" s="1">
        <f t="shared" si="2"/>
        <v>9</v>
      </c>
      <c r="C371" s="1">
        <f t="shared" si="3"/>
        <v>9</v>
      </c>
      <c r="D371" s="1">
        <f t="shared" si="4"/>
        <v>18</v>
      </c>
      <c r="F371" s="1">
        <v>3.0</v>
      </c>
      <c r="G371" s="1">
        <v>9.0</v>
      </c>
    </row>
    <row r="372" ht="15.75" customHeight="1">
      <c r="A372" s="1">
        <f t="shared" si="1"/>
        <v>34</v>
      </c>
      <c r="B372" s="1">
        <f t="shared" si="2"/>
        <v>9</v>
      </c>
      <c r="C372" s="1">
        <f t="shared" si="3"/>
        <v>9</v>
      </c>
      <c r="D372" s="1">
        <f t="shared" si="4"/>
        <v>16</v>
      </c>
      <c r="F372" s="1">
        <v>3.0</v>
      </c>
      <c r="G372" s="1">
        <v>8.0</v>
      </c>
    </row>
    <row r="373" ht="15.75" customHeight="1">
      <c r="A373" s="1">
        <f t="shared" si="1"/>
        <v>32</v>
      </c>
      <c r="B373" s="1">
        <f t="shared" si="2"/>
        <v>9</v>
      </c>
      <c r="C373" s="1">
        <f t="shared" si="3"/>
        <v>9</v>
      </c>
      <c r="D373" s="1">
        <f t="shared" si="4"/>
        <v>14</v>
      </c>
      <c r="F373" s="1">
        <v>3.0</v>
      </c>
      <c r="G373" s="1">
        <v>7.0</v>
      </c>
    </row>
    <row r="374" ht="15.75" customHeight="1">
      <c r="A374" s="1">
        <f t="shared" si="1"/>
        <v>30</v>
      </c>
      <c r="B374" s="1">
        <f t="shared" si="2"/>
        <v>9</v>
      </c>
      <c r="C374" s="1">
        <f t="shared" si="3"/>
        <v>9</v>
      </c>
      <c r="D374" s="1">
        <f t="shared" si="4"/>
        <v>12</v>
      </c>
      <c r="F374" s="1">
        <v>3.0</v>
      </c>
      <c r="G374" s="1">
        <v>6.0</v>
      </c>
    </row>
    <row r="375" ht="15.75" customHeight="1">
      <c r="A375" s="1">
        <f t="shared" si="1"/>
        <v>28</v>
      </c>
      <c r="B375" s="1">
        <f t="shared" si="2"/>
        <v>9</v>
      </c>
      <c r="C375" s="1">
        <f t="shared" si="3"/>
        <v>9</v>
      </c>
      <c r="D375" s="1">
        <f t="shared" si="4"/>
        <v>10</v>
      </c>
      <c r="F375" s="1">
        <v>3.0</v>
      </c>
      <c r="G375" s="1">
        <v>5.0</v>
      </c>
    </row>
    <row r="376" ht="15.75" customHeight="1">
      <c r="A376" s="1">
        <f t="shared" si="1"/>
        <v>26</v>
      </c>
      <c r="B376" s="1">
        <f t="shared" si="2"/>
        <v>9</v>
      </c>
      <c r="C376" s="1">
        <f t="shared" si="3"/>
        <v>9</v>
      </c>
      <c r="D376" s="1">
        <f t="shared" si="4"/>
        <v>8</v>
      </c>
      <c r="F376" s="1">
        <v>3.0</v>
      </c>
      <c r="G376" s="1">
        <v>4.0</v>
      </c>
    </row>
    <row r="377" ht="15.75" customHeight="1">
      <c r="A377" s="1">
        <f t="shared" si="1"/>
        <v>24</v>
      </c>
      <c r="B377" s="1">
        <f t="shared" si="2"/>
        <v>9</v>
      </c>
      <c r="C377" s="1">
        <f t="shared" si="3"/>
        <v>9</v>
      </c>
      <c r="D377" s="1">
        <f t="shared" si="4"/>
        <v>6</v>
      </c>
      <c r="F377" s="1">
        <v>3.0</v>
      </c>
      <c r="G377" s="1">
        <v>3.0</v>
      </c>
    </row>
    <row r="378" ht="15.75" customHeight="1">
      <c r="A378" s="1">
        <f t="shared" si="1"/>
        <v>22</v>
      </c>
      <c r="B378" s="1">
        <f t="shared" si="2"/>
        <v>9</v>
      </c>
      <c r="C378" s="1">
        <f t="shared" si="3"/>
        <v>9</v>
      </c>
      <c r="D378" s="1">
        <f t="shared" si="4"/>
        <v>4</v>
      </c>
      <c r="F378" s="1">
        <v>3.0</v>
      </c>
      <c r="G378" s="1">
        <v>2.0</v>
      </c>
    </row>
    <row r="379" ht="15.75" customHeight="1">
      <c r="A379" s="1">
        <f t="shared" si="1"/>
        <v>20</v>
      </c>
      <c r="B379" s="1">
        <f t="shared" si="2"/>
        <v>9</v>
      </c>
      <c r="C379" s="1">
        <f t="shared" si="3"/>
        <v>9</v>
      </c>
      <c r="D379" s="1">
        <f t="shared" si="4"/>
        <v>2</v>
      </c>
      <c r="F379" s="1">
        <v>3.0</v>
      </c>
      <c r="G379" s="1">
        <v>1.0</v>
      </c>
    </row>
    <row r="380" ht="15.75" customHeight="1">
      <c r="A380" s="1">
        <f t="shared" si="1"/>
        <v>62</v>
      </c>
      <c r="B380" s="1">
        <f t="shared" si="2"/>
        <v>6</v>
      </c>
      <c r="C380" s="1">
        <f t="shared" si="3"/>
        <v>6</v>
      </c>
      <c r="D380" s="1">
        <f t="shared" si="4"/>
        <v>50</v>
      </c>
      <c r="F380" s="1">
        <v>2.0</v>
      </c>
      <c r="G380" s="1">
        <v>25.0</v>
      </c>
    </row>
    <row r="381" ht="15.75" customHeight="1">
      <c r="A381" s="1">
        <f t="shared" si="1"/>
        <v>52</v>
      </c>
      <c r="B381" s="1">
        <f t="shared" si="2"/>
        <v>6</v>
      </c>
      <c r="C381" s="1">
        <f t="shared" si="3"/>
        <v>6</v>
      </c>
      <c r="D381" s="1">
        <f t="shared" si="4"/>
        <v>40</v>
      </c>
      <c r="F381" s="1">
        <v>2.0</v>
      </c>
      <c r="G381" s="1">
        <v>20.0</v>
      </c>
    </row>
    <row r="382" ht="15.75" customHeight="1">
      <c r="A382" s="1">
        <f t="shared" si="1"/>
        <v>50</v>
      </c>
      <c r="B382" s="1">
        <f t="shared" si="2"/>
        <v>6</v>
      </c>
      <c r="C382" s="1">
        <f t="shared" si="3"/>
        <v>6</v>
      </c>
      <c r="D382" s="1">
        <f t="shared" si="4"/>
        <v>38</v>
      </c>
      <c r="F382" s="1">
        <v>2.0</v>
      </c>
      <c r="G382" s="1">
        <v>19.0</v>
      </c>
    </row>
    <row r="383" ht="15.75" customHeight="1">
      <c r="A383" s="1">
        <f t="shared" si="1"/>
        <v>48</v>
      </c>
      <c r="B383" s="1">
        <f t="shared" si="2"/>
        <v>6</v>
      </c>
      <c r="C383" s="1">
        <f t="shared" si="3"/>
        <v>6</v>
      </c>
      <c r="D383" s="1">
        <f t="shared" si="4"/>
        <v>36</v>
      </c>
      <c r="F383" s="1">
        <v>2.0</v>
      </c>
      <c r="G383" s="1">
        <v>18.0</v>
      </c>
    </row>
    <row r="384" ht="15.75" customHeight="1">
      <c r="A384" s="1">
        <f t="shared" si="1"/>
        <v>46</v>
      </c>
      <c r="B384" s="1">
        <f t="shared" si="2"/>
        <v>6</v>
      </c>
      <c r="C384" s="1">
        <f t="shared" si="3"/>
        <v>6</v>
      </c>
      <c r="D384" s="1">
        <f t="shared" si="4"/>
        <v>34</v>
      </c>
      <c r="F384" s="1">
        <v>2.0</v>
      </c>
      <c r="G384" s="1">
        <v>17.0</v>
      </c>
    </row>
    <row r="385" ht="15.75" customHeight="1">
      <c r="A385" s="1">
        <f t="shared" si="1"/>
        <v>44</v>
      </c>
      <c r="B385" s="1">
        <f t="shared" si="2"/>
        <v>6</v>
      </c>
      <c r="C385" s="1">
        <f t="shared" si="3"/>
        <v>6</v>
      </c>
      <c r="D385" s="1">
        <f t="shared" si="4"/>
        <v>32</v>
      </c>
      <c r="F385" s="1">
        <v>2.0</v>
      </c>
      <c r="G385" s="1">
        <v>16.0</v>
      </c>
    </row>
    <row r="386" ht="15.75" customHeight="1">
      <c r="A386" s="1">
        <f t="shared" si="1"/>
        <v>42</v>
      </c>
      <c r="B386" s="1">
        <f t="shared" si="2"/>
        <v>6</v>
      </c>
      <c r="C386" s="1">
        <f t="shared" si="3"/>
        <v>6</v>
      </c>
      <c r="D386" s="1">
        <f t="shared" si="4"/>
        <v>30</v>
      </c>
      <c r="F386" s="1">
        <v>2.0</v>
      </c>
      <c r="G386" s="1">
        <v>15.0</v>
      </c>
    </row>
    <row r="387" ht="15.75" customHeight="1">
      <c r="A387" s="1">
        <f t="shared" si="1"/>
        <v>40</v>
      </c>
      <c r="B387" s="1">
        <f t="shared" si="2"/>
        <v>6</v>
      </c>
      <c r="C387" s="1">
        <f t="shared" si="3"/>
        <v>6</v>
      </c>
      <c r="D387" s="1">
        <f t="shared" si="4"/>
        <v>28</v>
      </c>
      <c r="F387" s="1">
        <v>2.0</v>
      </c>
      <c r="G387" s="1">
        <v>14.0</v>
      </c>
    </row>
    <row r="388" ht="15.75" customHeight="1">
      <c r="A388" s="1">
        <f t="shared" si="1"/>
        <v>38</v>
      </c>
      <c r="B388" s="1">
        <f t="shared" si="2"/>
        <v>6</v>
      </c>
      <c r="C388" s="1">
        <f t="shared" si="3"/>
        <v>6</v>
      </c>
      <c r="D388" s="1">
        <f t="shared" si="4"/>
        <v>26</v>
      </c>
      <c r="F388" s="1">
        <v>2.0</v>
      </c>
      <c r="G388" s="1">
        <v>13.0</v>
      </c>
    </row>
    <row r="389" ht="15.75" customHeight="1">
      <c r="A389" s="1">
        <f t="shared" si="1"/>
        <v>36</v>
      </c>
      <c r="B389" s="1">
        <f t="shared" si="2"/>
        <v>6</v>
      </c>
      <c r="C389" s="1">
        <f t="shared" si="3"/>
        <v>6</v>
      </c>
      <c r="D389" s="1">
        <f t="shared" si="4"/>
        <v>24</v>
      </c>
      <c r="F389" s="1">
        <v>2.0</v>
      </c>
      <c r="G389" s="1">
        <v>12.0</v>
      </c>
    </row>
    <row r="390" ht="15.75" customHeight="1">
      <c r="A390" s="1">
        <f t="shared" si="1"/>
        <v>34</v>
      </c>
      <c r="B390" s="1">
        <f t="shared" si="2"/>
        <v>6</v>
      </c>
      <c r="C390" s="1">
        <f t="shared" si="3"/>
        <v>6</v>
      </c>
      <c r="D390" s="1">
        <f t="shared" si="4"/>
        <v>22</v>
      </c>
      <c r="F390" s="1">
        <v>2.0</v>
      </c>
      <c r="G390" s="1">
        <v>11.0</v>
      </c>
    </row>
    <row r="391" ht="15.75" customHeight="1">
      <c r="A391" s="1">
        <f t="shared" si="1"/>
        <v>32</v>
      </c>
      <c r="B391" s="1">
        <f t="shared" si="2"/>
        <v>6</v>
      </c>
      <c r="C391" s="1">
        <f t="shared" si="3"/>
        <v>6</v>
      </c>
      <c r="D391" s="1">
        <f t="shared" si="4"/>
        <v>20</v>
      </c>
      <c r="F391" s="1">
        <v>2.0</v>
      </c>
      <c r="G391" s="1">
        <v>10.0</v>
      </c>
    </row>
    <row r="392" ht="15.75" customHeight="1">
      <c r="A392" s="1">
        <f t="shared" si="1"/>
        <v>30</v>
      </c>
      <c r="B392" s="1">
        <f t="shared" si="2"/>
        <v>6</v>
      </c>
      <c r="C392" s="1">
        <f t="shared" si="3"/>
        <v>6</v>
      </c>
      <c r="D392" s="1">
        <f t="shared" si="4"/>
        <v>18</v>
      </c>
      <c r="F392" s="1">
        <v>2.0</v>
      </c>
      <c r="G392" s="1">
        <v>9.0</v>
      </c>
    </row>
    <row r="393" ht="15.75" customHeight="1">
      <c r="A393" s="1">
        <f t="shared" si="1"/>
        <v>28</v>
      </c>
      <c r="B393" s="1">
        <f t="shared" si="2"/>
        <v>6</v>
      </c>
      <c r="C393" s="1">
        <f t="shared" si="3"/>
        <v>6</v>
      </c>
      <c r="D393" s="1">
        <f t="shared" si="4"/>
        <v>16</v>
      </c>
      <c r="F393" s="1">
        <v>2.0</v>
      </c>
      <c r="G393" s="1">
        <v>8.0</v>
      </c>
    </row>
    <row r="394" ht="15.75" customHeight="1">
      <c r="A394" s="1">
        <f t="shared" si="1"/>
        <v>26</v>
      </c>
      <c r="B394" s="1">
        <f t="shared" si="2"/>
        <v>6</v>
      </c>
      <c r="C394" s="1">
        <f t="shared" si="3"/>
        <v>6</v>
      </c>
      <c r="D394" s="1">
        <f t="shared" si="4"/>
        <v>14</v>
      </c>
      <c r="F394" s="1">
        <v>2.0</v>
      </c>
      <c r="G394" s="1">
        <v>7.0</v>
      </c>
    </row>
    <row r="395" ht="15.75" customHeight="1">
      <c r="A395" s="1">
        <f t="shared" si="1"/>
        <v>24</v>
      </c>
      <c r="B395" s="1">
        <f t="shared" si="2"/>
        <v>6</v>
      </c>
      <c r="C395" s="1">
        <f t="shared" si="3"/>
        <v>6</v>
      </c>
      <c r="D395" s="1">
        <f t="shared" si="4"/>
        <v>12</v>
      </c>
      <c r="F395" s="1">
        <v>2.0</v>
      </c>
      <c r="G395" s="1">
        <v>6.0</v>
      </c>
    </row>
    <row r="396" ht="15.75" customHeight="1">
      <c r="A396" s="1">
        <f t="shared" si="1"/>
        <v>22</v>
      </c>
      <c r="B396" s="1">
        <f t="shared" si="2"/>
        <v>6</v>
      </c>
      <c r="C396" s="1">
        <f t="shared" si="3"/>
        <v>6</v>
      </c>
      <c r="D396" s="1">
        <f t="shared" si="4"/>
        <v>10</v>
      </c>
      <c r="F396" s="1">
        <v>2.0</v>
      </c>
      <c r="G396" s="1">
        <v>5.0</v>
      </c>
    </row>
    <row r="397" ht="15.75" customHeight="1">
      <c r="A397" s="1">
        <f t="shared" si="1"/>
        <v>20</v>
      </c>
      <c r="B397" s="1">
        <f t="shared" si="2"/>
        <v>6</v>
      </c>
      <c r="C397" s="1">
        <f t="shared" si="3"/>
        <v>6</v>
      </c>
      <c r="D397" s="1">
        <f t="shared" si="4"/>
        <v>8</v>
      </c>
      <c r="F397" s="1">
        <v>2.0</v>
      </c>
      <c r="G397" s="1">
        <v>4.0</v>
      </c>
    </row>
    <row r="398" ht="15.75" customHeight="1">
      <c r="A398" s="1">
        <f t="shared" si="1"/>
        <v>18</v>
      </c>
      <c r="B398" s="1">
        <f t="shared" si="2"/>
        <v>6</v>
      </c>
      <c r="C398" s="1">
        <f t="shared" si="3"/>
        <v>6</v>
      </c>
      <c r="D398" s="1">
        <f t="shared" si="4"/>
        <v>6</v>
      </c>
      <c r="F398" s="1">
        <v>2.0</v>
      </c>
      <c r="G398" s="1">
        <v>3.0</v>
      </c>
    </row>
    <row r="399" ht="15.75" customHeight="1">
      <c r="A399" s="1">
        <f t="shared" si="1"/>
        <v>16</v>
      </c>
      <c r="B399" s="1">
        <f t="shared" si="2"/>
        <v>6</v>
      </c>
      <c r="C399" s="1">
        <f t="shared" si="3"/>
        <v>6</v>
      </c>
      <c r="D399" s="1">
        <f t="shared" si="4"/>
        <v>4</v>
      </c>
      <c r="F399" s="1">
        <v>2.0</v>
      </c>
      <c r="G399" s="1">
        <v>2.0</v>
      </c>
    </row>
    <row r="400" ht="15.75" customHeight="1">
      <c r="A400" s="1">
        <f t="shared" si="1"/>
        <v>14</v>
      </c>
      <c r="B400" s="1">
        <f t="shared" si="2"/>
        <v>6</v>
      </c>
      <c r="C400" s="1">
        <f t="shared" si="3"/>
        <v>6</v>
      </c>
      <c r="D400" s="1">
        <f t="shared" si="4"/>
        <v>2</v>
      </c>
      <c r="F400" s="1">
        <v>2.0</v>
      </c>
      <c r="G400" s="1">
        <v>1.0</v>
      </c>
    </row>
    <row r="401" ht="15.75" customHeight="1">
      <c r="A401" s="1">
        <f t="shared" si="1"/>
        <v>56</v>
      </c>
      <c r="B401" s="1">
        <f t="shared" si="2"/>
        <v>3</v>
      </c>
      <c r="C401" s="1">
        <f t="shared" si="3"/>
        <v>3</v>
      </c>
      <c r="D401" s="1">
        <f t="shared" si="4"/>
        <v>50</v>
      </c>
      <c r="F401" s="1">
        <v>1.0</v>
      </c>
      <c r="G401" s="1">
        <v>25.0</v>
      </c>
    </row>
    <row r="402" ht="15.75" customHeight="1">
      <c r="A402" s="1">
        <f t="shared" si="1"/>
        <v>46</v>
      </c>
      <c r="B402" s="1">
        <f t="shared" si="2"/>
        <v>3</v>
      </c>
      <c r="C402" s="1">
        <f t="shared" si="3"/>
        <v>3</v>
      </c>
      <c r="D402" s="1">
        <f t="shared" si="4"/>
        <v>40</v>
      </c>
      <c r="F402" s="1">
        <v>1.0</v>
      </c>
      <c r="G402" s="1">
        <v>20.0</v>
      </c>
    </row>
    <row r="403" ht="15.75" customHeight="1">
      <c r="A403" s="1">
        <f t="shared" si="1"/>
        <v>44</v>
      </c>
      <c r="B403" s="1">
        <f t="shared" si="2"/>
        <v>3</v>
      </c>
      <c r="C403" s="1">
        <f t="shared" si="3"/>
        <v>3</v>
      </c>
      <c r="D403" s="1">
        <f t="shared" si="4"/>
        <v>38</v>
      </c>
      <c r="F403" s="1">
        <v>1.0</v>
      </c>
      <c r="G403" s="1">
        <v>19.0</v>
      </c>
    </row>
    <row r="404" ht="15.75" customHeight="1">
      <c r="A404" s="1">
        <f t="shared" si="1"/>
        <v>42</v>
      </c>
      <c r="B404" s="1">
        <f t="shared" si="2"/>
        <v>3</v>
      </c>
      <c r="C404" s="1">
        <f t="shared" si="3"/>
        <v>3</v>
      </c>
      <c r="D404" s="1">
        <f t="shared" si="4"/>
        <v>36</v>
      </c>
      <c r="F404" s="1">
        <v>1.0</v>
      </c>
      <c r="G404" s="1">
        <v>18.0</v>
      </c>
    </row>
    <row r="405" ht="15.75" customHeight="1">
      <c r="A405" s="1">
        <f t="shared" si="1"/>
        <v>40</v>
      </c>
      <c r="B405" s="1">
        <f t="shared" si="2"/>
        <v>3</v>
      </c>
      <c r="C405" s="1">
        <f t="shared" si="3"/>
        <v>3</v>
      </c>
      <c r="D405" s="1">
        <f t="shared" si="4"/>
        <v>34</v>
      </c>
      <c r="F405" s="1">
        <v>1.0</v>
      </c>
      <c r="G405" s="1">
        <v>17.0</v>
      </c>
    </row>
    <row r="406" ht="15.75" customHeight="1">
      <c r="A406" s="1">
        <f t="shared" si="1"/>
        <v>38</v>
      </c>
      <c r="B406" s="1">
        <f t="shared" si="2"/>
        <v>3</v>
      </c>
      <c r="C406" s="1">
        <f t="shared" si="3"/>
        <v>3</v>
      </c>
      <c r="D406" s="1">
        <f t="shared" si="4"/>
        <v>32</v>
      </c>
      <c r="F406" s="1">
        <v>1.0</v>
      </c>
      <c r="G406" s="1">
        <v>16.0</v>
      </c>
    </row>
    <row r="407" ht="15.75" customHeight="1">
      <c r="A407" s="1">
        <f t="shared" si="1"/>
        <v>36</v>
      </c>
      <c r="B407" s="1">
        <f t="shared" si="2"/>
        <v>3</v>
      </c>
      <c r="C407" s="1">
        <f t="shared" si="3"/>
        <v>3</v>
      </c>
      <c r="D407" s="1">
        <f t="shared" si="4"/>
        <v>30</v>
      </c>
      <c r="F407" s="1">
        <v>1.0</v>
      </c>
      <c r="G407" s="1">
        <v>15.0</v>
      </c>
    </row>
    <row r="408" ht="15.75" customHeight="1">
      <c r="A408" s="1">
        <f t="shared" si="1"/>
        <v>34</v>
      </c>
      <c r="B408" s="1">
        <f t="shared" si="2"/>
        <v>3</v>
      </c>
      <c r="C408" s="1">
        <f t="shared" si="3"/>
        <v>3</v>
      </c>
      <c r="D408" s="1">
        <f t="shared" si="4"/>
        <v>28</v>
      </c>
      <c r="F408" s="1">
        <v>1.0</v>
      </c>
      <c r="G408" s="1">
        <v>14.0</v>
      </c>
    </row>
    <row r="409" ht="15.75" customHeight="1">
      <c r="A409" s="1">
        <f t="shared" si="1"/>
        <v>32</v>
      </c>
      <c r="B409" s="1">
        <f t="shared" si="2"/>
        <v>3</v>
      </c>
      <c r="C409" s="1">
        <f t="shared" si="3"/>
        <v>3</v>
      </c>
      <c r="D409" s="1">
        <f t="shared" si="4"/>
        <v>26</v>
      </c>
      <c r="F409" s="1">
        <v>1.0</v>
      </c>
      <c r="G409" s="1">
        <v>13.0</v>
      </c>
    </row>
    <row r="410" ht="15.75" customHeight="1">
      <c r="A410" s="1">
        <f t="shared" si="1"/>
        <v>30</v>
      </c>
      <c r="B410" s="1">
        <f t="shared" si="2"/>
        <v>3</v>
      </c>
      <c r="C410" s="1">
        <f t="shared" si="3"/>
        <v>3</v>
      </c>
      <c r="D410" s="1">
        <f t="shared" si="4"/>
        <v>24</v>
      </c>
      <c r="F410" s="1">
        <v>1.0</v>
      </c>
      <c r="G410" s="1">
        <v>12.0</v>
      </c>
    </row>
    <row r="411" ht="15.75" customHeight="1">
      <c r="A411" s="1">
        <f t="shared" si="1"/>
        <v>28</v>
      </c>
      <c r="B411" s="1">
        <f t="shared" si="2"/>
        <v>3</v>
      </c>
      <c r="C411" s="1">
        <f t="shared" si="3"/>
        <v>3</v>
      </c>
      <c r="D411" s="1">
        <f t="shared" si="4"/>
        <v>22</v>
      </c>
      <c r="F411" s="1">
        <v>1.0</v>
      </c>
      <c r="G411" s="1">
        <v>11.0</v>
      </c>
    </row>
    <row r="412" ht="15.75" customHeight="1">
      <c r="A412" s="1">
        <f t="shared" si="1"/>
        <v>26</v>
      </c>
      <c r="B412" s="1">
        <f t="shared" si="2"/>
        <v>3</v>
      </c>
      <c r="C412" s="1">
        <f t="shared" si="3"/>
        <v>3</v>
      </c>
      <c r="D412" s="1">
        <f t="shared" si="4"/>
        <v>20</v>
      </c>
      <c r="F412" s="1">
        <v>1.0</v>
      </c>
      <c r="G412" s="1">
        <v>10.0</v>
      </c>
    </row>
    <row r="413" ht="15.75" customHeight="1">
      <c r="A413" s="1">
        <f t="shared" si="1"/>
        <v>24</v>
      </c>
      <c r="B413" s="1">
        <f t="shared" si="2"/>
        <v>3</v>
      </c>
      <c r="C413" s="1">
        <f t="shared" si="3"/>
        <v>3</v>
      </c>
      <c r="D413" s="1">
        <f t="shared" si="4"/>
        <v>18</v>
      </c>
      <c r="F413" s="1">
        <v>1.0</v>
      </c>
      <c r="G413" s="1">
        <v>9.0</v>
      </c>
    </row>
    <row r="414" ht="15.75" customHeight="1">
      <c r="A414" s="1">
        <f t="shared" si="1"/>
        <v>22</v>
      </c>
      <c r="B414" s="1">
        <f t="shared" si="2"/>
        <v>3</v>
      </c>
      <c r="C414" s="1">
        <f t="shared" si="3"/>
        <v>3</v>
      </c>
      <c r="D414" s="1">
        <f t="shared" si="4"/>
        <v>16</v>
      </c>
      <c r="F414" s="1">
        <v>1.0</v>
      </c>
      <c r="G414" s="1">
        <v>8.0</v>
      </c>
    </row>
    <row r="415" ht="15.75" customHeight="1">
      <c r="A415" s="1">
        <f t="shared" si="1"/>
        <v>20</v>
      </c>
      <c r="B415" s="1">
        <f t="shared" si="2"/>
        <v>3</v>
      </c>
      <c r="C415" s="1">
        <f t="shared" si="3"/>
        <v>3</v>
      </c>
      <c r="D415" s="1">
        <f t="shared" si="4"/>
        <v>14</v>
      </c>
      <c r="F415" s="1">
        <v>1.0</v>
      </c>
      <c r="G415" s="1">
        <v>7.0</v>
      </c>
    </row>
    <row r="416" ht="15.75" customHeight="1">
      <c r="A416" s="1">
        <f t="shared" si="1"/>
        <v>18</v>
      </c>
      <c r="B416" s="1">
        <f t="shared" si="2"/>
        <v>3</v>
      </c>
      <c r="C416" s="1">
        <f t="shared" si="3"/>
        <v>3</v>
      </c>
      <c r="D416" s="1">
        <f t="shared" si="4"/>
        <v>12</v>
      </c>
      <c r="F416" s="1">
        <v>1.0</v>
      </c>
      <c r="G416" s="1">
        <v>6.0</v>
      </c>
    </row>
    <row r="417" ht="15.75" customHeight="1">
      <c r="A417" s="1">
        <f t="shared" si="1"/>
        <v>16</v>
      </c>
      <c r="B417" s="1">
        <f t="shared" si="2"/>
        <v>3</v>
      </c>
      <c r="C417" s="1">
        <f t="shared" si="3"/>
        <v>3</v>
      </c>
      <c r="D417" s="1">
        <f t="shared" si="4"/>
        <v>10</v>
      </c>
      <c r="F417" s="1">
        <v>1.0</v>
      </c>
      <c r="G417" s="1">
        <v>5.0</v>
      </c>
    </row>
    <row r="418" ht="15.75" customHeight="1">
      <c r="A418" s="1">
        <f t="shared" si="1"/>
        <v>14</v>
      </c>
      <c r="B418" s="1">
        <f t="shared" si="2"/>
        <v>3</v>
      </c>
      <c r="C418" s="1">
        <f t="shared" si="3"/>
        <v>3</v>
      </c>
      <c r="D418" s="1">
        <f t="shared" si="4"/>
        <v>8</v>
      </c>
      <c r="F418" s="1">
        <v>1.0</v>
      </c>
      <c r="G418" s="1">
        <v>4.0</v>
      </c>
    </row>
    <row r="419" ht="15.75" customHeight="1">
      <c r="A419" s="1">
        <f t="shared" si="1"/>
        <v>12</v>
      </c>
      <c r="B419" s="1">
        <f t="shared" si="2"/>
        <v>3</v>
      </c>
      <c r="C419" s="1">
        <f t="shared" si="3"/>
        <v>3</v>
      </c>
      <c r="D419" s="1">
        <f t="shared" si="4"/>
        <v>6</v>
      </c>
      <c r="F419" s="1">
        <v>1.0</v>
      </c>
      <c r="G419" s="1">
        <v>3.0</v>
      </c>
    </row>
    <row r="420" ht="15.75" customHeight="1">
      <c r="A420" s="1">
        <f t="shared" si="1"/>
        <v>10</v>
      </c>
      <c r="B420" s="1">
        <f t="shared" si="2"/>
        <v>3</v>
      </c>
      <c r="C420" s="1">
        <f t="shared" si="3"/>
        <v>3</v>
      </c>
      <c r="D420" s="1">
        <f t="shared" si="4"/>
        <v>4</v>
      </c>
      <c r="F420" s="1">
        <v>1.0</v>
      </c>
      <c r="G420" s="1">
        <v>2.0</v>
      </c>
    </row>
    <row r="421" ht="15.75" customHeight="1">
      <c r="A421" s="1">
        <f t="shared" si="1"/>
        <v>8</v>
      </c>
      <c r="B421" s="1">
        <f t="shared" si="2"/>
        <v>3</v>
      </c>
      <c r="C421" s="1">
        <f t="shared" si="3"/>
        <v>3</v>
      </c>
      <c r="D421" s="1">
        <f t="shared" si="4"/>
        <v>2</v>
      </c>
      <c r="F421" s="1">
        <v>1.0</v>
      </c>
      <c r="G421" s="1">
        <v>1.0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customSheetViews>
    <customSheetView guid="{90695445-C167-4A02-B293-0C05CE0DFBD1}" filter="1" showAutoFilter="1">
      <autoFilter ref="$A$1:$Z$1000">
        <filterColumn colId="3">
          <filters>
            <filter val="40"/>
          </filters>
        </filterColumn>
      </autoFilter>
      <extLst>
        <ext uri="GoogleSheetsCustomDataVersion1">
          <go:sheetsCustomData xmlns:go="http://customooxmlschemas.google.com/" filterViewId="1831040719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.71"/>
    <col customWidth="1" min="3" max="3" width="5.86"/>
    <col customWidth="1" min="4" max="5" width="7.14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2">
        <v>115.0</v>
      </c>
      <c r="B2" s="2">
        <v>60.0</v>
      </c>
      <c r="C2" s="1">
        <f t="shared" ref="C2:C21" si="1">A2-B2</f>
        <v>55</v>
      </c>
      <c r="D2" s="2">
        <v>15.0</v>
      </c>
      <c r="E2" s="2">
        <v>20.0</v>
      </c>
      <c r="F2" s="2">
        <v>20.0</v>
      </c>
    </row>
    <row r="3">
      <c r="A3" s="2">
        <v>115.0</v>
      </c>
      <c r="B3" s="2">
        <v>20.0</v>
      </c>
      <c r="C3" s="1">
        <f t="shared" si="1"/>
        <v>95</v>
      </c>
      <c r="D3" s="2">
        <v>57.0</v>
      </c>
      <c r="E3" s="2">
        <v>19.0</v>
      </c>
      <c r="F3" s="2">
        <v>20.0</v>
      </c>
    </row>
    <row r="4">
      <c r="A4" s="2">
        <v>115.0</v>
      </c>
      <c r="B4" s="2">
        <v>15.0</v>
      </c>
      <c r="C4" s="1">
        <f t="shared" si="1"/>
        <v>100</v>
      </c>
      <c r="D4" s="2">
        <v>60.0</v>
      </c>
      <c r="E4" s="2">
        <v>20.0</v>
      </c>
      <c r="F4" s="2">
        <v>20.0</v>
      </c>
    </row>
    <row r="5">
      <c r="A5" s="2">
        <v>115.0</v>
      </c>
      <c r="B5" s="2">
        <v>5.0</v>
      </c>
      <c r="C5" s="1">
        <f t="shared" si="1"/>
        <v>110</v>
      </c>
      <c r="E5" s="2"/>
      <c r="F5" s="2">
        <v>20.0</v>
      </c>
    </row>
    <row r="6">
      <c r="A6" s="2">
        <v>115.0</v>
      </c>
      <c r="B6" s="2">
        <v>3.0</v>
      </c>
      <c r="C6" s="3">
        <f t="shared" si="1"/>
        <v>112</v>
      </c>
      <c r="E6" s="2"/>
      <c r="F6" s="2">
        <v>20.0</v>
      </c>
    </row>
    <row r="7">
      <c r="A7" s="2">
        <v>115.0</v>
      </c>
      <c r="B7" s="2">
        <v>1.0</v>
      </c>
      <c r="C7" s="3">
        <f t="shared" si="1"/>
        <v>114</v>
      </c>
      <c r="E7" s="2"/>
      <c r="F7" s="2">
        <v>20.0</v>
      </c>
    </row>
    <row r="8">
      <c r="A8" s="2">
        <v>115.0</v>
      </c>
      <c r="B8" s="2">
        <v>57.0</v>
      </c>
      <c r="C8" s="1">
        <f t="shared" si="1"/>
        <v>58</v>
      </c>
      <c r="D8" s="2">
        <v>18.0</v>
      </c>
      <c r="E8" s="2">
        <v>20.0</v>
      </c>
      <c r="F8" s="2">
        <v>19.0</v>
      </c>
    </row>
    <row r="9">
      <c r="A9" s="2">
        <v>115.0</v>
      </c>
      <c r="B9" s="2">
        <v>19.0</v>
      </c>
      <c r="C9" s="1">
        <f t="shared" si="1"/>
        <v>96</v>
      </c>
      <c r="D9" s="2">
        <v>60.0</v>
      </c>
      <c r="E9" s="2">
        <v>18.0</v>
      </c>
      <c r="F9" s="2">
        <v>19.0</v>
      </c>
    </row>
    <row r="10">
      <c r="A10" s="2">
        <v>115.0</v>
      </c>
      <c r="B10" s="2">
        <v>21.0</v>
      </c>
      <c r="C10" s="1">
        <f t="shared" si="1"/>
        <v>94</v>
      </c>
      <c r="D10" s="2">
        <v>54.0</v>
      </c>
      <c r="E10" s="2">
        <v>20.0</v>
      </c>
      <c r="F10" s="2">
        <v>19.0</v>
      </c>
    </row>
    <row r="11">
      <c r="A11" s="2">
        <v>115.0</v>
      </c>
      <c r="B11" s="2">
        <v>7.0</v>
      </c>
      <c r="C11" s="3">
        <f t="shared" si="1"/>
        <v>108</v>
      </c>
      <c r="E11" s="2"/>
      <c r="F11" s="2">
        <v>19.0</v>
      </c>
    </row>
    <row r="12">
      <c r="A12" s="2">
        <v>115.0</v>
      </c>
      <c r="B12" s="2">
        <v>9.0</v>
      </c>
      <c r="C12" s="3">
        <f t="shared" si="1"/>
        <v>106</v>
      </c>
      <c r="E12" s="2"/>
      <c r="F12" s="2">
        <v>19.0</v>
      </c>
    </row>
    <row r="13">
      <c r="A13" s="2">
        <v>115.0</v>
      </c>
      <c r="B13" s="2">
        <v>3.0</v>
      </c>
      <c r="C13" s="3">
        <f t="shared" si="1"/>
        <v>112</v>
      </c>
      <c r="E13" s="2"/>
      <c r="F13" s="2">
        <v>19.0</v>
      </c>
    </row>
    <row r="14">
      <c r="A14" s="2">
        <v>115.0</v>
      </c>
      <c r="B14" s="2">
        <v>50.0</v>
      </c>
      <c r="C14" s="1">
        <f t="shared" si="1"/>
        <v>65</v>
      </c>
      <c r="D14" s="2">
        <v>45.0</v>
      </c>
      <c r="E14" s="2">
        <v>10.0</v>
      </c>
      <c r="F14" s="2">
        <v>25.0</v>
      </c>
    </row>
    <row r="15">
      <c r="A15" s="2">
        <v>115.0</v>
      </c>
      <c r="B15" s="2">
        <v>25.0</v>
      </c>
      <c r="C15" s="1">
        <f t="shared" si="1"/>
        <v>90</v>
      </c>
      <c r="D15" s="2">
        <v>54.0</v>
      </c>
      <c r="E15" s="2">
        <v>18.0</v>
      </c>
      <c r="F15" s="2">
        <v>25.0</v>
      </c>
    </row>
    <row r="16">
      <c r="A16" s="2">
        <v>115.0</v>
      </c>
      <c r="B16" s="2">
        <v>57.0</v>
      </c>
      <c r="C16" s="1">
        <f t="shared" si="1"/>
        <v>58</v>
      </c>
      <c r="F16" s="2">
        <v>18.0</v>
      </c>
    </row>
    <row r="17">
      <c r="A17" s="2">
        <v>115.0</v>
      </c>
      <c r="B17" s="2">
        <v>18.0</v>
      </c>
      <c r="C17" s="1">
        <f t="shared" si="1"/>
        <v>97</v>
      </c>
      <c r="F17" s="2">
        <v>18.0</v>
      </c>
    </row>
    <row r="18">
      <c r="A18" s="2">
        <v>115.0</v>
      </c>
      <c r="B18" s="2">
        <v>3.0</v>
      </c>
      <c r="C18" s="3">
        <f t="shared" si="1"/>
        <v>112</v>
      </c>
    </row>
    <row r="19">
      <c r="A19" s="2">
        <v>115.0</v>
      </c>
      <c r="B19" s="2">
        <v>1.0</v>
      </c>
      <c r="C19" s="3">
        <f t="shared" si="1"/>
        <v>114</v>
      </c>
    </row>
    <row r="20">
      <c r="A20" s="2">
        <v>115.0</v>
      </c>
      <c r="B20" s="2">
        <v>4.0</v>
      </c>
      <c r="C20" s="3">
        <f t="shared" si="1"/>
        <v>111</v>
      </c>
    </row>
    <row r="21">
      <c r="A21" s="2">
        <v>115.0</v>
      </c>
      <c r="B21" s="2">
        <v>12.0</v>
      </c>
      <c r="C21" s="3">
        <f t="shared" si="1"/>
        <v>103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29"/>
  </cols>
  <sheetData>
    <row r="1">
      <c r="A1" s="2" t="s">
        <v>8</v>
      </c>
      <c r="B1" s="2">
        <v>1.0</v>
      </c>
    </row>
    <row r="2">
      <c r="A2" s="2" t="s">
        <v>8</v>
      </c>
      <c r="B2" s="2">
        <v>2.0</v>
      </c>
    </row>
    <row r="3">
      <c r="A3" s="2" t="s">
        <v>8</v>
      </c>
      <c r="B3" s="2">
        <v>3.0</v>
      </c>
    </row>
    <row r="4">
      <c r="A4" s="2" t="s">
        <v>8</v>
      </c>
      <c r="B4" s="2">
        <v>4.0</v>
      </c>
    </row>
    <row r="5">
      <c r="A5" s="2" t="s">
        <v>8</v>
      </c>
      <c r="B5" s="2">
        <v>5.0</v>
      </c>
    </row>
    <row r="6">
      <c r="A6" s="2" t="s">
        <v>8</v>
      </c>
      <c r="B6" s="2">
        <v>6.0</v>
      </c>
    </row>
    <row r="7">
      <c r="A7" s="2" t="s">
        <v>8</v>
      </c>
      <c r="B7" s="2">
        <v>7.0</v>
      </c>
    </row>
    <row r="8">
      <c r="A8" s="2" t="s">
        <v>8</v>
      </c>
      <c r="B8" s="2">
        <v>8.0</v>
      </c>
    </row>
    <row r="9">
      <c r="A9" s="2" t="s">
        <v>8</v>
      </c>
      <c r="B9" s="2">
        <v>9.0</v>
      </c>
    </row>
    <row r="10">
      <c r="A10" s="2" t="s">
        <v>8</v>
      </c>
      <c r="B10" s="2">
        <v>10.0</v>
      </c>
    </row>
    <row r="11">
      <c r="A11" s="2" t="s">
        <v>8</v>
      </c>
      <c r="B11" s="2">
        <v>11.0</v>
      </c>
    </row>
    <row r="12">
      <c r="A12" s="2" t="s">
        <v>8</v>
      </c>
      <c r="B12" s="2">
        <v>12.0</v>
      </c>
    </row>
    <row r="13">
      <c r="A13" s="2" t="s">
        <v>8</v>
      </c>
      <c r="B13" s="2">
        <v>13.0</v>
      </c>
    </row>
    <row r="14">
      <c r="A14" s="2" t="s">
        <v>8</v>
      </c>
      <c r="B14" s="2">
        <v>14.0</v>
      </c>
    </row>
    <row r="15">
      <c r="A15" s="2" t="s">
        <v>8</v>
      </c>
      <c r="B15" s="2">
        <v>15.0</v>
      </c>
    </row>
    <row r="16">
      <c r="A16" s="2" t="s">
        <v>8</v>
      </c>
      <c r="B16" s="2">
        <v>16.0</v>
      </c>
    </row>
    <row r="17">
      <c r="A17" s="2" t="s">
        <v>8</v>
      </c>
      <c r="B17" s="2">
        <v>17.0</v>
      </c>
    </row>
    <row r="18">
      <c r="A18" s="2" t="s">
        <v>8</v>
      </c>
      <c r="B18" s="2">
        <v>18.0</v>
      </c>
    </row>
    <row r="19">
      <c r="A19" s="2" t="s">
        <v>8</v>
      </c>
      <c r="B19" s="2">
        <v>19.0</v>
      </c>
    </row>
    <row r="20">
      <c r="A20" s="2" t="s">
        <v>8</v>
      </c>
      <c r="B20" s="2">
        <v>20.0</v>
      </c>
    </row>
    <row r="21">
      <c r="A21" s="2" t="s">
        <v>8</v>
      </c>
      <c r="B21" s="2">
        <v>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20.0</v>
      </c>
      <c r="B1" s="1">
        <f t="shared" ref="B1:B19" si="1">A1*5</f>
        <v>100</v>
      </c>
    </row>
    <row r="2">
      <c r="A2" s="2">
        <v>19.0</v>
      </c>
      <c r="B2" s="1">
        <f t="shared" si="1"/>
        <v>95</v>
      </c>
    </row>
    <row r="3">
      <c r="A3" s="2">
        <v>18.0</v>
      </c>
      <c r="B3" s="1">
        <f t="shared" si="1"/>
        <v>90</v>
      </c>
    </row>
    <row r="4">
      <c r="A4" s="2">
        <v>17.0</v>
      </c>
      <c r="B4" s="1">
        <f t="shared" si="1"/>
        <v>85</v>
      </c>
    </row>
    <row r="5">
      <c r="A5" s="2">
        <v>16.0</v>
      </c>
      <c r="B5" s="1">
        <f t="shared" si="1"/>
        <v>80</v>
      </c>
    </row>
    <row r="6">
      <c r="A6" s="2">
        <v>15.0</v>
      </c>
      <c r="B6" s="1">
        <f t="shared" si="1"/>
        <v>75</v>
      </c>
    </row>
    <row r="7">
      <c r="A7" s="2">
        <v>14.0</v>
      </c>
      <c r="B7" s="1">
        <f t="shared" si="1"/>
        <v>70</v>
      </c>
    </row>
    <row r="8">
      <c r="A8" s="2">
        <v>13.0</v>
      </c>
      <c r="B8" s="1">
        <f t="shared" si="1"/>
        <v>65</v>
      </c>
    </row>
    <row r="9">
      <c r="A9" s="2">
        <v>12.0</v>
      </c>
      <c r="B9" s="1">
        <f t="shared" si="1"/>
        <v>60</v>
      </c>
    </row>
    <row r="10">
      <c r="A10" s="2">
        <v>11.0</v>
      </c>
      <c r="B10" s="1">
        <f t="shared" si="1"/>
        <v>55</v>
      </c>
    </row>
    <row r="11">
      <c r="A11" s="2">
        <v>10.0</v>
      </c>
      <c r="B11" s="1">
        <f t="shared" si="1"/>
        <v>50</v>
      </c>
    </row>
    <row r="12">
      <c r="A12" s="2">
        <v>9.0</v>
      </c>
      <c r="B12" s="1">
        <f t="shared" si="1"/>
        <v>45</v>
      </c>
    </row>
    <row r="13">
      <c r="A13" s="2">
        <v>8.0</v>
      </c>
      <c r="B13" s="1">
        <f t="shared" si="1"/>
        <v>40</v>
      </c>
    </row>
    <row r="14">
      <c r="A14" s="2">
        <v>7.0</v>
      </c>
      <c r="B14" s="1">
        <f t="shared" si="1"/>
        <v>35</v>
      </c>
    </row>
    <row r="15">
      <c r="A15" s="2">
        <v>6.0</v>
      </c>
      <c r="B15" s="1">
        <f t="shared" si="1"/>
        <v>30</v>
      </c>
    </row>
    <row r="16">
      <c r="A16" s="2">
        <v>5.0</v>
      </c>
      <c r="B16" s="1">
        <f t="shared" si="1"/>
        <v>25</v>
      </c>
    </row>
    <row r="17">
      <c r="A17" s="2">
        <v>4.0</v>
      </c>
      <c r="B17" s="1">
        <f t="shared" si="1"/>
        <v>20</v>
      </c>
    </row>
    <row r="18">
      <c r="A18" s="2">
        <v>3.0</v>
      </c>
      <c r="B18" s="1">
        <f t="shared" si="1"/>
        <v>15</v>
      </c>
    </row>
    <row r="19">
      <c r="A19" s="2">
        <v>2.0</v>
      </c>
      <c r="B19" s="1">
        <f t="shared" si="1"/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15" width="4.29"/>
  </cols>
  <sheetData>
    <row r="1">
      <c r="A1" s="2"/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>
      <c r="A2" s="2"/>
      <c r="B2" s="2">
        <v>100.0</v>
      </c>
      <c r="C2" s="2">
        <v>60.0</v>
      </c>
      <c r="D2" s="2">
        <v>97.0</v>
      </c>
      <c r="E2" s="2">
        <v>85.0</v>
      </c>
      <c r="F2" s="2">
        <v>82.0</v>
      </c>
      <c r="G2" s="2">
        <v>79.0</v>
      </c>
      <c r="H2" s="2">
        <v>76.0</v>
      </c>
      <c r="I2" s="2">
        <v>73.0</v>
      </c>
      <c r="J2" s="2">
        <v>57.0</v>
      </c>
      <c r="K2" s="2">
        <v>55.0</v>
      </c>
      <c r="L2" s="2">
        <v>54.0</v>
      </c>
      <c r="M2" s="2">
        <v>53.0</v>
      </c>
      <c r="N2" s="2">
        <v>52.0</v>
      </c>
      <c r="O2" s="2">
        <v>51.0</v>
      </c>
    </row>
    <row r="3">
      <c r="A3" s="2">
        <v>175.0</v>
      </c>
      <c r="B3" s="1">
        <f t="shared" ref="B3:B7" si="1">A3-$B$2</f>
        <v>75</v>
      </c>
      <c r="C3" s="1">
        <f>$A3-$C$2</f>
        <v>115</v>
      </c>
      <c r="D3" s="1">
        <f t="shared" ref="D3:D7" si="2">$A3-$D$2</f>
        <v>78</v>
      </c>
      <c r="E3" s="1">
        <f t="shared" ref="E3:E7" si="3">$A3-$E$2</f>
        <v>90</v>
      </c>
      <c r="F3" s="1">
        <f t="shared" ref="F3:F7" si="4">$A3-$F$2</f>
        <v>93</v>
      </c>
      <c r="G3" s="1">
        <f>$A3-$I$2</f>
        <v>102</v>
      </c>
      <c r="H3" s="1">
        <f t="shared" ref="H3:H7" si="5">$A3-$H$2</f>
        <v>99</v>
      </c>
      <c r="I3" s="1">
        <f t="shared" ref="I3:I7" si="6">$A3-$G$2</f>
        <v>96</v>
      </c>
      <c r="J3" s="1">
        <f t="shared" ref="J3:J7" si="7">$A3-$J$2</f>
        <v>118</v>
      </c>
      <c r="K3" s="1">
        <f t="shared" ref="K3:K7" si="8">$A3-$K$2</f>
        <v>120</v>
      </c>
      <c r="L3" s="1">
        <f t="shared" ref="L3:L7" si="9">$A3-$L$2</f>
        <v>121</v>
      </c>
      <c r="M3" s="1">
        <f t="shared" ref="M3:M7" si="10">$A3-$M$2</f>
        <v>122</v>
      </c>
      <c r="N3" s="1">
        <f t="shared" ref="N3:N7" si="11">$A3-$N$2</f>
        <v>123</v>
      </c>
      <c r="O3" s="1">
        <f t="shared" ref="O3:O7" si="12">$A3-$O$2</f>
        <v>124</v>
      </c>
    </row>
    <row r="4">
      <c r="A4" s="2">
        <v>174.0</v>
      </c>
      <c r="B4" s="1">
        <f t="shared" si="1"/>
        <v>74</v>
      </c>
      <c r="C4" s="1">
        <f t="shared" ref="C4:C7" si="13">A4-$C$2</f>
        <v>114</v>
      </c>
      <c r="D4" s="1">
        <f t="shared" si="2"/>
        <v>77</v>
      </c>
      <c r="E4" s="1">
        <f t="shared" si="3"/>
        <v>89</v>
      </c>
      <c r="F4" s="1">
        <f t="shared" si="4"/>
        <v>92</v>
      </c>
      <c r="G4" s="1">
        <f t="shared" ref="G4:G7" si="14">$A4-$G$2</f>
        <v>95</v>
      </c>
      <c r="H4" s="1">
        <f t="shared" si="5"/>
        <v>98</v>
      </c>
      <c r="I4" s="1">
        <f t="shared" si="6"/>
        <v>95</v>
      </c>
      <c r="J4" s="1">
        <f t="shared" si="7"/>
        <v>117</v>
      </c>
      <c r="K4" s="1">
        <f t="shared" si="8"/>
        <v>119</v>
      </c>
      <c r="L4" s="1">
        <f t="shared" si="9"/>
        <v>120</v>
      </c>
      <c r="M4" s="1">
        <f t="shared" si="10"/>
        <v>121</v>
      </c>
      <c r="N4" s="1">
        <f t="shared" si="11"/>
        <v>122</v>
      </c>
      <c r="O4" s="1">
        <f t="shared" si="12"/>
        <v>123</v>
      </c>
    </row>
    <row r="5">
      <c r="A5" s="2">
        <v>173.0</v>
      </c>
      <c r="B5" s="1">
        <f t="shared" si="1"/>
        <v>73</v>
      </c>
      <c r="C5" s="1">
        <f t="shared" si="13"/>
        <v>113</v>
      </c>
      <c r="D5" s="1">
        <f t="shared" si="2"/>
        <v>76</v>
      </c>
      <c r="E5" s="1">
        <f t="shared" si="3"/>
        <v>88</v>
      </c>
      <c r="F5" s="1">
        <f t="shared" si="4"/>
        <v>91</v>
      </c>
      <c r="G5" s="1">
        <f t="shared" si="14"/>
        <v>94</v>
      </c>
      <c r="H5" s="1">
        <f t="shared" si="5"/>
        <v>97</v>
      </c>
      <c r="I5" s="1">
        <f t="shared" si="6"/>
        <v>94</v>
      </c>
      <c r="J5" s="1">
        <f t="shared" si="7"/>
        <v>116</v>
      </c>
      <c r="K5" s="1">
        <f t="shared" si="8"/>
        <v>118</v>
      </c>
      <c r="L5" s="1">
        <f t="shared" si="9"/>
        <v>119</v>
      </c>
      <c r="M5" s="1">
        <f t="shared" si="10"/>
        <v>120</v>
      </c>
      <c r="N5" s="1">
        <f t="shared" si="11"/>
        <v>121</v>
      </c>
      <c r="O5" s="1">
        <f t="shared" si="12"/>
        <v>122</v>
      </c>
    </row>
    <row r="6">
      <c r="A6" s="2">
        <v>172.0</v>
      </c>
      <c r="B6" s="1">
        <f t="shared" si="1"/>
        <v>72</v>
      </c>
      <c r="C6" s="1">
        <f t="shared" si="13"/>
        <v>112</v>
      </c>
      <c r="D6" s="1">
        <f t="shared" si="2"/>
        <v>75</v>
      </c>
      <c r="E6" s="1">
        <f t="shared" si="3"/>
        <v>87</v>
      </c>
      <c r="F6" s="1">
        <f t="shared" si="4"/>
        <v>90</v>
      </c>
      <c r="G6" s="1">
        <f t="shared" si="14"/>
        <v>93</v>
      </c>
      <c r="H6" s="1">
        <f t="shared" si="5"/>
        <v>96</v>
      </c>
      <c r="I6" s="1">
        <f t="shared" si="6"/>
        <v>93</v>
      </c>
      <c r="J6" s="1">
        <f t="shared" si="7"/>
        <v>115</v>
      </c>
      <c r="K6" s="1">
        <f t="shared" si="8"/>
        <v>117</v>
      </c>
      <c r="L6" s="1">
        <f t="shared" si="9"/>
        <v>118</v>
      </c>
      <c r="M6" s="1">
        <f t="shared" si="10"/>
        <v>119</v>
      </c>
      <c r="N6" s="1">
        <f t="shared" si="11"/>
        <v>120</v>
      </c>
      <c r="O6" s="1">
        <f t="shared" si="12"/>
        <v>121</v>
      </c>
    </row>
    <row r="7">
      <c r="A7" s="2">
        <v>171.0</v>
      </c>
      <c r="B7" s="1">
        <f t="shared" si="1"/>
        <v>71</v>
      </c>
      <c r="C7" s="1">
        <f t="shared" si="13"/>
        <v>111</v>
      </c>
      <c r="D7" s="1">
        <f t="shared" si="2"/>
        <v>74</v>
      </c>
      <c r="E7" s="1">
        <f t="shared" si="3"/>
        <v>86</v>
      </c>
      <c r="F7" s="1">
        <f t="shared" si="4"/>
        <v>89</v>
      </c>
      <c r="G7" s="1">
        <f t="shared" si="14"/>
        <v>92</v>
      </c>
      <c r="H7" s="1">
        <f t="shared" si="5"/>
        <v>95</v>
      </c>
      <c r="I7" s="1">
        <f t="shared" si="6"/>
        <v>92</v>
      </c>
      <c r="J7" s="1">
        <f t="shared" si="7"/>
        <v>114</v>
      </c>
      <c r="K7" s="1">
        <f t="shared" si="8"/>
        <v>116</v>
      </c>
      <c r="L7" s="1">
        <f t="shared" si="9"/>
        <v>117</v>
      </c>
      <c r="M7" s="1">
        <f t="shared" si="10"/>
        <v>118</v>
      </c>
      <c r="N7" s="1">
        <f t="shared" si="11"/>
        <v>119</v>
      </c>
      <c r="O7" s="1">
        <f t="shared" si="12"/>
        <v>120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6" width="4.29"/>
    <col customWidth="1" min="7" max="7" width="3.29"/>
    <col customWidth="1" min="8" max="9" width="4.57"/>
    <col customWidth="1" min="10" max="10" width="7.29"/>
    <col customWidth="1" min="11" max="11" width="13.86"/>
  </cols>
  <sheetData>
    <row r="1">
      <c r="A1" s="2" t="s">
        <v>9</v>
      </c>
      <c r="B1" s="2" t="s">
        <v>11</v>
      </c>
      <c r="C1" s="2" t="s">
        <v>22</v>
      </c>
      <c r="D1" s="2" t="s">
        <v>23</v>
      </c>
      <c r="E1" s="2" t="s">
        <v>24</v>
      </c>
      <c r="F1" s="2" t="s">
        <v>12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</row>
    <row r="2">
      <c r="A2" s="2">
        <v>7.0</v>
      </c>
      <c r="B2" s="2">
        <v>1.0</v>
      </c>
      <c r="J2" s="2" t="s">
        <v>30</v>
      </c>
      <c r="K2" s="2">
        <v>8.0</v>
      </c>
    </row>
    <row r="3">
      <c r="A3" s="2">
        <v>7.0</v>
      </c>
      <c r="D3" s="2">
        <v>1.0</v>
      </c>
      <c r="J3" s="2" t="s">
        <v>31</v>
      </c>
      <c r="K3" s="2">
        <v>8.0</v>
      </c>
    </row>
    <row r="4">
      <c r="A4" s="2">
        <v>6.0</v>
      </c>
      <c r="B4" s="2">
        <v>1.0</v>
      </c>
      <c r="C4" s="2">
        <v>1.0</v>
      </c>
      <c r="J4" s="2" t="s">
        <v>31</v>
      </c>
      <c r="K4" s="2">
        <v>56.0</v>
      </c>
    </row>
    <row r="5">
      <c r="A5" s="2">
        <v>5.0</v>
      </c>
      <c r="B5" s="2">
        <v>3.0</v>
      </c>
      <c r="J5" s="2" t="s">
        <v>31</v>
      </c>
      <c r="K5" s="2">
        <v>56.0</v>
      </c>
    </row>
    <row r="6">
      <c r="A6" s="2">
        <v>6.0</v>
      </c>
      <c r="B6" s="2">
        <v>1.0</v>
      </c>
      <c r="G6" s="2">
        <v>1.0</v>
      </c>
      <c r="H6" s="2"/>
      <c r="I6" s="2"/>
      <c r="J6" s="2" t="s">
        <v>27</v>
      </c>
      <c r="K6" s="2">
        <v>56.0</v>
      </c>
    </row>
    <row r="7">
      <c r="A7" s="2">
        <v>7.0</v>
      </c>
      <c r="F7" s="2">
        <v>1.0</v>
      </c>
      <c r="J7" s="2" t="s">
        <v>32</v>
      </c>
      <c r="K7" s="2">
        <v>8.0</v>
      </c>
    </row>
    <row r="8">
      <c r="A8" s="2">
        <v>6.0</v>
      </c>
      <c r="B8" s="2">
        <v>1.0</v>
      </c>
      <c r="E8" s="2">
        <v>1.0</v>
      </c>
      <c r="J8" s="2" t="s">
        <v>32</v>
      </c>
      <c r="K8" s="2">
        <v>56.0</v>
      </c>
    </row>
    <row r="9">
      <c r="A9" s="2">
        <v>6.0</v>
      </c>
      <c r="C9" s="2">
        <v>1.0</v>
      </c>
      <c r="D9" s="2">
        <v>1.0</v>
      </c>
      <c r="J9" s="2" t="s">
        <v>32</v>
      </c>
      <c r="K9" s="2">
        <v>56.0</v>
      </c>
    </row>
    <row r="10">
      <c r="A10" s="2">
        <v>5.0</v>
      </c>
      <c r="B10" s="2">
        <v>2.0</v>
      </c>
      <c r="D10" s="2">
        <v>1.0</v>
      </c>
      <c r="J10" s="2" t="s">
        <v>32</v>
      </c>
      <c r="K10" s="2">
        <v>168.0</v>
      </c>
    </row>
    <row r="11">
      <c r="A11" s="2">
        <v>5.0</v>
      </c>
      <c r="B11" s="2">
        <v>1.0</v>
      </c>
      <c r="C11" s="2">
        <v>2.0</v>
      </c>
      <c r="J11" s="2" t="s">
        <v>32</v>
      </c>
      <c r="K11" s="2">
        <v>168.0</v>
      </c>
    </row>
    <row r="12">
      <c r="A12" s="2">
        <v>4.0</v>
      </c>
      <c r="B12" s="2">
        <v>3.0</v>
      </c>
      <c r="C12" s="2">
        <v>1.0</v>
      </c>
      <c r="J12" s="2" t="s">
        <v>32</v>
      </c>
      <c r="K12" s="2">
        <v>280.0</v>
      </c>
    </row>
    <row r="13">
      <c r="A13" s="2">
        <v>3.0</v>
      </c>
      <c r="B13" s="2">
        <v>5.0</v>
      </c>
      <c r="J13" s="2" t="s">
        <v>32</v>
      </c>
      <c r="K13" s="2">
        <v>56.0</v>
      </c>
    </row>
    <row r="14">
      <c r="A14" s="2">
        <v>6.0</v>
      </c>
      <c r="D14" s="2">
        <v>1.0</v>
      </c>
      <c r="G14" s="2">
        <v>1.0</v>
      </c>
      <c r="H14" s="2"/>
      <c r="I14" s="2"/>
      <c r="J14" s="2" t="s">
        <v>33</v>
      </c>
      <c r="K14" s="2">
        <v>56.0</v>
      </c>
    </row>
    <row r="15">
      <c r="A15" s="2">
        <v>5.0</v>
      </c>
      <c r="B15" s="2">
        <v>1.0</v>
      </c>
      <c r="C15" s="2">
        <v>1.0</v>
      </c>
      <c r="G15" s="2">
        <v>1.0</v>
      </c>
      <c r="H15" s="2"/>
      <c r="I15" s="2"/>
      <c r="J15" s="2" t="s">
        <v>26</v>
      </c>
      <c r="K15" s="2">
        <v>336.0</v>
      </c>
    </row>
    <row r="16">
      <c r="A16" s="2">
        <v>4.0</v>
      </c>
      <c r="B16" s="2">
        <v>3.0</v>
      </c>
      <c r="G16" s="2">
        <v>1.0</v>
      </c>
      <c r="H16" s="2"/>
      <c r="I16" s="2"/>
      <c r="J16" s="2" t="s">
        <v>26</v>
      </c>
      <c r="K16" s="2">
        <v>280.0</v>
      </c>
    </row>
    <row r="17">
      <c r="A17" s="2">
        <v>5.0</v>
      </c>
      <c r="B17" s="2" t="s">
        <v>34</v>
      </c>
      <c r="C17" s="2" t="s">
        <v>34</v>
      </c>
      <c r="D17" s="2">
        <v>1.0</v>
      </c>
      <c r="G17" s="2">
        <v>2.0</v>
      </c>
      <c r="H17" s="2"/>
      <c r="I17" s="2"/>
      <c r="J17" s="2" t="s">
        <v>25</v>
      </c>
      <c r="K17" s="2">
        <v>168.0</v>
      </c>
    </row>
    <row r="18">
      <c r="A18" s="2">
        <v>4.0</v>
      </c>
      <c r="B18" s="2">
        <v>1.0</v>
      </c>
      <c r="C18" s="2">
        <v>1.0</v>
      </c>
      <c r="G18" s="2">
        <v>2.0</v>
      </c>
      <c r="H18" s="2"/>
      <c r="I18" s="2"/>
      <c r="J18" s="2" t="s">
        <v>25</v>
      </c>
      <c r="K18" s="2">
        <v>840.0</v>
      </c>
    </row>
    <row r="19">
      <c r="A19" s="2">
        <v>3.0</v>
      </c>
      <c r="B19" s="2">
        <v>3.0</v>
      </c>
      <c r="G19" s="2">
        <v>2.0</v>
      </c>
      <c r="H19" s="2"/>
      <c r="I19" s="2"/>
      <c r="J19" s="2" t="s">
        <v>25</v>
      </c>
      <c r="K19" s="2">
        <v>560.0</v>
      </c>
    </row>
    <row r="20">
      <c r="A20" s="2">
        <v>6.0</v>
      </c>
      <c r="D20" s="2">
        <v>1.0</v>
      </c>
      <c r="H20" s="2">
        <v>1.0</v>
      </c>
      <c r="J20" s="2" t="s">
        <v>25</v>
      </c>
      <c r="K20" s="2">
        <v>56.0</v>
      </c>
    </row>
    <row r="21">
      <c r="A21" s="2">
        <v>5.0</v>
      </c>
      <c r="B21" s="2">
        <v>1.0</v>
      </c>
      <c r="C21" s="2">
        <v>1.0</v>
      </c>
      <c r="H21" s="2">
        <v>1.0</v>
      </c>
      <c r="J21" s="2" t="s">
        <v>25</v>
      </c>
      <c r="K21" s="2">
        <v>336.0</v>
      </c>
    </row>
    <row r="22">
      <c r="A22" s="2">
        <v>4.0</v>
      </c>
      <c r="B22" s="2">
        <v>3.0</v>
      </c>
      <c r="H22" s="2">
        <v>1.0</v>
      </c>
      <c r="J22" s="2" t="s">
        <v>25</v>
      </c>
      <c r="K22" s="2">
        <v>280.0</v>
      </c>
    </row>
    <row r="23">
      <c r="A23" s="2">
        <v>6.0</v>
      </c>
      <c r="B23" s="2">
        <v>1.0</v>
      </c>
      <c r="H23" s="2"/>
      <c r="I23" s="2">
        <v>1.0</v>
      </c>
      <c r="J23" s="2" t="s">
        <v>25</v>
      </c>
      <c r="K23" s="2">
        <v>56.0</v>
      </c>
    </row>
    <row r="24">
      <c r="K24" s="2">
        <v>3944.0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25.0</v>
      </c>
    </row>
    <row r="2">
      <c r="A2" s="2">
        <v>20.0</v>
      </c>
    </row>
    <row r="3">
      <c r="A3" s="2">
        <v>19.0</v>
      </c>
    </row>
    <row r="4">
      <c r="A4" s="2">
        <v>18.0</v>
      </c>
    </row>
    <row r="5">
      <c r="A5" s="2">
        <v>17.0</v>
      </c>
    </row>
    <row r="6">
      <c r="A6" s="2">
        <v>16.0</v>
      </c>
    </row>
    <row r="7">
      <c r="A7" s="2">
        <v>15.0</v>
      </c>
    </row>
    <row r="8">
      <c r="A8" s="2">
        <v>14.0</v>
      </c>
    </row>
    <row r="9">
      <c r="A9" s="2">
        <v>13.0</v>
      </c>
    </row>
    <row r="10">
      <c r="A10" s="2">
        <v>12.0</v>
      </c>
    </row>
    <row r="11">
      <c r="A11" s="2">
        <v>11.0</v>
      </c>
      <c r="F11" s="1"/>
    </row>
    <row r="12">
      <c r="A12" s="2">
        <v>10.0</v>
      </c>
    </row>
    <row r="13">
      <c r="A13" s="2">
        <v>9.0</v>
      </c>
    </row>
    <row r="14">
      <c r="A14" s="2">
        <v>8.0</v>
      </c>
    </row>
    <row r="15">
      <c r="A15" s="2">
        <v>7.0</v>
      </c>
    </row>
    <row r="16">
      <c r="A16" s="2">
        <v>6.0</v>
      </c>
    </row>
    <row r="17">
      <c r="A17" s="2">
        <v>5.0</v>
      </c>
    </row>
    <row r="18">
      <c r="A18" s="2">
        <v>4.0</v>
      </c>
    </row>
    <row r="19">
      <c r="A19" s="2">
        <v>3.0</v>
      </c>
    </row>
    <row r="20">
      <c r="A20" s="2">
        <v>2.0</v>
      </c>
    </row>
    <row r="21">
      <c r="A21" s="2">
        <v>1.0</v>
      </c>
    </row>
  </sheetData>
  <dataValidations>
    <dataValidation type="list" allowBlank="1" showErrorMessage="1" sqref="F11">
      <formula1>bereikenen!$A$1:$A$21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2.0</v>
      </c>
      <c r="B1" s="1">
        <f t="shared" ref="B1:B20" si="1">A1 +25</f>
        <v>27</v>
      </c>
    </row>
    <row r="2">
      <c r="A2" s="2">
        <v>4.0</v>
      </c>
      <c r="B2" s="1">
        <f t="shared" si="1"/>
        <v>29</v>
      </c>
    </row>
    <row r="3">
      <c r="A3" s="2">
        <v>6.0</v>
      </c>
      <c r="B3" s="1">
        <f t="shared" si="1"/>
        <v>31</v>
      </c>
    </row>
    <row r="4">
      <c r="A4" s="2">
        <v>8.0</v>
      </c>
      <c r="B4" s="1">
        <f t="shared" si="1"/>
        <v>33</v>
      </c>
    </row>
    <row r="5">
      <c r="A5" s="2">
        <v>10.0</v>
      </c>
      <c r="B5" s="1">
        <f t="shared" si="1"/>
        <v>35</v>
      </c>
    </row>
    <row r="6">
      <c r="A6" s="2">
        <v>12.0</v>
      </c>
      <c r="B6" s="1">
        <f t="shared" si="1"/>
        <v>37</v>
      </c>
    </row>
    <row r="7">
      <c r="A7" s="2">
        <v>14.0</v>
      </c>
      <c r="B7" s="1">
        <f t="shared" si="1"/>
        <v>39</v>
      </c>
    </row>
    <row r="8">
      <c r="A8" s="2">
        <v>16.0</v>
      </c>
      <c r="B8" s="1">
        <f t="shared" si="1"/>
        <v>41</v>
      </c>
    </row>
    <row r="9">
      <c r="A9" s="2">
        <v>18.0</v>
      </c>
      <c r="B9" s="1">
        <f t="shared" si="1"/>
        <v>43</v>
      </c>
    </row>
    <row r="10">
      <c r="A10" s="2">
        <v>20.0</v>
      </c>
      <c r="B10" s="1">
        <f t="shared" si="1"/>
        <v>45</v>
      </c>
    </row>
    <row r="11">
      <c r="A11" s="2">
        <v>22.0</v>
      </c>
      <c r="B11" s="1">
        <f t="shared" si="1"/>
        <v>47</v>
      </c>
    </row>
    <row r="12">
      <c r="A12" s="2">
        <v>24.0</v>
      </c>
      <c r="B12" s="1">
        <f t="shared" si="1"/>
        <v>49</v>
      </c>
    </row>
    <row r="13">
      <c r="A13" s="2">
        <v>26.0</v>
      </c>
      <c r="B13" s="1">
        <f t="shared" si="1"/>
        <v>51</v>
      </c>
    </row>
    <row r="14">
      <c r="A14" s="2">
        <v>28.0</v>
      </c>
      <c r="B14" s="1">
        <f t="shared" si="1"/>
        <v>53</v>
      </c>
    </row>
    <row r="15">
      <c r="A15" s="2">
        <v>30.0</v>
      </c>
      <c r="B15" s="1">
        <f t="shared" si="1"/>
        <v>55</v>
      </c>
    </row>
    <row r="16">
      <c r="A16" s="2">
        <v>32.0</v>
      </c>
      <c r="B16" s="1">
        <f t="shared" si="1"/>
        <v>57</v>
      </c>
    </row>
    <row r="17">
      <c r="A17" s="2">
        <v>34.0</v>
      </c>
      <c r="B17" s="1">
        <f t="shared" si="1"/>
        <v>59</v>
      </c>
    </row>
    <row r="18">
      <c r="A18" s="2">
        <v>36.0</v>
      </c>
      <c r="B18" s="1">
        <f t="shared" si="1"/>
        <v>61</v>
      </c>
    </row>
    <row r="19">
      <c r="A19" s="2">
        <v>38.0</v>
      </c>
      <c r="B19" s="1">
        <f t="shared" si="1"/>
        <v>63</v>
      </c>
    </row>
    <row r="20">
      <c r="A20" s="2">
        <v>40.0</v>
      </c>
      <c r="B20" s="1">
        <f t="shared" si="1"/>
        <v>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1.0</v>
      </c>
      <c r="B1" s="1">
        <f t="shared" ref="B1:B20" si="1">A1*6</f>
        <v>6</v>
      </c>
    </row>
    <row r="2">
      <c r="A2" s="2">
        <v>2.0</v>
      </c>
      <c r="B2" s="1">
        <f t="shared" si="1"/>
        <v>12</v>
      </c>
    </row>
    <row r="3">
      <c r="A3" s="2">
        <v>3.0</v>
      </c>
      <c r="B3" s="1">
        <f t="shared" si="1"/>
        <v>18</v>
      </c>
    </row>
    <row r="4">
      <c r="A4" s="2">
        <v>4.0</v>
      </c>
      <c r="B4" s="1">
        <f t="shared" si="1"/>
        <v>24</v>
      </c>
    </row>
    <row r="5">
      <c r="A5" s="2">
        <v>5.0</v>
      </c>
      <c r="B5" s="1">
        <f t="shared" si="1"/>
        <v>30</v>
      </c>
    </row>
    <row r="6">
      <c r="A6" s="2">
        <v>6.0</v>
      </c>
      <c r="B6" s="1">
        <f t="shared" si="1"/>
        <v>36</v>
      </c>
    </row>
    <row r="7">
      <c r="A7" s="2">
        <v>7.0</v>
      </c>
      <c r="B7" s="1">
        <f t="shared" si="1"/>
        <v>42</v>
      </c>
    </row>
    <row r="8">
      <c r="A8" s="2">
        <v>8.0</v>
      </c>
      <c r="B8" s="1">
        <f t="shared" si="1"/>
        <v>48</v>
      </c>
    </row>
    <row r="9">
      <c r="A9" s="2">
        <v>9.0</v>
      </c>
      <c r="B9" s="1">
        <f t="shared" si="1"/>
        <v>54</v>
      </c>
    </row>
    <row r="10">
      <c r="A10" s="2">
        <v>10.0</v>
      </c>
      <c r="B10" s="1">
        <f t="shared" si="1"/>
        <v>60</v>
      </c>
    </row>
    <row r="11">
      <c r="A11" s="2">
        <v>11.0</v>
      </c>
      <c r="B11" s="1">
        <f t="shared" si="1"/>
        <v>66</v>
      </c>
    </row>
    <row r="12">
      <c r="A12" s="2">
        <v>12.0</v>
      </c>
      <c r="B12" s="1">
        <f t="shared" si="1"/>
        <v>72</v>
      </c>
    </row>
    <row r="13">
      <c r="A13" s="2">
        <v>13.0</v>
      </c>
      <c r="B13" s="1">
        <f t="shared" si="1"/>
        <v>78</v>
      </c>
    </row>
    <row r="14">
      <c r="A14" s="2">
        <v>14.0</v>
      </c>
      <c r="B14" s="1">
        <f t="shared" si="1"/>
        <v>84</v>
      </c>
    </row>
    <row r="15">
      <c r="A15" s="2">
        <v>15.0</v>
      </c>
      <c r="B15" s="1">
        <f t="shared" si="1"/>
        <v>90</v>
      </c>
    </row>
    <row r="16">
      <c r="A16" s="2">
        <v>16.0</v>
      </c>
      <c r="B16" s="1">
        <f t="shared" si="1"/>
        <v>96</v>
      </c>
    </row>
    <row r="17">
      <c r="A17" s="2">
        <v>17.0</v>
      </c>
      <c r="B17" s="1">
        <f t="shared" si="1"/>
        <v>102</v>
      </c>
    </row>
    <row r="18">
      <c r="A18" s="2">
        <v>18.0</v>
      </c>
      <c r="B18" s="1">
        <f t="shared" si="1"/>
        <v>108</v>
      </c>
    </row>
    <row r="19">
      <c r="A19" s="2">
        <v>19.0</v>
      </c>
      <c r="B19" s="1">
        <f t="shared" si="1"/>
        <v>114</v>
      </c>
    </row>
    <row r="20">
      <c r="A20" s="2">
        <v>20.0</v>
      </c>
      <c r="B20" s="1">
        <f t="shared" si="1"/>
        <v>120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29"/>
    <col customWidth="1" min="3" max="3" width="4.29"/>
    <col customWidth="1" min="4" max="4" width="6.29"/>
    <col customWidth="1" min="5" max="5" width="4.29"/>
    <col customWidth="1" min="6" max="6" width="18.14"/>
  </cols>
  <sheetData>
    <row r="1">
      <c r="A1" s="2" t="s">
        <v>35</v>
      </c>
      <c r="B1" s="2" t="s">
        <v>36</v>
      </c>
      <c r="D1" s="2" t="s">
        <v>37</v>
      </c>
      <c r="F1" s="2" t="s">
        <v>38</v>
      </c>
    </row>
    <row r="2">
      <c r="A2" s="2">
        <v>302.0</v>
      </c>
      <c r="B2" s="2" t="s">
        <v>22</v>
      </c>
    </row>
    <row r="3">
      <c r="B3" s="2" t="s">
        <v>39</v>
      </c>
      <c r="D3" s="2" t="s">
        <v>22</v>
      </c>
      <c r="F3" s="2" t="s">
        <v>9</v>
      </c>
    </row>
    <row r="8">
      <c r="F8" s="4" t="s">
        <v>40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9.86"/>
    <col customWidth="1" min="4" max="26" width="8.71"/>
  </cols>
  <sheetData>
    <row r="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>
      <c r="A2" s="1">
        <v>1.0</v>
      </c>
      <c r="B2" s="1" t="str">
        <f t="shared" ref="B2:B22" si="1"> "Single " &amp;A2</f>
        <v>Single 1</v>
      </c>
      <c r="C2" s="1" t="str">
        <f t="shared" ref="C2:C22" si="2">B2</f>
        <v>Single 1</v>
      </c>
      <c r="D2" s="1" t="str">
        <f t="shared" ref="D2:D22" si="3">"S"&amp;A2</f>
        <v>S1</v>
      </c>
      <c r="E2" s="2" t="s">
        <v>47</v>
      </c>
      <c r="F2" s="1">
        <f t="shared" ref="F2:F22" si="4">A2</f>
        <v>1</v>
      </c>
    </row>
    <row r="3">
      <c r="A3" s="1">
        <v>2.0</v>
      </c>
      <c r="B3" s="1" t="str">
        <f t="shared" si="1"/>
        <v>Single 2</v>
      </c>
      <c r="C3" s="1" t="str">
        <f t="shared" si="2"/>
        <v>Single 2</v>
      </c>
      <c r="D3" s="1" t="str">
        <f t="shared" si="3"/>
        <v>S2</v>
      </c>
      <c r="E3" s="2" t="s">
        <v>47</v>
      </c>
      <c r="F3" s="1">
        <f t="shared" si="4"/>
        <v>2</v>
      </c>
    </row>
    <row r="4">
      <c r="A4" s="1">
        <v>3.0</v>
      </c>
      <c r="B4" s="1" t="str">
        <f t="shared" si="1"/>
        <v>Single 3</v>
      </c>
      <c r="C4" s="1" t="str">
        <f t="shared" si="2"/>
        <v>Single 3</v>
      </c>
      <c r="D4" s="1" t="str">
        <f t="shared" si="3"/>
        <v>S3</v>
      </c>
      <c r="E4" s="2" t="s">
        <v>47</v>
      </c>
      <c r="F4" s="1">
        <f t="shared" si="4"/>
        <v>3</v>
      </c>
    </row>
    <row r="5">
      <c r="A5" s="1">
        <v>4.0</v>
      </c>
      <c r="B5" s="1" t="str">
        <f t="shared" si="1"/>
        <v>Single 4</v>
      </c>
      <c r="C5" s="1" t="str">
        <f t="shared" si="2"/>
        <v>Single 4</v>
      </c>
      <c r="D5" s="1" t="str">
        <f t="shared" si="3"/>
        <v>S4</v>
      </c>
      <c r="E5" s="2" t="s">
        <v>47</v>
      </c>
      <c r="F5" s="1">
        <f t="shared" si="4"/>
        <v>4</v>
      </c>
    </row>
    <row r="6">
      <c r="A6" s="1">
        <v>5.0</v>
      </c>
      <c r="B6" s="1" t="str">
        <f t="shared" si="1"/>
        <v>Single 5</v>
      </c>
      <c r="C6" s="1" t="str">
        <f t="shared" si="2"/>
        <v>Single 5</v>
      </c>
      <c r="D6" s="1" t="str">
        <f t="shared" si="3"/>
        <v>S5</v>
      </c>
      <c r="E6" s="2" t="s">
        <v>47</v>
      </c>
      <c r="F6" s="1">
        <f t="shared" si="4"/>
        <v>5</v>
      </c>
    </row>
    <row r="7">
      <c r="A7" s="1">
        <v>6.0</v>
      </c>
      <c r="B7" s="1" t="str">
        <f t="shared" si="1"/>
        <v>Single 6</v>
      </c>
      <c r="C7" s="1" t="str">
        <f t="shared" si="2"/>
        <v>Single 6</v>
      </c>
      <c r="D7" s="1" t="str">
        <f t="shared" si="3"/>
        <v>S6</v>
      </c>
      <c r="E7" s="2" t="s">
        <v>47</v>
      </c>
      <c r="F7" s="1">
        <f t="shared" si="4"/>
        <v>6</v>
      </c>
    </row>
    <row r="8">
      <c r="A8" s="1">
        <v>7.0</v>
      </c>
      <c r="B8" s="1" t="str">
        <f t="shared" si="1"/>
        <v>Single 7</v>
      </c>
      <c r="C8" s="1" t="str">
        <f t="shared" si="2"/>
        <v>Single 7</v>
      </c>
      <c r="D8" s="1" t="str">
        <f t="shared" si="3"/>
        <v>S7</v>
      </c>
      <c r="E8" s="2" t="s">
        <v>47</v>
      </c>
      <c r="F8" s="1">
        <f t="shared" si="4"/>
        <v>7</v>
      </c>
    </row>
    <row r="9">
      <c r="A9" s="1">
        <v>8.0</v>
      </c>
      <c r="B9" s="1" t="str">
        <f t="shared" si="1"/>
        <v>Single 8</v>
      </c>
      <c r="C9" s="1" t="str">
        <f t="shared" si="2"/>
        <v>Single 8</v>
      </c>
      <c r="D9" s="1" t="str">
        <f t="shared" si="3"/>
        <v>S8</v>
      </c>
      <c r="E9" s="2" t="s">
        <v>47</v>
      </c>
      <c r="F9" s="1">
        <f t="shared" si="4"/>
        <v>8</v>
      </c>
    </row>
    <row r="10">
      <c r="A10" s="1">
        <v>9.0</v>
      </c>
      <c r="B10" s="1" t="str">
        <f t="shared" si="1"/>
        <v>Single 9</v>
      </c>
      <c r="C10" s="1" t="str">
        <f t="shared" si="2"/>
        <v>Single 9</v>
      </c>
      <c r="D10" s="1" t="str">
        <f t="shared" si="3"/>
        <v>S9</v>
      </c>
      <c r="E10" s="2" t="s">
        <v>47</v>
      </c>
      <c r="F10" s="1">
        <f t="shared" si="4"/>
        <v>9</v>
      </c>
    </row>
    <row r="11">
      <c r="A11" s="1">
        <v>10.0</v>
      </c>
      <c r="B11" s="1" t="str">
        <f t="shared" si="1"/>
        <v>Single 10</v>
      </c>
      <c r="C11" s="1" t="str">
        <f t="shared" si="2"/>
        <v>Single 10</v>
      </c>
      <c r="D11" s="1" t="str">
        <f t="shared" si="3"/>
        <v>S10</v>
      </c>
      <c r="E11" s="2" t="s">
        <v>47</v>
      </c>
      <c r="F11" s="1">
        <f t="shared" si="4"/>
        <v>10</v>
      </c>
    </row>
    <row r="12">
      <c r="A12" s="1">
        <v>11.0</v>
      </c>
      <c r="B12" s="1" t="str">
        <f t="shared" si="1"/>
        <v>Single 11</v>
      </c>
      <c r="C12" s="1" t="str">
        <f t="shared" si="2"/>
        <v>Single 11</v>
      </c>
      <c r="D12" s="1" t="str">
        <f t="shared" si="3"/>
        <v>S11</v>
      </c>
      <c r="E12" s="2" t="s">
        <v>47</v>
      </c>
      <c r="F12" s="1">
        <f t="shared" si="4"/>
        <v>11</v>
      </c>
    </row>
    <row r="13">
      <c r="A13" s="1">
        <v>12.0</v>
      </c>
      <c r="B13" s="1" t="str">
        <f t="shared" si="1"/>
        <v>Single 12</v>
      </c>
      <c r="C13" s="1" t="str">
        <f t="shared" si="2"/>
        <v>Single 12</v>
      </c>
      <c r="D13" s="1" t="str">
        <f t="shared" si="3"/>
        <v>S12</v>
      </c>
      <c r="E13" s="2" t="s">
        <v>47</v>
      </c>
      <c r="F13" s="1">
        <f t="shared" si="4"/>
        <v>12</v>
      </c>
    </row>
    <row r="14">
      <c r="A14" s="1">
        <v>13.0</v>
      </c>
      <c r="B14" s="1" t="str">
        <f t="shared" si="1"/>
        <v>Single 13</v>
      </c>
      <c r="C14" s="1" t="str">
        <f t="shared" si="2"/>
        <v>Single 13</v>
      </c>
      <c r="D14" s="1" t="str">
        <f t="shared" si="3"/>
        <v>S13</v>
      </c>
      <c r="E14" s="2" t="s">
        <v>47</v>
      </c>
      <c r="F14" s="1">
        <f t="shared" si="4"/>
        <v>13</v>
      </c>
    </row>
    <row r="15">
      <c r="A15" s="1">
        <v>14.0</v>
      </c>
      <c r="B15" s="1" t="str">
        <f t="shared" si="1"/>
        <v>Single 14</v>
      </c>
      <c r="C15" s="1" t="str">
        <f t="shared" si="2"/>
        <v>Single 14</v>
      </c>
      <c r="D15" s="1" t="str">
        <f t="shared" si="3"/>
        <v>S14</v>
      </c>
      <c r="E15" s="2" t="s">
        <v>47</v>
      </c>
      <c r="F15" s="1">
        <f t="shared" si="4"/>
        <v>14</v>
      </c>
    </row>
    <row r="16">
      <c r="A16" s="1">
        <v>15.0</v>
      </c>
      <c r="B16" s="1" t="str">
        <f t="shared" si="1"/>
        <v>Single 15</v>
      </c>
      <c r="C16" s="1" t="str">
        <f t="shared" si="2"/>
        <v>Single 15</v>
      </c>
      <c r="D16" s="1" t="str">
        <f t="shared" si="3"/>
        <v>S15</v>
      </c>
      <c r="E16" s="2" t="s">
        <v>47</v>
      </c>
      <c r="F16" s="1">
        <f t="shared" si="4"/>
        <v>15</v>
      </c>
    </row>
    <row r="17">
      <c r="A17" s="1">
        <v>16.0</v>
      </c>
      <c r="B17" s="1" t="str">
        <f t="shared" si="1"/>
        <v>Single 16</v>
      </c>
      <c r="C17" s="1" t="str">
        <f t="shared" si="2"/>
        <v>Single 16</v>
      </c>
      <c r="D17" s="1" t="str">
        <f t="shared" si="3"/>
        <v>S16</v>
      </c>
      <c r="E17" s="2" t="s">
        <v>47</v>
      </c>
      <c r="F17" s="1">
        <f t="shared" si="4"/>
        <v>16</v>
      </c>
    </row>
    <row r="18">
      <c r="A18" s="1">
        <v>17.0</v>
      </c>
      <c r="B18" s="1" t="str">
        <f t="shared" si="1"/>
        <v>Single 17</v>
      </c>
      <c r="C18" s="1" t="str">
        <f t="shared" si="2"/>
        <v>Single 17</v>
      </c>
      <c r="D18" s="1" t="str">
        <f t="shared" si="3"/>
        <v>S17</v>
      </c>
      <c r="E18" s="2" t="s">
        <v>47</v>
      </c>
      <c r="F18" s="1">
        <f t="shared" si="4"/>
        <v>17</v>
      </c>
    </row>
    <row r="19">
      <c r="A19" s="1">
        <v>18.0</v>
      </c>
      <c r="B19" s="1" t="str">
        <f t="shared" si="1"/>
        <v>Single 18</v>
      </c>
      <c r="C19" s="1" t="str">
        <f t="shared" si="2"/>
        <v>Single 18</v>
      </c>
      <c r="D19" s="1" t="str">
        <f t="shared" si="3"/>
        <v>S18</v>
      </c>
      <c r="E19" s="2" t="s">
        <v>47</v>
      </c>
      <c r="F19" s="1">
        <f t="shared" si="4"/>
        <v>18</v>
      </c>
    </row>
    <row r="20">
      <c r="A20" s="1">
        <v>19.0</v>
      </c>
      <c r="B20" s="1" t="str">
        <f t="shared" si="1"/>
        <v>Single 19</v>
      </c>
      <c r="C20" s="1" t="str">
        <f t="shared" si="2"/>
        <v>Single 19</v>
      </c>
      <c r="D20" s="1" t="str">
        <f t="shared" si="3"/>
        <v>S19</v>
      </c>
      <c r="E20" s="2" t="s">
        <v>47</v>
      </c>
      <c r="F20" s="1">
        <f t="shared" si="4"/>
        <v>19</v>
      </c>
    </row>
    <row r="21">
      <c r="A21" s="1">
        <v>20.0</v>
      </c>
      <c r="B21" s="1" t="str">
        <f t="shared" si="1"/>
        <v>Single 20</v>
      </c>
      <c r="C21" s="1" t="str">
        <f t="shared" si="2"/>
        <v>Single 20</v>
      </c>
      <c r="D21" s="1" t="str">
        <f t="shared" si="3"/>
        <v>S20</v>
      </c>
      <c r="E21" s="2" t="s">
        <v>47</v>
      </c>
      <c r="F21" s="1">
        <f t="shared" si="4"/>
        <v>20</v>
      </c>
    </row>
    <row r="22" ht="15.75" customHeight="1">
      <c r="A22" s="1">
        <v>25.0</v>
      </c>
      <c r="B22" s="1" t="str">
        <f t="shared" si="1"/>
        <v>Single 25</v>
      </c>
      <c r="C22" s="1" t="str">
        <f t="shared" si="2"/>
        <v>Single 25</v>
      </c>
      <c r="D22" s="1" t="str">
        <f t="shared" si="3"/>
        <v>S25</v>
      </c>
      <c r="E22" s="2" t="s">
        <v>47</v>
      </c>
      <c r="F22" s="1">
        <f t="shared" si="4"/>
        <v>25</v>
      </c>
    </row>
    <row r="23" ht="15.75" customHeight="1">
      <c r="A23" s="1">
        <v>1.0</v>
      </c>
      <c r="B23" s="1" t="str">
        <f t="shared" ref="B23:B43" si="5"> "Double " &amp;A23</f>
        <v>Double 1</v>
      </c>
      <c r="C23" s="1" t="str">
        <f t="shared" ref="C23:C63" si="6">E23 &amp;" " &amp;A23</f>
        <v>Double 1</v>
      </c>
      <c r="D23" s="1" t="str">
        <f t="shared" ref="D23:D43" si="7">"D"&amp;A23</f>
        <v>D1</v>
      </c>
      <c r="E23" s="2" t="s">
        <v>48</v>
      </c>
      <c r="F23" s="2">
        <v>2.0</v>
      </c>
    </row>
    <row r="24" ht="15.75" customHeight="1">
      <c r="A24" s="1">
        <v>2.0</v>
      </c>
      <c r="B24" s="1" t="str">
        <f t="shared" si="5"/>
        <v>Double 2</v>
      </c>
      <c r="C24" s="1" t="str">
        <f t="shared" si="6"/>
        <v>Double 2</v>
      </c>
      <c r="D24" s="1" t="str">
        <f t="shared" si="7"/>
        <v>D2</v>
      </c>
      <c r="E24" s="2" t="s">
        <v>48</v>
      </c>
      <c r="F24" s="2">
        <v>4.0</v>
      </c>
    </row>
    <row r="25" ht="15.75" customHeight="1">
      <c r="A25" s="1">
        <v>3.0</v>
      </c>
      <c r="B25" s="1" t="str">
        <f t="shared" si="5"/>
        <v>Double 3</v>
      </c>
      <c r="C25" s="1" t="str">
        <f t="shared" si="6"/>
        <v>Double 3</v>
      </c>
      <c r="D25" s="1" t="str">
        <f t="shared" si="7"/>
        <v>D3</v>
      </c>
      <c r="E25" s="2" t="s">
        <v>48</v>
      </c>
      <c r="F25" s="1">
        <f t="shared" ref="F25:F43" si="8">2*A25</f>
        <v>6</v>
      </c>
    </row>
    <row r="26" ht="15.75" customHeight="1">
      <c r="A26" s="1">
        <v>4.0</v>
      </c>
      <c r="B26" s="1" t="str">
        <f t="shared" si="5"/>
        <v>Double 4</v>
      </c>
      <c r="C26" s="1" t="str">
        <f t="shared" si="6"/>
        <v>Double 4</v>
      </c>
      <c r="D26" s="1" t="str">
        <f t="shared" si="7"/>
        <v>D4</v>
      </c>
      <c r="E26" s="2" t="s">
        <v>48</v>
      </c>
      <c r="F26" s="1">
        <f t="shared" si="8"/>
        <v>8</v>
      </c>
    </row>
    <row r="27" ht="15.75" customHeight="1">
      <c r="A27" s="1">
        <v>5.0</v>
      </c>
      <c r="B27" s="1" t="str">
        <f t="shared" si="5"/>
        <v>Double 5</v>
      </c>
      <c r="C27" s="1" t="str">
        <f t="shared" si="6"/>
        <v>Double 5</v>
      </c>
      <c r="D27" s="1" t="str">
        <f t="shared" si="7"/>
        <v>D5</v>
      </c>
      <c r="E27" s="2" t="s">
        <v>48</v>
      </c>
      <c r="F27" s="1">
        <f t="shared" si="8"/>
        <v>10</v>
      </c>
    </row>
    <row r="28" ht="15.75" customHeight="1">
      <c r="A28" s="1">
        <v>6.0</v>
      </c>
      <c r="B28" s="1" t="str">
        <f t="shared" si="5"/>
        <v>Double 6</v>
      </c>
      <c r="C28" s="1" t="str">
        <f t="shared" si="6"/>
        <v>Double 6</v>
      </c>
      <c r="D28" s="1" t="str">
        <f t="shared" si="7"/>
        <v>D6</v>
      </c>
      <c r="E28" s="2" t="s">
        <v>48</v>
      </c>
      <c r="F28" s="1">
        <f t="shared" si="8"/>
        <v>12</v>
      </c>
    </row>
    <row r="29" ht="15.75" customHeight="1">
      <c r="A29" s="1">
        <v>7.0</v>
      </c>
      <c r="B29" s="1" t="str">
        <f t="shared" si="5"/>
        <v>Double 7</v>
      </c>
      <c r="C29" s="1" t="str">
        <f t="shared" si="6"/>
        <v>Double 7</v>
      </c>
      <c r="D29" s="1" t="str">
        <f t="shared" si="7"/>
        <v>D7</v>
      </c>
      <c r="E29" s="2" t="s">
        <v>48</v>
      </c>
      <c r="F29" s="1">
        <f t="shared" si="8"/>
        <v>14</v>
      </c>
    </row>
    <row r="30" ht="15.75" customHeight="1">
      <c r="A30" s="1">
        <v>8.0</v>
      </c>
      <c r="B30" s="1" t="str">
        <f t="shared" si="5"/>
        <v>Double 8</v>
      </c>
      <c r="C30" s="1" t="str">
        <f t="shared" si="6"/>
        <v>Double 8</v>
      </c>
      <c r="D30" s="1" t="str">
        <f t="shared" si="7"/>
        <v>D8</v>
      </c>
      <c r="E30" s="2" t="s">
        <v>48</v>
      </c>
      <c r="F30" s="1">
        <f t="shared" si="8"/>
        <v>16</v>
      </c>
    </row>
    <row r="31" ht="15.75" customHeight="1">
      <c r="A31" s="1">
        <v>9.0</v>
      </c>
      <c r="B31" s="1" t="str">
        <f t="shared" si="5"/>
        <v>Double 9</v>
      </c>
      <c r="C31" s="1" t="str">
        <f t="shared" si="6"/>
        <v>Double 9</v>
      </c>
      <c r="D31" s="1" t="str">
        <f t="shared" si="7"/>
        <v>D9</v>
      </c>
      <c r="E31" s="2" t="s">
        <v>48</v>
      </c>
      <c r="F31" s="1">
        <f t="shared" si="8"/>
        <v>18</v>
      </c>
    </row>
    <row r="32" ht="15.75" customHeight="1">
      <c r="A32" s="1">
        <v>10.0</v>
      </c>
      <c r="B32" s="1" t="str">
        <f t="shared" si="5"/>
        <v>Double 10</v>
      </c>
      <c r="C32" s="1" t="str">
        <f t="shared" si="6"/>
        <v>Double 10</v>
      </c>
      <c r="D32" s="1" t="str">
        <f t="shared" si="7"/>
        <v>D10</v>
      </c>
      <c r="E32" s="2" t="s">
        <v>48</v>
      </c>
      <c r="F32" s="1">
        <f t="shared" si="8"/>
        <v>20</v>
      </c>
    </row>
    <row r="33" ht="15.75" customHeight="1">
      <c r="A33" s="1">
        <v>11.0</v>
      </c>
      <c r="B33" s="1" t="str">
        <f t="shared" si="5"/>
        <v>Double 11</v>
      </c>
      <c r="C33" s="1" t="str">
        <f t="shared" si="6"/>
        <v>Double 11</v>
      </c>
      <c r="D33" s="1" t="str">
        <f t="shared" si="7"/>
        <v>D11</v>
      </c>
      <c r="E33" s="2" t="s">
        <v>48</v>
      </c>
      <c r="F33" s="1">
        <f t="shared" si="8"/>
        <v>22</v>
      </c>
    </row>
    <row r="34" ht="15.75" customHeight="1">
      <c r="A34" s="1">
        <v>12.0</v>
      </c>
      <c r="B34" s="1" t="str">
        <f t="shared" si="5"/>
        <v>Double 12</v>
      </c>
      <c r="C34" s="1" t="str">
        <f t="shared" si="6"/>
        <v>Double 12</v>
      </c>
      <c r="D34" s="1" t="str">
        <f t="shared" si="7"/>
        <v>D12</v>
      </c>
      <c r="E34" s="2" t="s">
        <v>48</v>
      </c>
      <c r="F34" s="1">
        <f t="shared" si="8"/>
        <v>24</v>
      </c>
    </row>
    <row r="35" ht="15.75" customHeight="1">
      <c r="A35" s="1">
        <v>13.0</v>
      </c>
      <c r="B35" s="1" t="str">
        <f t="shared" si="5"/>
        <v>Double 13</v>
      </c>
      <c r="C35" s="1" t="str">
        <f t="shared" si="6"/>
        <v>Double 13</v>
      </c>
      <c r="D35" s="1" t="str">
        <f t="shared" si="7"/>
        <v>D13</v>
      </c>
      <c r="E35" s="2" t="s">
        <v>48</v>
      </c>
      <c r="F35" s="1">
        <f t="shared" si="8"/>
        <v>26</v>
      </c>
    </row>
    <row r="36" ht="15.75" customHeight="1">
      <c r="A36" s="1">
        <v>14.0</v>
      </c>
      <c r="B36" s="1" t="str">
        <f t="shared" si="5"/>
        <v>Double 14</v>
      </c>
      <c r="C36" s="1" t="str">
        <f t="shared" si="6"/>
        <v>Double 14</v>
      </c>
      <c r="D36" s="1" t="str">
        <f t="shared" si="7"/>
        <v>D14</v>
      </c>
      <c r="E36" s="2" t="s">
        <v>48</v>
      </c>
      <c r="F36" s="1">
        <f t="shared" si="8"/>
        <v>28</v>
      </c>
    </row>
    <row r="37" ht="15.75" customHeight="1">
      <c r="A37" s="1">
        <v>15.0</v>
      </c>
      <c r="B37" s="1" t="str">
        <f t="shared" si="5"/>
        <v>Double 15</v>
      </c>
      <c r="C37" s="1" t="str">
        <f t="shared" si="6"/>
        <v>Double 15</v>
      </c>
      <c r="D37" s="1" t="str">
        <f t="shared" si="7"/>
        <v>D15</v>
      </c>
      <c r="E37" s="2" t="s">
        <v>48</v>
      </c>
      <c r="F37" s="1">
        <f t="shared" si="8"/>
        <v>30</v>
      </c>
    </row>
    <row r="38" ht="15.75" customHeight="1">
      <c r="A38" s="1">
        <v>16.0</v>
      </c>
      <c r="B38" s="1" t="str">
        <f t="shared" si="5"/>
        <v>Double 16</v>
      </c>
      <c r="C38" s="1" t="str">
        <f t="shared" si="6"/>
        <v>Double 16</v>
      </c>
      <c r="D38" s="1" t="str">
        <f t="shared" si="7"/>
        <v>D16</v>
      </c>
      <c r="E38" s="2" t="s">
        <v>48</v>
      </c>
      <c r="F38" s="1">
        <f t="shared" si="8"/>
        <v>32</v>
      </c>
    </row>
    <row r="39" ht="15.75" customHeight="1">
      <c r="A39" s="1">
        <v>17.0</v>
      </c>
      <c r="B39" s="1" t="str">
        <f t="shared" si="5"/>
        <v>Double 17</v>
      </c>
      <c r="C39" s="1" t="str">
        <f t="shared" si="6"/>
        <v>Double 17</v>
      </c>
      <c r="D39" s="1" t="str">
        <f t="shared" si="7"/>
        <v>D17</v>
      </c>
      <c r="E39" s="2" t="s">
        <v>48</v>
      </c>
      <c r="F39" s="1">
        <f t="shared" si="8"/>
        <v>34</v>
      </c>
    </row>
    <row r="40" ht="15.75" customHeight="1">
      <c r="A40" s="1">
        <v>18.0</v>
      </c>
      <c r="B40" s="1" t="str">
        <f t="shared" si="5"/>
        <v>Double 18</v>
      </c>
      <c r="C40" s="1" t="str">
        <f t="shared" si="6"/>
        <v>Double 18</v>
      </c>
      <c r="D40" s="1" t="str">
        <f t="shared" si="7"/>
        <v>D18</v>
      </c>
      <c r="E40" s="2" t="s">
        <v>48</v>
      </c>
      <c r="F40" s="1">
        <f t="shared" si="8"/>
        <v>36</v>
      </c>
    </row>
    <row r="41" ht="15.75" customHeight="1">
      <c r="A41" s="1">
        <v>19.0</v>
      </c>
      <c r="B41" s="1" t="str">
        <f t="shared" si="5"/>
        <v>Double 19</v>
      </c>
      <c r="C41" s="1" t="str">
        <f t="shared" si="6"/>
        <v>Double 19</v>
      </c>
      <c r="D41" s="1" t="str">
        <f t="shared" si="7"/>
        <v>D19</v>
      </c>
      <c r="E41" s="2" t="s">
        <v>48</v>
      </c>
      <c r="F41" s="1">
        <f t="shared" si="8"/>
        <v>38</v>
      </c>
    </row>
    <row r="42" ht="15.75" customHeight="1">
      <c r="A42" s="1">
        <v>20.0</v>
      </c>
      <c r="B42" s="1" t="str">
        <f t="shared" si="5"/>
        <v>Double 20</v>
      </c>
      <c r="C42" s="1" t="str">
        <f t="shared" si="6"/>
        <v>Double 20</v>
      </c>
      <c r="D42" s="1" t="str">
        <f t="shared" si="7"/>
        <v>D20</v>
      </c>
      <c r="E42" s="2" t="s">
        <v>48</v>
      </c>
      <c r="F42" s="1">
        <f t="shared" si="8"/>
        <v>40</v>
      </c>
    </row>
    <row r="43" ht="15.75" customHeight="1">
      <c r="A43" s="1">
        <v>25.0</v>
      </c>
      <c r="B43" s="1" t="str">
        <f t="shared" si="5"/>
        <v>Double 25</v>
      </c>
      <c r="C43" s="1" t="str">
        <f t="shared" si="6"/>
        <v>Double 25</v>
      </c>
      <c r="D43" s="1" t="str">
        <f t="shared" si="7"/>
        <v>D25</v>
      </c>
      <c r="E43" s="2" t="s">
        <v>48</v>
      </c>
      <c r="F43" s="1">
        <f t="shared" si="8"/>
        <v>50</v>
      </c>
    </row>
    <row r="44" ht="15.75" customHeight="1">
      <c r="A44" s="1">
        <v>1.0</v>
      </c>
      <c r="B44" s="1" t="str">
        <f t="shared" ref="B44:B63" si="9"> "Triple " &amp;A44</f>
        <v>Triple 1</v>
      </c>
      <c r="C44" s="1" t="str">
        <f t="shared" si="6"/>
        <v>Triple 1</v>
      </c>
      <c r="D44" s="1" t="str">
        <f t="shared" ref="D44:D63" si="10">"T"&amp;A44</f>
        <v>T1</v>
      </c>
      <c r="E44" s="2" t="s">
        <v>49</v>
      </c>
      <c r="F44" s="1">
        <f t="shared" ref="F44:F63" si="11">3*A44</f>
        <v>3</v>
      </c>
    </row>
    <row r="45" ht="15.75" customHeight="1">
      <c r="A45" s="1">
        <v>2.0</v>
      </c>
      <c r="B45" s="1" t="str">
        <f t="shared" si="9"/>
        <v>Triple 2</v>
      </c>
      <c r="C45" s="1" t="str">
        <f t="shared" si="6"/>
        <v>Triple 2</v>
      </c>
      <c r="D45" s="1" t="str">
        <f t="shared" si="10"/>
        <v>T2</v>
      </c>
      <c r="E45" s="2" t="s">
        <v>49</v>
      </c>
      <c r="F45" s="1">
        <f t="shared" si="11"/>
        <v>6</v>
      </c>
    </row>
    <row r="46" ht="15.75" customHeight="1">
      <c r="A46" s="1">
        <v>3.0</v>
      </c>
      <c r="B46" s="1" t="str">
        <f t="shared" si="9"/>
        <v>Triple 3</v>
      </c>
      <c r="C46" s="1" t="str">
        <f t="shared" si="6"/>
        <v>Triple 3</v>
      </c>
      <c r="D46" s="1" t="str">
        <f t="shared" si="10"/>
        <v>T3</v>
      </c>
      <c r="E46" s="2" t="s">
        <v>49</v>
      </c>
      <c r="F46" s="1">
        <f t="shared" si="11"/>
        <v>9</v>
      </c>
    </row>
    <row r="47" ht="15.75" customHeight="1">
      <c r="A47" s="1">
        <v>4.0</v>
      </c>
      <c r="B47" s="1" t="str">
        <f t="shared" si="9"/>
        <v>Triple 4</v>
      </c>
      <c r="C47" s="1" t="str">
        <f t="shared" si="6"/>
        <v>Triple 4</v>
      </c>
      <c r="D47" s="1" t="str">
        <f t="shared" si="10"/>
        <v>T4</v>
      </c>
      <c r="E47" s="2" t="s">
        <v>49</v>
      </c>
      <c r="F47" s="1">
        <f t="shared" si="11"/>
        <v>12</v>
      </c>
    </row>
    <row r="48" ht="15.75" customHeight="1">
      <c r="A48" s="1">
        <v>5.0</v>
      </c>
      <c r="B48" s="1" t="str">
        <f t="shared" si="9"/>
        <v>Triple 5</v>
      </c>
      <c r="C48" s="1" t="str">
        <f t="shared" si="6"/>
        <v>Triple 5</v>
      </c>
      <c r="D48" s="1" t="str">
        <f t="shared" si="10"/>
        <v>T5</v>
      </c>
      <c r="E48" s="2" t="s">
        <v>49</v>
      </c>
      <c r="F48" s="1">
        <f t="shared" si="11"/>
        <v>15</v>
      </c>
    </row>
    <row r="49" ht="15.75" customHeight="1">
      <c r="A49" s="1">
        <v>6.0</v>
      </c>
      <c r="B49" s="1" t="str">
        <f t="shared" si="9"/>
        <v>Triple 6</v>
      </c>
      <c r="C49" s="1" t="str">
        <f t="shared" si="6"/>
        <v>Triple 6</v>
      </c>
      <c r="D49" s="1" t="str">
        <f t="shared" si="10"/>
        <v>T6</v>
      </c>
      <c r="E49" s="2" t="s">
        <v>49</v>
      </c>
      <c r="F49" s="1">
        <f t="shared" si="11"/>
        <v>18</v>
      </c>
    </row>
    <row r="50" ht="15.75" customHeight="1">
      <c r="A50" s="1">
        <v>7.0</v>
      </c>
      <c r="B50" s="1" t="str">
        <f t="shared" si="9"/>
        <v>Triple 7</v>
      </c>
      <c r="C50" s="1" t="str">
        <f t="shared" si="6"/>
        <v>Triple 7</v>
      </c>
      <c r="D50" s="1" t="str">
        <f t="shared" si="10"/>
        <v>T7</v>
      </c>
      <c r="E50" s="2" t="s">
        <v>49</v>
      </c>
      <c r="F50" s="1">
        <f t="shared" si="11"/>
        <v>21</v>
      </c>
    </row>
    <row r="51" ht="15.75" customHeight="1">
      <c r="A51" s="1">
        <v>8.0</v>
      </c>
      <c r="B51" s="1" t="str">
        <f t="shared" si="9"/>
        <v>Triple 8</v>
      </c>
      <c r="C51" s="1" t="str">
        <f t="shared" si="6"/>
        <v>Triple 8</v>
      </c>
      <c r="D51" s="1" t="str">
        <f t="shared" si="10"/>
        <v>T8</v>
      </c>
      <c r="E51" s="2" t="s">
        <v>49</v>
      </c>
      <c r="F51" s="1">
        <f t="shared" si="11"/>
        <v>24</v>
      </c>
    </row>
    <row r="52" ht="15.75" customHeight="1">
      <c r="A52" s="1">
        <v>9.0</v>
      </c>
      <c r="B52" s="1" t="str">
        <f t="shared" si="9"/>
        <v>Triple 9</v>
      </c>
      <c r="C52" s="1" t="str">
        <f t="shared" si="6"/>
        <v>Triple 9</v>
      </c>
      <c r="D52" s="1" t="str">
        <f t="shared" si="10"/>
        <v>T9</v>
      </c>
      <c r="E52" s="2" t="s">
        <v>49</v>
      </c>
      <c r="F52" s="1">
        <f t="shared" si="11"/>
        <v>27</v>
      </c>
    </row>
    <row r="53" ht="15.75" customHeight="1">
      <c r="A53" s="1">
        <v>10.0</v>
      </c>
      <c r="B53" s="1" t="str">
        <f t="shared" si="9"/>
        <v>Triple 10</v>
      </c>
      <c r="C53" s="1" t="str">
        <f t="shared" si="6"/>
        <v>Triple 10</v>
      </c>
      <c r="D53" s="1" t="str">
        <f t="shared" si="10"/>
        <v>T10</v>
      </c>
      <c r="E53" s="2" t="s">
        <v>49</v>
      </c>
      <c r="F53" s="1">
        <f t="shared" si="11"/>
        <v>30</v>
      </c>
    </row>
    <row r="54" ht="15.75" customHeight="1">
      <c r="A54" s="1">
        <v>11.0</v>
      </c>
      <c r="B54" s="1" t="str">
        <f t="shared" si="9"/>
        <v>Triple 11</v>
      </c>
      <c r="C54" s="1" t="str">
        <f t="shared" si="6"/>
        <v>Triple 11</v>
      </c>
      <c r="D54" s="1" t="str">
        <f t="shared" si="10"/>
        <v>T11</v>
      </c>
      <c r="E54" s="2" t="s">
        <v>49</v>
      </c>
      <c r="F54" s="1">
        <f t="shared" si="11"/>
        <v>33</v>
      </c>
    </row>
    <row r="55" ht="15.75" customHeight="1">
      <c r="A55" s="1">
        <v>12.0</v>
      </c>
      <c r="B55" s="1" t="str">
        <f t="shared" si="9"/>
        <v>Triple 12</v>
      </c>
      <c r="C55" s="1" t="str">
        <f t="shared" si="6"/>
        <v>Triple 12</v>
      </c>
      <c r="D55" s="1" t="str">
        <f t="shared" si="10"/>
        <v>T12</v>
      </c>
      <c r="E55" s="2" t="s">
        <v>49</v>
      </c>
      <c r="F55" s="1">
        <f t="shared" si="11"/>
        <v>36</v>
      </c>
    </row>
    <row r="56" ht="15.75" customHeight="1">
      <c r="A56" s="1">
        <v>13.0</v>
      </c>
      <c r="B56" s="1" t="str">
        <f t="shared" si="9"/>
        <v>Triple 13</v>
      </c>
      <c r="C56" s="1" t="str">
        <f t="shared" si="6"/>
        <v>Triple 13</v>
      </c>
      <c r="D56" s="1" t="str">
        <f t="shared" si="10"/>
        <v>T13</v>
      </c>
      <c r="E56" s="2" t="s">
        <v>49</v>
      </c>
      <c r="F56" s="1">
        <f t="shared" si="11"/>
        <v>39</v>
      </c>
    </row>
    <row r="57" ht="15.75" customHeight="1">
      <c r="A57" s="1">
        <v>14.0</v>
      </c>
      <c r="B57" s="1" t="str">
        <f t="shared" si="9"/>
        <v>Triple 14</v>
      </c>
      <c r="C57" s="1" t="str">
        <f t="shared" si="6"/>
        <v>Triple 14</v>
      </c>
      <c r="D57" s="1" t="str">
        <f t="shared" si="10"/>
        <v>T14</v>
      </c>
      <c r="E57" s="2" t="s">
        <v>49</v>
      </c>
      <c r="F57" s="1">
        <f t="shared" si="11"/>
        <v>42</v>
      </c>
    </row>
    <row r="58" ht="15.75" customHeight="1">
      <c r="A58" s="1">
        <v>15.0</v>
      </c>
      <c r="B58" s="1" t="str">
        <f t="shared" si="9"/>
        <v>Triple 15</v>
      </c>
      <c r="C58" s="1" t="str">
        <f t="shared" si="6"/>
        <v>Triple 15</v>
      </c>
      <c r="D58" s="1" t="str">
        <f t="shared" si="10"/>
        <v>T15</v>
      </c>
      <c r="E58" s="2" t="s">
        <v>49</v>
      </c>
      <c r="F58" s="1">
        <f t="shared" si="11"/>
        <v>45</v>
      </c>
    </row>
    <row r="59" ht="15.75" customHeight="1">
      <c r="A59" s="1">
        <v>16.0</v>
      </c>
      <c r="B59" s="1" t="str">
        <f t="shared" si="9"/>
        <v>Triple 16</v>
      </c>
      <c r="C59" s="1" t="str">
        <f t="shared" si="6"/>
        <v>Triple 16</v>
      </c>
      <c r="D59" s="1" t="str">
        <f t="shared" si="10"/>
        <v>T16</v>
      </c>
      <c r="E59" s="2" t="s">
        <v>49</v>
      </c>
      <c r="F59" s="1">
        <f t="shared" si="11"/>
        <v>48</v>
      </c>
    </row>
    <row r="60" ht="15.75" customHeight="1">
      <c r="A60" s="1">
        <v>17.0</v>
      </c>
      <c r="B60" s="1" t="str">
        <f t="shared" si="9"/>
        <v>Triple 17</v>
      </c>
      <c r="C60" s="1" t="str">
        <f t="shared" si="6"/>
        <v>Triple 17</v>
      </c>
      <c r="D60" s="1" t="str">
        <f t="shared" si="10"/>
        <v>T17</v>
      </c>
      <c r="E60" s="2" t="s">
        <v>49</v>
      </c>
      <c r="F60" s="1">
        <f t="shared" si="11"/>
        <v>51</v>
      </c>
    </row>
    <row r="61" ht="15.75" customHeight="1">
      <c r="A61" s="1">
        <v>18.0</v>
      </c>
      <c r="B61" s="1" t="str">
        <f t="shared" si="9"/>
        <v>Triple 18</v>
      </c>
      <c r="C61" s="1" t="str">
        <f t="shared" si="6"/>
        <v>Triple 18</v>
      </c>
      <c r="D61" s="1" t="str">
        <f t="shared" si="10"/>
        <v>T18</v>
      </c>
      <c r="E61" s="2" t="s">
        <v>49</v>
      </c>
      <c r="F61" s="1">
        <f t="shared" si="11"/>
        <v>54</v>
      </c>
    </row>
    <row r="62" ht="15.75" customHeight="1">
      <c r="A62" s="1">
        <v>19.0</v>
      </c>
      <c r="B62" s="1" t="str">
        <f t="shared" si="9"/>
        <v>Triple 19</v>
      </c>
      <c r="C62" s="1" t="str">
        <f t="shared" si="6"/>
        <v>Triple 19</v>
      </c>
      <c r="D62" s="1" t="str">
        <f t="shared" si="10"/>
        <v>T19</v>
      </c>
      <c r="E62" s="2" t="s">
        <v>49</v>
      </c>
      <c r="F62" s="1">
        <f t="shared" si="11"/>
        <v>57</v>
      </c>
    </row>
    <row r="63" ht="15.75" customHeight="1">
      <c r="A63" s="1">
        <v>20.0</v>
      </c>
      <c r="B63" s="1" t="str">
        <f t="shared" si="9"/>
        <v>Triple 20</v>
      </c>
      <c r="C63" s="1" t="str">
        <f t="shared" si="6"/>
        <v>Triple 20</v>
      </c>
      <c r="D63" s="1" t="str">
        <f t="shared" si="10"/>
        <v>T20</v>
      </c>
      <c r="E63" s="2" t="s">
        <v>49</v>
      </c>
      <c r="F63" s="1">
        <f t="shared" si="11"/>
        <v>60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f t="shared" ref="B1:B20" si="1">3*A1</f>
        <v>3</v>
      </c>
    </row>
    <row r="2">
      <c r="A2" s="1">
        <v>2.0</v>
      </c>
      <c r="B2" s="1">
        <f t="shared" si="1"/>
        <v>6</v>
      </c>
    </row>
    <row r="3">
      <c r="A3" s="1">
        <v>3.0</v>
      </c>
      <c r="B3" s="1">
        <f t="shared" si="1"/>
        <v>9</v>
      </c>
    </row>
    <row r="4">
      <c r="A4" s="1">
        <v>4.0</v>
      </c>
      <c r="B4" s="1">
        <f t="shared" si="1"/>
        <v>12</v>
      </c>
    </row>
    <row r="5">
      <c r="A5" s="1">
        <v>5.0</v>
      </c>
      <c r="B5" s="1">
        <f t="shared" si="1"/>
        <v>15</v>
      </c>
    </row>
    <row r="6">
      <c r="A6" s="1">
        <v>6.0</v>
      </c>
      <c r="B6" s="1">
        <f t="shared" si="1"/>
        <v>18</v>
      </c>
    </row>
    <row r="7">
      <c r="A7" s="1">
        <v>7.0</v>
      </c>
      <c r="B7" s="1">
        <f t="shared" si="1"/>
        <v>21</v>
      </c>
    </row>
    <row r="8">
      <c r="A8" s="1">
        <v>8.0</v>
      </c>
      <c r="B8" s="1">
        <f t="shared" si="1"/>
        <v>24</v>
      </c>
    </row>
    <row r="9">
      <c r="A9" s="1">
        <v>9.0</v>
      </c>
      <c r="B9" s="1">
        <f t="shared" si="1"/>
        <v>27</v>
      </c>
    </row>
    <row r="10">
      <c r="A10" s="1">
        <v>10.0</v>
      </c>
      <c r="B10" s="1">
        <f t="shared" si="1"/>
        <v>30</v>
      </c>
    </row>
    <row r="11">
      <c r="A11" s="1">
        <v>11.0</v>
      </c>
      <c r="B11" s="1">
        <f t="shared" si="1"/>
        <v>33</v>
      </c>
    </row>
    <row r="12">
      <c r="A12" s="1">
        <v>12.0</v>
      </c>
      <c r="B12" s="1">
        <f t="shared" si="1"/>
        <v>36</v>
      </c>
    </row>
    <row r="13">
      <c r="A13" s="1">
        <v>13.0</v>
      </c>
      <c r="B13" s="1">
        <f t="shared" si="1"/>
        <v>39</v>
      </c>
    </row>
    <row r="14">
      <c r="A14" s="1">
        <v>14.0</v>
      </c>
      <c r="B14" s="1">
        <f t="shared" si="1"/>
        <v>42</v>
      </c>
    </row>
    <row r="15">
      <c r="A15" s="1">
        <v>15.0</v>
      </c>
      <c r="B15" s="1">
        <f t="shared" si="1"/>
        <v>45</v>
      </c>
    </row>
    <row r="16">
      <c r="A16" s="1">
        <v>16.0</v>
      </c>
      <c r="B16" s="1">
        <f t="shared" si="1"/>
        <v>48</v>
      </c>
    </row>
    <row r="17">
      <c r="A17" s="1">
        <v>17.0</v>
      </c>
      <c r="B17" s="1">
        <f t="shared" si="1"/>
        <v>51</v>
      </c>
    </row>
    <row r="18">
      <c r="A18" s="1">
        <v>18.0</v>
      </c>
      <c r="B18" s="1">
        <f t="shared" si="1"/>
        <v>54</v>
      </c>
    </row>
    <row r="19">
      <c r="A19" s="1">
        <v>19.0</v>
      </c>
      <c r="B19" s="1">
        <f t="shared" si="1"/>
        <v>57</v>
      </c>
    </row>
    <row r="20">
      <c r="A20" s="1">
        <v>20.0</v>
      </c>
      <c r="B20" s="1">
        <f t="shared" si="1"/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f t="shared" ref="B1:B21" si="1">2*A1</f>
        <v>2</v>
      </c>
    </row>
    <row r="2">
      <c r="A2" s="1">
        <v>2.0</v>
      </c>
      <c r="B2" s="1">
        <f t="shared" si="1"/>
        <v>4</v>
      </c>
    </row>
    <row r="3">
      <c r="A3" s="1">
        <v>3.0</v>
      </c>
      <c r="B3" s="1">
        <f t="shared" si="1"/>
        <v>6</v>
      </c>
    </row>
    <row r="4">
      <c r="A4" s="1">
        <v>4.0</v>
      </c>
      <c r="B4" s="1">
        <f t="shared" si="1"/>
        <v>8</v>
      </c>
    </row>
    <row r="5">
      <c r="A5" s="1">
        <v>5.0</v>
      </c>
      <c r="B5" s="1">
        <f t="shared" si="1"/>
        <v>10</v>
      </c>
    </row>
    <row r="6">
      <c r="A6" s="1">
        <v>6.0</v>
      </c>
      <c r="B6" s="1">
        <f t="shared" si="1"/>
        <v>12</v>
      </c>
    </row>
    <row r="7">
      <c r="A7" s="1">
        <v>7.0</v>
      </c>
      <c r="B7" s="1">
        <f t="shared" si="1"/>
        <v>14</v>
      </c>
    </row>
    <row r="8">
      <c r="A8" s="1">
        <v>8.0</v>
      </c>
      <c r="B8" s="1">
        <f t="shared" si="1"/>
        <v>16</v>
      </c>
    </row>
    <row r="9">
      <c r="A9" s="1">
        <v>9.0</v>
      </c>
      <c r="B9" s="1">
        <f t="shared" si="1"/>
        <v>18</v>
      </c>
    </row>
    <row r="10">
      <c r="A10" s="1">
        <v>10.0</v>
      </c>
      <c r="B10" s="1">
        <f t="shared" si="1"/>
        <v>20</v>
      </c>
    </row>
    <row r="11">
      <c r="A11" s="1">
        <v>11.0</v>
      </c>
      <c r="B11" s="1">
        <f t="shared" si="1"/>
        <v>22</v>
      </c>
    </row>
    <row r="12">
      <c r="A12" s="1">
        <v>12.0</v>
      </c>
      <c r="B12" s="1">
        <f t="shared" si="1"/>
        <v>24</v>
      </c>
    </row>
    <row r="13">
      <c r="A13" s="1">
        <v>13.0</v>
      </c>
      <c r="B13" s="1">
        <f t="shared" si="1"/>
        <v>26</v>
      </c>
    </row>
    <row r="14">
      <c r="A14" s="1">
        <v>14.0</v>
      </c>
      <c r="B14" s="1">
        <f t="shared" si="1"/>
        <v>28</v>
      </c>
    </row>
    <row r="15">
      <c r="A15" s="1">
        <v>15.0</v>
      </c>
      <c r="B15" s="1">
        <f t="shared" si="1"/>
        <v>30</v>
      </c>
    </row>
    <row r="16">
      <c r="A16" s="1">
        <v>16.0</v>
      </c>
      <c r="B16" s="1">
        <f t="shared" si="1"/>
        <v>32</v>
      </c>
    </row>
    <row r="17">
      <c r="A17" s="1">
        <v>17.0</v>
      </c>
      <c r="B17" s="1">
        <f t="shared" si="1"/>
        <v>34</v>
      </c>
    </row>
    <row r="18">
      <c r="A18" s="1">
        <v>18.0</v>
      </c>
      <c r="B18" s="1">
        <f t="shared" si="1"/>
        <v>36</v>
      </c>
    </row>
    <row r="19">
      <c r="A19" s="1">
        <v>19.0</v>
      </c>
      <c r="B19" s="1">
        <f t="shared" si="1"/>
        <v>38</v>
      </c>
    </row>
    <row r="20">
      <c r="A20" s="1">
        <v>20.0</v>
      </c>
      <c r="B20" s="1">
        <f t="shared" si="1"/>
        <v>40</v>
      </c>
    </row>
    <row r="21" ht="15.75" customHeight="1">
      <c r="A21" s="1">
        <v>25.0</v>
      </c>
      <c r="B21" s="1">
        <f t="shared" si="1"/>
        <v>50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34" width="3.0"/>
    <col customWidth="1" min="35" max="42" width="4.0"/>
    <col customWidth="1" min="43" max="45" width="8.71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24.0</v>
      </c>
      <c r="Y1" s="1">
        <v>25.0</v>
      </c>
      <c r="Z1" s="1">
        <v>26.0</v>
      </c>
      <c r="AA1" s="1">
        <v>28.0</v>
      </c>
      <c r="AB1" s="1">
        <v>30.0</v>
      </c>
      <c r="AC1" s="1">
        <v>32.0</v>
      </c>
      <c r="AD1" s="1">
        <v>33.0</v>
      </c>
      <c r="AE1" s="1">
        <v>34.0</v>
      </c>
      <c r="AF1" s="1">
        <v>36.0</v>
      </c>
      <c r="AG1" s="1">
        <v>38.0</v>
      </c>
      <c r="AH1" s="1">
        <v>39.0</v>
      </c>
      <c r="AI1" s="1">
        <v>40.0</v>
      </c>
      <c r="AJ1" s="1">
        <v>42.0</v>
      </c>
      <c r="AK1" s="1">
        <v>45.0</v>
      </c>
      <c r="AL1" s="1">
        <v>48.0</v>
      </c>
      <c r="AM1" s="1">
        <v>50.0</v>
      </c>
      <c r="AN1" s="1">
        <v>51.0</v>
      </c>
      <c r="AO1" s="1">
        <v>54.0</v>
      </c>
      <c r="AP1" s="1">
        <v>60.0</v>
      </c>
      <c r="AS1" s="1">
        <f>COUNTIFS(score2pijlen,AP1)</f>
        <v>26</v>
      </c>
    </row>
    <row r="2">
      <c r="A2" s="1">
        <v>1.0</v>
      </c>
      <c r="B2" s="1">
        <f t="shared" ref="B2:AP2" si="1">$A2+B1</f>
        <v>2</v>
      </c>
      <c r="C2" s="1">
        <f t="shared" si="1"/>
        <v>3</v>
      </c>
      <c r="D2" s="1">
        <f t="shared" si="1"/>
        <v>4</v>
      </c>
      <c r="E2" s="1">
        <f t="shared" si="1"/>
        <v>5</v>
      </c>
      <c r="F2" s="1">
        <f t="shared" si="1"/>
        <v>6</v>
      </c>
      <c r="G2" s="1">
        <f t="shared" si="1"/>
        <v>7</v>
      </c>
      <c r="H2" s="1">
        <f t="shared" si="1"/>
        <v>8</v>
      </c>
      <c r="I2" s="1">
        <f t="shared" si="1"/>
        <v>9</v>
      </c>
      <c r="J2" s="1">
        <f t="shared" si="1"/>
        <v>10</v>
      </c>
      <c r="K2" s="1">
        <f t="shared" si="1"/>
        <v>11</v>
      </c>
      <c r="L2" s="1">
        <f t="shared" si="1"/>
        <v>12</v>
      </c>
      <c r="M2" s="1">
        <f t="shared" si="1"/>
        <v>13</v>
      </c>
      <c r="N2" s="1">
        <f t="shared" si="1"/>
        <v>14</v>
      </c>
      <c r="O2" s="1">
        <f t="shared" si="1"/>
        <v>15</v>
      </c>
      <c r="P2" s="1">
        <f t="shared" si="1"/>
        <v>16</v>
      </c>
      <c r="Q2" s="1">
        <f t="shared" si="1"/>
        <v>17</v>
      </c>
      <c r="R2" s="1">
        <f t="shared" si="1"/>
        <v>18</v>
      </c>
      <c r="S2" s="1">
        <f t="shared" si="1"/>
        <v>19</v>
      </c>
      <c r="T2" s="1">
        <f t="shared" si="1"/>
        <v>20</v>
      </c>
      <c r="U2" s="1">
        <f t="shared" si="1"/>
        <v>21</v>
      </c>
      <c r="V2" s="1">
        <f t="shared" si="1"/>
        <v>22</v>
      </c>
      <c r="W2" s="1">
        <f t="shared" si="1"/>
        <v>23</v>
      </c>
      <c r="X2" s="1">
        <f t="shared" si="1"/>
        <v>25</v>
      </c>
      <c r="Y2" s="1">
        <f t="shared" si="1"/>
        <v>26</v>
      </c>
      <c r="Z2" s="1">
        <f t="shared" si="1"/>
        <v>27</v>
      </c>
      <c r="AA2" s="1">
        <f t="shared" si="1"/>
        <v>29</v>
      </c>
      <c r="AB2" s="1">
        <f t="shared" si="1"/>
        <v>31</v>
      </c>
      <c r="AC2" s="1">
        <f t="shared" si="1"/>
        <v>33</v>
      </c>
      <c r="AD2" s="1">
        <f t="shared" si="1"/>
        <v>34</v>
      </c>
      <c r="AE2" s="1">
        <f t="shared" si="1"/>
        <v>35</v>
      </c>
      <c r="AF2" s="1">
        <f t="shared" si="1"/>
        <v>37</v>
      </c>
      <c r="AG2" s="1">
        <f t="shared" si="1"/>
        <v>39</v>
      </c>
      <c r="AH2" s="1">
        <f t="shared" si="1"/>
        <v>40</v>
      </c>
      <c r="AI2" s="1">
        <f t="shared" si="1"/>
        <v>41</v>
      </c>
      <c r="AJ2" s="1">
        <f t="shared" si="1"/>
        <v>43</v>
      </c>
      <c r="AK2" s="1">
        <f t="shared" si="1"/>
        <v>46</v>
      </c>
      <c r="AL2" s="1">
        <f t="shared" si="1"/>
        <v>49</v>
      </c>
      <c r="AM2" s="1">
        <f t="shared" si="1"/>
        <v>51</v>
      </c>
      <c r="AN2" s="1">
        <f t="shared" si="1"/>
        <v>52</v>
      </c>
      <c r="AO2" s="1">
        <f t="shared" si="1"/>
        <v>55</v>
      </c>
      <c r="AP2" s="1">
        <f t="shared" si="1"/>
        <v>61</v>
      </c>
      <c r="AR2" s="1">
        <f>COUNTIFS(score2pijlen,A2)</f>
        <v>0</v>
      </c>
      <c r="AS2" s="1">
        <f>COUNTIFS(score2pijlen,AP2)</f>
        <v>23</v>
      </c>
    </row>
    <row r="3">
      <c r="A3" s="1">
        <v>2.0</v>
      </c>
      <c r="B3" s="1">
        <f t="shared" ref="B3:AP3" si="2">$A3+B$1</f>
        <v>3</v>
      </c>
      <c r="C3" s="1">
        <f t="shared" si="2"/>
        <v>4</v>
      </c>
      <c r="D3" s="1">
        <f t="shared" si="2"/>
        <v>5</v>
      </c>
      <c r="E3" s="1">
        <f t="shared" si="2"/>
        <v>6</v>
      </c>
      <c r="F3" s="1">
        <f t="shared" si="2"/>
        <v>7</v>
      </c>
      <c r="G3" s="1">
        <f t="shared" si="2"/>
        <v>8</v>
      </c>
      <c r="H3" s="1">
        <f t="shared" si="2"/>
        <v>9</v>
      </c>
      <c r="I3" s="1">
        <f t="shared" si="2"/>
        <v>10</v>
      </c>
      <c r="J3" s="1">
        <f t="shared" si="2"/>
        <v>11</v>
      </c>
      <c r="K3" s="1">
        <f t="shared" si="2"/>
        <v>12</v>
      </c>
      <c r="L3" s="1">
        <f t="shared" si="2"/>
        <v>13</v>
      </c>
      <c r="M3" s="1">
        <f t="shared" si="2"/>
        <v>14</v>
      </c>
      <c r="N3" s="1">
        <f t="shared" si="2"/>
        <v>15</v>
      </c>
      <c r="O3" s="1">
        <f t="shared" si="2"/>
        <v>16</v>
      </c>
      <c r="P3" s="1">
        <f t="shared" si="2"/>
        <v>17</v>
      </c>
      <c r="Q3" s="1">
        <f t="shared" si="2"/>
        <v>18</v>
      </c>
      <c r="R3" s="1">
        <f t="shared" si="2"/>
        <v>19</v>
      </c>
      <c r="S3" s="1">
        <f t="shared" si="2"/>
        <v>20</v>
      </c>
      <c r="T3" s="1">
        <f t="shared" si="2"/>
        <v>21</v>
      </c>
      <c r="U3" s="1">
        <f t="shared" si="2"/>
        <v>22</v>
      </c>
      <c r="V3" s="1">
        <f t="shared" si="2"/>
        <v>23</v>
      </c>
      <c r="W3" s="1">
        <f t="shared" si="2"/>
        <v>24</v>
      </c>
      <c r="X3" s="1">
        <f t="shared" si="2"/>
        <v>26</v>
      </c>
      <c r="Y3" s="1">
        <f t="shared" si="2"/>
        <v>27</v>
      </c>
      <c r="Z3" s="1">
        <f t="shared" si="2"/>
        <v>28</v>
      </c>
      <c r="AA3" s="1">
        <f t="shared" si="2"/>
        <v>30</v>
      </c>
      <c r="AB3" s="1">
        <f t="shared" si="2"/>
        <v>32</v>
      </c>
      <c r="AC3" s="1">
        <f t="shared" si="2"/>
        <v>34</v>
      </c>
      <c r="AD3" s="1">
        <f t="shared" si="2"/>
        <v>35</v>
      </c>
      <c r="AE3" s="1">
        <f t="shared" si="2"/>
        <v>36</v>
      </c>
      <c r="AF3" s="1">
        <f t="shared" si="2"/>
        <v>38</v>
      </c>
      <c r="AG3" s="1">
        <f t="shared" si="2"/>
        <v>40</v>
      </c>
      <c r="AH3" s="1">
        <f t="shared" si="2"/>
        <v>41</v>
      </c>
      <c r="AI3" s="1">
        <f t="shared" si="2"/>
        <v>42</v>
      </c>
      <c r="AJ3" s="1">
        <f t="shared" si="2"/>
        <v>44</v>
      </c>
      <c r="AK3" s="1">
        <f t="shared" si="2"/>
        <v>47</v>
      </c>
      <c r="AL3" s="1">
        <f t="shared" si="2"/>
        <v>50</v>
      </c>
      <c r="AM3" s="1">
        <f t="shared" si="2"/>
        <v>52</v>
      </c>
      <c r="AN3" s="1">
        <f t="shared" si="2"/>
        <v>53</v>
      </c>
      <c r="AO3" s="1">
        <f t="shared" si="2"/>
        <v>56</v>
      </c>
      <c r="AP3" s="5">
        <f t="shared" si="2"/>
        <v>62</v>
      </c>
      <c r="AR3" s="1">
        <f>COUNTIFS(score2pijlen,A3)</f>
        <v>1</v>
      </c>
      <c r="AS3" s="1">
        <f>COUNTIFS(score2pijlen,AP3)</f>
        <v>25</v>
      </c>
    </row>
    <row r="4">
      <c r="A4" s="1">
        <v>3.0</v>
      </c>
      <c r="B4" s="1">
        <f t="shared" ref="B4:AP4" si="3">$A4+B$1</f>
        <v>4</v>
      </c>
      <c r="C4" s="1">
        <f t="shared" si="3"/>
        <v>5</v>
      </c>
      <c r="D4" s="1">
        <f t="shared" si="3"/>
        <v>6</v>
      </c>
      <c r="E4" s="1">
        <f t="shared" si="3"/>
        <v>7</v>
      </c>
      <c r="F4" s="1">
        <f t="shared" si="3"/>
        <v>8</v>
      </c>
      <c r="G4" s="1">
        <f t="shared" si="3"/>
        <v>9</v>
      </c>
      <c r="H4" s="1">
        <f t="shared" si="3"/>
        <v>10</v>
      </c>
      <c r="I4" s="1">
        <f t="shared" si="3"/>
        <v>11</v>
      </c>
      <c r="J4" s="1">
        <f t="shared" si="3"/>
        <v>12</v>
      </c>
      <c r="K4" s="1">
        <f t="shared" si="3"/>
        <v>13</v>
      </c>
      <c r="L4" s="1">
        <f t="shared" si="3"/>
        <v>14</v>
      </c>
      <c r="M4" s="1">
        <f t="shared" si="3"/>
        <v>15</v>
      </c>
      <c r="N4" s="1">
        <f t="shared" si="3"/>
        <v>16</v>
      </c>
      <c r="O4" s="1">
        <f t="shared" si="3"/>
        <v>17</v>
      </c>
      <c r="P4" s="1">
        <f t="shared" si="3"/>
        <v>18</v>
      </c>
      <c r="Q4" s="1">
        <f t="shared" si="3"/>
        <v>19</v>
      </c>
      <c r="R4" s="1">
        <f t="shared" si="3"/>
        <v>20</v>
      </c>
      <c r="S4" s="1">
        <f t="shared" si="3"/>
        <v>21</v>
      </c>
      <c r="T4" s="1">
        <f t="shared" si="3"/>
        <v>22</v>
      </c>
      <c r="U4" s="1">
        <f t="shared" si="3"/>
        <v>23</v>
      </c>
      <c r="V4" s="1">
        <f t="shared" si="3"/>
        <v>24</v>
      </c>
      <c r="W4" s="1">
        <f t="shared" si="3"/>
        <v>25</v>
      </c>
      <c r="X4" s="1">
        <f t="shared" si="3"/>
        <v>27</v>
      </c>
      <c r="Y4" s="1">
        <f t="shared" si="3"/>
        <v>28</v>
      </c>
      <c r="Z4" s="1">
        <f t="shared" si="3"/>
        <v>29</v>
      </c>
      <c r="AA4" s="1">
        <f t="shared" si="3"/>
        <v>31</v>
      </c>
      <c r="AB4" s="1">
        <f t="shared" si="3"/>
        <v>33</v>
      </c>
      <c r="AC4" s="1">
        <f t="shared" si="3"/>
        <v>35</v>
      </c>
      <c r="AD4" s="1">
        <f t="shared" si="3"/>
        <v>36</v>
      </c>
      <c r="AE4" s="1">
        <f t="shared" si="3"/>
        <v>37</v>
      </c>
      <c r="AF4" s="1">
        <f t="shared" si="3"/>
        <v>39</v>
      </c>
      <c r="AG4" s="1">
        <f t="shared" si="3"/>
        <v>41</v>
      </c>
      <c r="AH4" s="1">
        <f t="shared" si="3"/>
        <v>42</v>
      </c>
      <c r="AI4" s="1">
        <f t="shared" si="3"/>
        <v>43</v>
      </c>
      <c r="AJ4" s="1">
        <f t="shared" si="3"/>
        <v>45</v>
      </c>
      <c r="AK4" s="1">
        <f t="shared" si="3"/>
        <v>48</v>
      </c>
      <c r="AL4" s="1">
        <f t="shared" si="3"/>
        <v>51</v>
      </c>
      <c r="AM4" s="1">
        <f t="shared" si="3"/>
        <v>53</v>
      </c>
      <c r="AN4" s="1">
        <f t="shared" si="3"/>
        <v>54</v>
      </c>
      <c r="AO4" s="1">
        <f t="shared" si="3"/>
        <v>57</v>
      </c>
      <c r="AP4" s="1">
        <f t="shared" si="3"/>
        <v>63</v>
      </c>
      <c r="AR4" s="1">
        <f>COUNTIFS(score2pijlen,A4)</f>
        <v>2</v>
      </c>
      <c r="AS4" s="1">
        <f>COUNTIFS(score2pijlen,AP4)</f>
        <v>21</v>
      </c>
    </row>
    <row r="5">
      <c r="A5" s="1">
        <v>4.0</v>
      </c>
      <c r="B5" s="1">
        <f t="shared" ref="B5:AP5" si="4">$A5+B$1</f>
        <v>5</v>
      </c>
      <c r="C5" s="1">
        <f t="shared" si="4"/>
        <v>6</v>
      </c>
      <c r="D5" s="1">
        <f t="shared" si="4"/>
        <v>7</v>
      </c>
      <c r="E5" s="1">
        <f t="shared" si="4"/>
        <v>8</v>
      </c>
      <c r="F5" s="1">
        <f t="shared" si="4"/>
        <v>9</v>
      </c>
      <c r="G5" s="1">
        <f t="shared" si="4"/>
        <v>10</v>
      </c>
      <c r="H5" s="1">
        <f t="shared" si="4"/>
        <v>11</v>
      </c>
      <c r="I5" s="1">
        <f t="shared" si="4"/>
        <v>12</v>
      </c>
      <c r="J5" s="1">
        <f t="shared" si="4"/>
        <v>13</v>
      </c>
      <c r="K5" s="1">
        <f t="shared" si="4"/>
        <v>14</v>
      </c>
      <c r="L5" s="1">
        <f t="shared" si="4"/>
        <v>15</v>
      </c>
      <c r="M5" s="1">
        <f t="shared" si="4"/>
        <v>16</v>
      </c>
      <c r="N5" s="1">
        <f t="shared" si="4"/>
        <v>17</v>
      </c>
      <c r="O5" s="1">
        <f t="shared" si="4"/>
        <v>18</v>
      </c>
      <c r="P5" s="1">
        <f t="shared" si="4"/>
        <v>19</v>
      </c>
      <c r="Q5" s="1">
        <f t="shared" si="4"/>
        <v>20</v>
      </c>
      <c r="R5" s="1">
        <f t="shared" si="4"/>
        <v>21</v>
      </c>
      <c r="S5" s="1">
        <f t="shared" si="4"/>
        <v>22</v>
      </c>
      <c r="T5" s="1">
        <f t="shared" si="4"/>
        <v>23</v>
      </c>
      <c r="U5" s="1">
        <f t="shared" si="4"/>
        <v>24</v>
      </c>
      <c r="V5" s="1">
        <f t="shared" si="4"/>
        <v>25</v>
      </c>
      <c r="W5" s="1">
        <f t="shared" si="4"/>
        <v>26</v>
      </c>
      <c r="X5" s="1">
        <f t="shared" si="4"/>
        <v>28</v>
      </c>
      <c r="Y5" s="1">
        <f t="shared" si="4"/>
        <v>29</v>
      </c>
      <c r="Z5" s="1">
        <f t="shared" si="4"/>
        <v>30</v>
      </c>
      <c r="AA5" s="1">
        <f t="shared" si="4"/>
        <v>32</v>
      </c>
      <c r="AB5" s="1">
        <f t="shared" si="4"/>
        <v>34</v>
      </c>
      <c r="AC5" s="1">
        <f t="shared" si="4"/>
        <v>36</v>
      </c>
      <c r="AD5" s="1">
        <f t="shared" si="4"/>
        <v>37</v>
      </c>
      <c r="AE5" s="1">
        <f t="shared" si="4"/>
        <v>38</v>
      </c>
      <c r="AF5" s="1">
        <f t="shared" si="4"/>
        <v>40</v>
      </c>
      <c r="AG5" s="1">
        <f t="shared" si="4"/>
        <v>42</v>
      </c>
      <c r="AH5" s="1">
        <f t="shared" si="4"/>
        <v>43</v>
      </c>
      <c r="AI5" s="1">
        <f t="shared" si="4"/>
        <v>44</v>
      </c>
      <c r="AJ5" s="1">
        <f t="shared" si="4"/>
        <v>46</v>
      </c>
      <c r="AK5" s="1">
        <f t="shared" si="4"/>
        <v>49</v>
      </c>
      <c r="AL5" s="1">
        <f t="shared" si="4"/>
        <v>52</v>
      </c>
      <c r="AM5" s="1">
        <f t="shared" si="4"/>
        <v>54</v>
      </c>
      <c r="AN5" s="1">
        <f t="shared" si="4"/>
        <v>55</v>
      </c>
      <c r="AO5" s="1">
        <f t="shared" si="4"/>
        <v>58</v>
      </c>
      <c r="AP5" s="1">
        <f t="shared" si="4"/>
        <v>64</v>
      </c>
      <c r="AR5" s="1">
        <f>COUNTIFS(score2pijlen,A5)</f>
        <v>3</v>
      </c>
      <c r="AS5" s="1">
        <f>COUNTIFS(score2pijlen,AP5)</f>
        <v>26</v>
      </c>
    </row>
    <row r="6">
      <c r="A6" s="1">
        <v>5.0</v>
      </c>
      <c r="B6" s="1">
        <f t="shared" ref="B6:AP6" si="5">$A6+B$1</f>
        <v>6</v>
      </c>
      <c r="C6" s="1">
        <f t="shared" si="5"/>
        <v>7</v>
      </c>
      <c r="D6" s="1">
        <f t="shared" si="5"/>
        <v>8</v>
      </c>
      <c r="E6" s="1">
        <f t="shared" si="5"/>
        <v>9</v>
      </c>
      <c r="F6" s="1">
        <f t="shared" si="5"/>
        <v>10</v>
      </c>
      <c r="G6" s="1">
        <f t="shared" si="5"/>
        <v>11</v>
      </c>
      <c r="H6" s="1">
        <f t="shared" si="5"/>
        <v>12</v>
      </c>
      <c r="I6" s="1">
        <f t="shared" si="5"/>
        <v>13</v>
      </c>
      <c r="J6" s="1">
        <f t="shared" si="5"/>
        <v>14</v>
      </c>
      <c r="K6" s="1">
        <f t="shared" si="5"/>
        <v>15</v>
      </c>
      <c r="L6" s="1">
        <f t="shared" si="5"/>
        <v>16</v>
      </c>
      <c r="M6" s="1">
        <f t="shared" si="5"/>
        <v>17</v>
      </c>
      <c r="N6" s="1">
        <f t="shared" si="5"/>
        <v>18</v>
      </c>
      <c r="O6" s="1">
        <f t="shared" si="5"/>
        <v>19</v>
      </c>
      <c r="P6" s="1">
        <f t="shared" si="5"/>
        <v>20</v>
      </c>
      <c r="Q6" s="1">
        <f t="shared" si="5"/>
        <v>21</v>
      </c>
      <c r="R6" s="1">
        <f t="shared" si="5"/>
        <v>22</v>
      </c>
      <c r="S6" s="1">
        <f t="shared" si="5"/>
        <v>23</v>
      </c>
      <c r="T6" s="1">
        <f t="shared" si="5"/>
        <v>24</v>
      </c>
      <c r="U6" s="1">
        <f t="shared" si="5"/>
        <v>25</v>
      </c>
      <c r="V6" s="1">
        <f t="shared" si="5"/>
        <v>26</v>
      </c>
      <c r="W6" s="1">
        <f t="shared" si="5"/>
        <v>27</v>
      </c>
      <c r="X6" s="1">
        <f t="shared" si="5"/>
        <v>29</v>
      </c>
      <c r="Y6" s="1">
        <f t="shared" si="5"/>
        <v>30</v>
      </c>
      <c r="Z6" s="1">
        <f t="shared" si="5"/>
        <v>31</v>
      </c>
      <c r="AA6" s="1">
        <f t="shared" si="5"/>
        <v>33</v>
      </c>
      <c r="AB6" s="1">
        <f t="shared" si="5"/>
        <v>35</v>
      </c>
      <c r="AC6" s="1">
        <f t="shared" si="5"/>
        <v>37</v>
      </c>
      <c r="AD6" s="1">
        <f t="shared" si="5"/>
        <v>38</v>
      </c>
      <c r="AE6" s="1">
        <f t="shared" si="5"/>
        <v>39</v>
      </c>
      <c r="AF6" s="1">
        <f t="shared" si="5"/>
        <v>41</v>
      </c>
      <c r="AG6" s="1">
        <f t="shared" si="5"/>
        <v>43</v>
      </c>
      <c r="AH6" s="1">
        <f t="shared" si="5"/>
        <v>44</v>
      </c>
      <c r="AI6" s="1">
        <f t="shared" si="5"/>
        <v>45</v>
      </c>
      <c r="AJ6" s="1">
        <f t="shared" si="5"/>
        <v>47</v>
      </c>
      <c r="AK6" s="1">
        <f t="shared" si="5"/>
        <v>50</v>
      </c>
      <c r="AL6" s="1">
        <f t="shared" si="5"/>
        <v>53</v>
      </c>
      <c r="AM6" s="1">
        <f t="shared" si="5"/>
        <v>55</v>
      </c>
      <c r="AN6" s="1">
        <f t="shared" si="5"/>
        <v>56</v>
      </c>
      <c r="AO6" s="1">
        <f t="shared" si="5"/>
        <v>59</v>
      </c>
      <c r="AP6" s="1">
        <f t="shared" si="5"/>
        <v>65</v>
      </c>
      <c r="AR6" s="1">
        <f>COUNTIFS(score2pijlen,A6)</f>
        <v>4</v>
      </c>
      <c r="AS6" s="1">
        <f>COUNTIFS(score2pijlen,AP6)</f>
        <v>19</v>
      </c>
    </row>
    <row r="7">
      <c r="A7" s="1">
        <v>6.0</v>
      </c>
      <c r="B7" s="1">
        <f t="shared" ref="B7:AP7" si="6">$A7+B$1</f>
        <v>7</v>
      </c>
      <c r="C7" s="1">
        <f t="shared" si="6"/>
        <v>8</v>
      </c>
      <c r="D7" s="1">
        <f t="shared" si="6"/>
        <v>9</v>
      </c>
      <c r="E7" s="1">
        <f t="shared" si="6"/>
        <v>10</v>
      </c>
      <c r="F7" s="1">
        <f t="shared" si="6"/>
        <v>11</v>
      </c>
      <c r="G7" s="1">
        <f t="shared" si="6"/>
        <v>12</v>
      </c>
      <c r="H7" s="1">
        <f t="shared" si="6"/>
        <v>13</v>
      </c>
      <c r="I7" s="1">
        <f t="shared" si="6"/>
        <v>14</v>
      </c>
      <c r="J7" s="1">
        <f t="shared" si="6"/>
        <v>15</v>
      </c>
      <c r="K7" s="1">
        <f t="shared" si="6"/>
        <v>16</v>
      </c>
      <c r="L7" s="1">
        <f t="shared" si="6"/>
        <v>17</v>
      </c>
      <c r="M7" s="1">
        <f t="shared" si="6"/>
        <v>18</v>
      </c>
      <c r="N7" s="1">
        <f t="shared" si="6"/>
        <v>19</v>
      </c>
      <c r="O7" s="1">
        <f t="shared" si="6"/>
        <v>20</v>
      </c>
      <c r="P7" s="1">
        <f t="shared" si="6"/>
        <v>21</v>
      </c>
      <c r="Q7" s="1">
        <f t="shared" si="6"/>
        <v>22</v>
      </c>
      <c r="R7" s="1">
        <f t="shared" si="6"/>
        <v>23</v>
      </c>
      <c r="S7" s="1">
        <f t="shared" si="6"/>
        <v>24</v>
      </c>
      <c r="T7" s="1">
        <f t="shared" si="6"/>
        <v>25</v>
      </c>
      <c r="U7" s="1">
        <f t="shared" si="6"/>
        <v>26</v>
      </c>
      <c r="V7" s="1">
        <f t="shared" si="6"/>
        <v>27</v>
      </c>
      <c r="W7" s="1">
        <f t="shared" si="6"/>
        <v>28</v>
      </c>
      <c r="X7" s="1">
        <f t="shared" si="6"/>
        <v>30</v>
      </c>
      <c r="Y7" s="1">
        <f t="shared" si="6"/>
        <v>31</v>
      </c>
      <c r="Z7" s="1">
        <f t="shared" si="6"/>
        <v>32</v>
      </c>
      <c r="AA7" s="1">
        <f t="shared" si="6"/>
        <v>34</v>
      </c>
      <c r="AB7" s="1">
        <f t="shared" si="6"/>
        <v>36</v>
      </c>
      <c r="AC7" s="1">
        <f t="shared" si="6"/>
        <v>38</v>
      </c>
      <c r="AD7" s="1">
        <f t="shared" si="6"/>
        <v>39</v>
      </c>
      <c r="AE7" s="1">
        <f t="shared" si="6"/>
        <v>40</v>
      </c>
      <c r="AF7" s="1">
        <f t="shared" si="6"/>
        <v>42</v>
      </c>
      <c r="AG7" s="1">
        <f t="shared" si="6"/>
        <v>44</v>
      </c>
      <c r="AH7" s="1">
        <f t="shared" si="6"/>
        <v>45</v>
      </c>
      <c r="AI7" s="1">
        <f t="shared" si="6"/>
        <v>46</v>
      </c>
      <c r="AJ7" s="1">
        <f t="shared" si="6"/>
        <v>48</v>
      </c>
      <c r="AK7" s="1">
        <f t="shared" si="6"/>
        <v>51</v>
      </c>
      <c r="AL7" s="1">
        <f t="shared" si="6"/>
        <v>54</v>
      </c>
      <c r="AM7" s="1">
        <f t="shared" si="6"/>
        <v>56</v>
      </c>
      <c r="AN7" s="1">
        <f t="shared" si="6"/>
        <v>57</v>
      </c>
      <c r="AO7" s="1">
        <f t="shared" si="6"/>
        <v>60</v>
      </c>
      <c r="AP7" s="1">
        <f t="shared" si="6"/>
        <v>66</v>
      </c>
      <c r="AR7" s="1">
        <f>COUNTIFS(score2pijlen,A7)</f>
        <v>5</v>
      </c>
      <c r="AS7" s="1">
        <f>COUNTIFS(score2pijlen,AP7)</f>
        <v>24</v>
      </c>
    </row>
    <row r="8">
      <c r="A8" s="1">
        <v>7.0</v>
      </c>
      <c r="B8" s="1">
        <f t="shared" ref="B8:AP8" si="7">$A8+B$1</f>
        <v>8</v>
      </c>
      <c r="C8" s="1">
        <f t="shared" si="7"/>
        <v>9</v>
      </c>
      <c r="D8" s="1">
        <f t="shared" si="7"/>
        <v>10</v>
      </c>
      <c r="E8" s="1">
        <f t="shared" si="7"/>
        <v>11</v>
      </c>
      <c r="F8" s="1">
        <f t="shared" si="7"/>
        <v>12</v>
      </c>
      <c r="G8" s="1">
        <f t="shared" si="7"/>
        <v>13</v>
      </c>
      <c r="H8" s="1">
        <f t="shared" si="7"/>
        <v>14</v>
      </c>
      <c r="I8" s="1">
        <f t="shared" si="7"/>
        <v>15</v>
      </c>
      <c r="J8" s="1">
        <f t="shared" si="7"/>
        <v>16</v>
      </c>
      <c r="K8" s="1">
        <f t="shared" si="7"/>
        <v>17</v>
      </c>
      <c r="L8" s="1">
        <f t="shared" si="7"/>
        <v>18</v>
      </c>
      <c r="M8" s="1">
        <f t="shared" si="7"/>
        <v>19</v>
      </c>
      <c r="N8" s="1">
        <f t="shared" si="7"/>
        <v>20</v>
      </c>
      <c r="O8" s="1">
        <f t="shared" si="7"/>
        <v>21</v>
      </c>
      <c r="P8" s="1">
        <f t="shared" si="7"/>
        <v>22</v>
      </c>
      <c r="Q8" s="1">
        <f t="shared" si="7"/>
        <v>23</v>
      </c>
      <c r="R8" s="1">
        <f t="shared" si="7"/>
        <v>24</v>
      </c>
      <c r="S8" s="1">
        <f t="shared" si="7"/>
        <v>25</v>
      </c>
      <c r="T8" s="1">
        <f t="shared" si="7"/>
        <v>26</v>
      </c>
      <c r="U8" s="1">
        <f t="shared" si="7"/>
        <v>27</v>
      </c>
      <c r="V8" s="1">
        <f t="shared" si="7"/>
        <v>28</v>
      </c>
      <c r="W8" s="1">
        <f t="shared" si="7"/>
        <v>29</v>
      </c>
      <c r="X8" s="1">
        <f t="shared" si="7"/>
        <v>31</v>
      </c>
      <c r="Y8" s="1">
        <f t="shared" si="7"/>
        <v>32</v>
      </c>
      <c r="Z8" s="1">
        <f t="shared" si="7"/>
        <v>33</v>
      </c>
      <c r="AA8" s="1">
        <f t="shared" si="7"/>
        <v>35</v>
      </c>
      <c r="AB8" s="1">
        <f t="shared" si="7"/>
        <v>37</v>
      </c>
      <c r="AC8" s="1">
        <f t="shared" si="7"/>
        <v>39</v>
      </c>
      <c r="AD8" s="1">
        <f t="shared" si="7"/>
        <v>40</v>
      </c>
      <c r="AE8" s="1">
        <f t="shared" si="7"/>
        <v>41</v>
      </c>
      <c r="AF8" s="1">
        <f t="shared" si="7"/>
        <v>43</v>
      </c>
      <c r="AG8" s="1">
        <f t="shared" si="7"/>
        <v>45</v>
      </c>
      <c r="AH8" s="1">
        <f t="shared" si="7"/>
        <v>46</v>
      </c>
      <c r="AI8" s="1">
        <f t="shared" si="7"/>
        <v>47</v>
      </c>
      <c r="AJ8" s="1">
        <f t="shared" si="7"/>
        <v>49</v>
      </c>
      <c r="AK8" s="1">
        <f t="shared" si="7"/>
        <v>52</v>
      </c>
      <c r="AL8" s="1">
        <f t="shared" si="7"/>
        <v>55</v>
      </c>
      <c r="AM8" s="1">
        <f t="shared" si="7"/>
        <v>57</v>
      </c>
      <c r="AN8" s="1">
        <f t="shared" si="7"/>
        <v>58</v>
      </c>
      <c r="AO8" s="1">
        <f t="shared" si="7"/>
        <v>61</v>
      </c>
      <c r="AP8" s="1">
        <f t="shared" si="7"/>
        <v>67</v>
      </c>
      <c r="AR8" s="1">
        <f>COUNTIFS(score2pijlen,A8)</f>
        <v>6</v>
      </c>
      <c r="AS8" s="1">
        <f>COUNTIFS(score2pijlen,AP8)</f>
        <v>19</v>
      </c>
    </row>
    <row r="9">
      <c r="A9" s="1">
        <v>8.0</v>
      </c>
      <c r="B9" s="1">
        <f t="shared" ref="B9:AP9" si="8">$A9+B$1</f>
        <v>9</v>
      </c>
      <c r="C9" s="1">
        <f t="shared" si="8"/>
        <v>10</v>
      </c>
      <c r="D9" s="1">
        <f t="shared" si="8"/>
        <v>11</v>
      </c>
      <c r="E9" s="1">
        <f t="shared" si="8"/>
        <v>12</v>
      </c>
      <c r="F9" s="1">
        <f t="shared" si="8"/>
        <v>13</v>
      </c>
      <c r="G9" s="1">
        <f t="shared" si="8"/>
        <v>14</v>
      </c>
      <c r="H9" s="1">
        <f t="shared" si="8"/>
        <v>15</v>
      </c>
      <c r="I9" s="1">
        <f t="shared" si="8"/>
        <v>16</v>
      </c>
      <c r="J9" s="1">
        <f t="shared" si="8"/>
        <v>17</v>
      </c>
      <c r="K9" s="1">
        <f t="shared" si="8"/>
        <v>18</v>
      </c>
      <c r="L9" s="1">
        <f t="shared" si="8"/>
        <v>19</v>
      </c>
      <c r="M9" s="1">
        <f t="shared" si="8"/>
        <v>20</v>
      </c>
      <c r="N9" s="1">
        <f t="shared" si="8"/>
        <v>21</v>
      </c>
      <c r="O9" s="1">
        <f t="shared" si="8"/>
        <v>22</v>
      </c>
      <c r="P9" s="1">
        <f t="shared" si="8"/>
        <v>23</v>
      </c>
      <c r="Q9" s="1">
        <f t="shared" si="8"/>
        <v>24</v>
      </c>
      <c r="R9" s="1">
        <f t="shared" si="8"/>
        <v>25</v>
      </c>
      <c r="S9" s="1">
        <f t="shared" si="8"/>
        <v>26</v>
      </c>
      <c r="T9" s="1">
        <f t="shared" si="8"/>
        <v>27</v>
      </c>
      <c r="U9" s="1">
        <f t="shared" si="8"/>
        <v>28</v>
      </c>
      <c r="V9" s="1">
        <f t="shared" si="8"/>
        <v>29</v>
      </c>
      <c r="W9" s="1">
        <f t="shared" si="8"/>
        <v>30</v>
      </c>
      <c r="X9" s="1">
        <f t="shared" si="8"/>
        <v>32</v>
      </c>
      <c r="Y9" s="1">
        <f t="shared" si="8"/>
        <v>33</v>
      </c>
      <c r="Z9" s="1">
        <f t="shared" si="8"/>
        <v>34</v>
      </c>
      <c r="AA9" s="1">
        <f t="shared" si="8"/>
        <v>36</v>
      </c>
      <c r="AB9" s="1">
        <f t="shared" si="8"/>
        <v>38</v>
      </c>
      <c r="AC9" s="1">
        <f t="shared" si="8"/>
        <v>40</v>
      </c>
      <c r="AD9" s="1">
        <f t="shared" si="8"/>
        <v>41</v>
      </c>
      <c r="AE9" s="1">
        <f t="shared" si="8"/>
        <v>42</v>
      </c>
      <c r="AF9" s="1">
        <f t="shared" si="8"/>
        <v>44</v>
      </c>
      <c r="AG9" s="1">
        <f t="shared" si="8"/>
        <v>46</v>
      </c>
      <c r="AH9" s="1">
        <f t="shared" si="8"/>
        <v>47</v>
      </c>
      <c r="AI9" s="1">
        <f t="shared" si="8"/>
        <v>48</v>
      </c>
      <c r="AJ9" s="1">
        <f t="shared" si="8"/>
        <v>50</v>
      </c>
      <c r="AK9" s="1">
        <f t="shared" si="8"/>
        <v>53</v>
      </c>
      <c r="AL9" s="1">
        <f t="shared" si="8"/>
        <v>56</v>
      </c>
      <c r="AM9" s="1">
        <f t="shared" si="8"/>
        <v>58</v>
      </c>
      <c r="AN9" s="1">
        <f t="shared" si="8"/>
        <v>59</v>
      </c>
      <c r="AO9" s="5">
        <f t="shared" si="8"/>
        <v>62</v>
      </c>
      <c r="AP9" s="1">
        <f t="shared" si="8"/>
        <v>68</v>
      </c>
      <c r="AR9" s="1">
        <f>COUNTIFS(score2pijlen,A9)</f>
        <v>7</v>
      </c>
      <c r="AS9" s="1">
        <f>COUNTIFS(score2pijlen,AP9)</f>
        <v>20</v>
      </c>
    </row>
    <row r="10">
      <c r="A10" s="1">
        <v>9.0</v>
      </c>
      <c r="B10" s="1">
        <f t="shared" ref="B10:AP10" si="9">$A10+B$1</f>
        <v>10</v>
      </c>
      <c r="C10" s="1">
        <f t="shared" si="9"/>
        <v>11</v>
      </c>
      <c r="D10" s="1">
        <f t="shared" si="9"/>
        <v>12</v>
      </c>
      <c r="E10" s="1">
        <f t="shared" si="9"/>
        <v>13</v>
      </c>
      <c r="F10" s="1">
        <f t="shared" si="9"/>
        <v>14</v>
      </c>
      <c r="G10" s="1">
        <f t="shared" si="9"/>
        <v>15</v>
      </c>
      <c r="H10" s="1">
        <f t="shared" si="9"/>
        <v>16</v>
      </c>
      <c r="I10" s="1">
        <f t="shared" si="9"/>
        <v>17</v>
      </c>
      <c r="J10" s="1">
        <f t="shared" si="9"/>
        <v>18</v>
      </c>
      <c r="K10" s="1">
        <f t="shared" si="9"/>
        <v>19</v>
      </c>
      <c r="L10" s="1">
        <f t="shared" si="9"/>
        <v>20</v>
      </c>
      <c r="M10" s="1">
        <f t="shared" si="9"/>
        <v>21</v>
      </c>
      <c r="N10" s="1">
        <f t="shared" si="9"/>
        <v>22</v>
      </c>
      <c r="O10" s="1">
        <f t="shared" si="9"/>
        <v>23</v>
      </c>
      <c r="P10" s="1">
        <f t="shared" si="9"/>
        <v>24</v>
      </c>
      <c r="Q10" s="1">
        <f t="shared" si="9"/>
        <v>25</v>
      </c>
      <c r="R10" s="1">
        <f t="shared" si="9"/>
        <v>26</v>
      </c>
      <c r="S10" s="1">
        <f t="shared" si="9"/>
        <v>27</v>
      </c>
      <c r="T10" s="1">
        <f t="shared" si="9"/>
        <v>28</v>
      </c>
      <c r="U10" s="1">
        <f t="shared" si="9"/>
        <v>29</v>
      </c>
      <c r="V10" s="1">
        <f t="shared" si="9"/>
        <v>30</v>
      </c>
      <c r="W10" s="1">
        <f t="shared" si="9"/>
        <v>31</v>
      </c>
      <c r="X10" s="1">
        <f t="shared" si="9"/>
        <v>33</v>
      </c>
      <c r="Y10" s="1">
        <f t="shared" si="9"/>
        <v>34</v>
      </c>
      <c r="Z10" s="1">
        <f t="shared" si="9"/>
        <v>35</v>
      </c>
      <c r="AA10" s="1">
        <f t="shared" si="9"/>
        <v>37</v>
      </c>
      <c r="AB10" s="1">
        <f t="shared" si="9"/>
        <v>39</v>
      </c>
      <c r="AC10" s="1">
        <f t="shared" si="9"/>
        <v>41</v>
      </c>
      <c r="AD10" s="1">
        <f t="shared" si="9"/>
        <v>42</v>
      </c>
      <c r="AE10" s="1">
        <f t="shared" si="9"/>
        <v>43</v>
      </c>
      <c r="AF10" s="1">
        <f t="shared" si="9"/>
        <v>45</v>
      </c>
      <c r="AG10" s="1">
        <f t="shared" si="9"/>
        <v>47</v>
      </c>
      <c r="AH10" s="1">
        <f t="shared" si="9"/>
        <v>48</v>
      </c>
      <c r="AI10" s="1">
        <f t="shared" si="9"/>
        <v>49</v>
      </c>
      <c r="AJ10" s="1">
        <f t="shared" si="9"/>
        <v>51</v>
      </c>
      <c r="AK10" s="1">
        <f t="shared" si="9"/>
        <v>54</v>
      </c>
      <c r="AL10" s="1">
        <f t="shared" si="9"/>
        <v>57</v>
      </c>
      <c r="AM10" s="1">
        <f t="shared" si="9"/>
        <v>59</v>
      </c>
      <c r="AN10" s="1">
        <f t="shared" si="9"/>
        <v>60</v>
      </c>
      <c r="AO10" s="1">
        <f t="shared" si="9"/>
        <v>63</v>
      </c>
      <c r="AP10" s="1">
        <f t="shared" si="9"/>
        <v>69</v>
      </c>
      <c r="AR10" s="1">
        <f>COUNTIFS(score2pijlen,A10)</f>
        <v>8</v>
      </c>
      <c r="AS10" s="1">
        <f>COUNTIFS(score2pijlen,AP10)</f>
        <v>17</v>
      </c>
    </row>
    <row r="11">
      <c r="A11" s="1">
        <v>10.0</v>
      </c>
      <c r="B11" s="1">
        <f t="shared" ref="B11:AP11" si="10">$A11+B$1</f>
        <v>11</v>
      </c>
      <c r="C11" s="1">
        <f t="shared" si="10"/>
        <v>12</v>
      </c>
      <c r="D11" s="1">
        <f t="shared" si="10"/>
        <v>13</v>
      </c>
      <c r="E11" s="1">
        <f t="shared" si="10"/>
        <v>14</v>
      </c>
      <c r="F11" s="1">
        <f t="shared" si="10"/>
        <v>15</v>
      </c>
      <c r="G11" s="1">
        <f t="shared" si="10"/>
        <v>16</v>
      </c>
      <c r="H11" s="1">
        <f t="shared" si="10"/>
        <v>17</v>
      </c>
      <c r="I11" s="1">
        <f t="shared" si="10"/>
        <v>18</v>
      </c>
      <c r="J11" s="1">
        <f t="shared" si="10"/>
        <v>19</v>
      </c>
      <c r="K11" s="1">
        <f t="shared" si="10"/>
        <v>20</v>
      </c>
      <c r="L11" s="1">
        <f t="shared" si="10"/>
        <v>21</v>
      </c>
      <c r="M11" s="1">
        <f t="shared" si="10"/>
        <v>22</v>
      </c>
      <c r="N11" s="1">
        <f t="shared" si="10"/>
        <v>23</v>
      </c>
      <c r="O11" s="1">
        <f t="shared" si="10"/>
        <v>24</v>
      </c>
      <c r="P11" s="1">
        <f t="shared" si="10"/>
        <v>25</v>
      </c>
      <c r="Q11" s="1">
        <f t="shared" si="10"/>
        <v>26</v>
      </c>
      <c r="R11" s="1">
        <f t="shared" si="10"/>
        <v>27</v>
      </c>
      <c r="S11" s="1">
        <f t="shared" si="10"/>
        <v>28</v>
      </c>
      <c r="T11" s="1">
        <f t="shared" si="10"/>
        <v>29</v>
      </c>
      <c r="U11" s="1">
        <f t="shared" si="10"/>
        <v>30</v>
      </c>
      <c r="V11" s="1">
        <f t="shared" si="10"/>
        <v>31</v>
      </c>
      <c r="W11" s="1">
        <f t="shared" si="10"/>
        <v>32</v>
      </c>
      <c r="X11" s="1">
        <f t="shared" si="10"/>
        <v>34</v>
      </c>
      <c r="Y11" s="1">
        <f t="shared" si="10"/>
        <v>35</v>
      </c>
      <c r="Z11" s="1">
        <f t="shared" si="10"/>
        <v>36</v>
      </c>
      <c r="AA11" s="1">
        <f t="shared" si="10"/>
        <v>38</v>
      </c>
      <c r="AB11" s="1">
        <f t="shared" si="10"/>
        <v>40</v>
      </c>
      <c r="AC11" s="1">
        <f t="shared" si="10"/>
        <v>42</v>
      </c>
      <c r="AD11" s="1">
        <f t="shared" si="10"/>
        <v>43</v>
      </c>
      <c r="AE11" s="1">
        <f t="shared" si="10"/>
        <v>44</v>
      </c>
      <c r="AF11" s="1">
        <f t="shared" si="10"/>
        <v>46</v>
      </c>
      <c r="AG11" s="1">
        <f t="shared" si="10"/>
        <v>48</v>
      </c>
      <c r="AH11" s="1">
        <f t="shared" si="10"/>
        <v>49</v>
      </c>
      <c r="AI11" s="1">
        <f t="shared" si="10"/>
        <v>50</v>
      </c>
      <c r="AJ11" s="1">
        <f t="shared" si="10"/>
        <v>52</v>
      </c>
      <c r="AK11" s="1">
        <f t="shared" si="10"/>
        <v>55</v>
      </c>
      <c r="AL11" s="1">
        <f t="shared" si="10"/>
        <v>58</v>
      </c>
      <c r="AM11" s="1">
        <f t="shared" si="10"/>
        <v>60</v>
      </c>
      <c r="AN11" s="1">
        <f t="shared" si="10"/>
        <v>61</v>
      </c>
      <c r="AO11" s="1">
        <f t="shared" si="10"/>
        <v>64</v>
      </c>
      <c r="AP11" s="1">
        <f t="shared" si="10"/>
        <v>70</v>
      </c>
      <c r="AR11" s="1">
        <f>COUNTIFS(score2pijlen,A11)</f>
        <v>9</v>
      </c>
      <c r="AS11" s="1">
        <f>COUNTIFS(score2pijlen,AP11)</f>
        <v>21</v>
      </c>
    </row>
    <row r="12">
      <c r="A12" s="1">
        <v>11.0</v>
      </c>
      <c r="B12" s="1">
        <f t="shared" ref="B12:AP12" si="11">$A12+B$1</f>
        <v>12</v>
      </c>
      <c r="C12" s="1">
        <f t="shared" si="11"/>
        <v>13</v>
      </c>
      <c r="D12" s="1">
        <f t="shared" si="11"/>
        <v>14</v>
      </c>
      <c r="E12" s="1">
        <f t="shared" si="11"/>
        <v>15</v>
      </c>
      <c r="F12" s="1">
        <f t="shared" si="11"/>
        <v>16</v>
      </c>
      <c r="G12" s="1">
        <f t="shared" si="11"/>
        <v>17</v>
      </c>
      <c r="H12" s="1">
        <f t="shared" si="11"/>
        <v>18</v>
      </c>
      <c r="I12" s="1">
        <f t="shared" si="11"/>
        <v>19</v>
      </c>
      <c r="J12" s="1">
        <f t="shared" si="11"/>
        <v>20</v>
      </c>
      <c r="K12" s="1">
        <f t="shared" si="11"/>
        <v>21</v>
      </c>
      <c r="L12" s="1">
        <f t="shared" si="11"/>
        <v>22</v>
      </c>
      <c r="M12" s="1">
        <f t="shared" si="11"/>
        <v>23</v>
      </c>
      <c r="N12" s="1">
        <f t="shared" si="11"/>
        <v>24</v>
      </c>
      <c r="O12" s="1">
        <f t="shared" si="11"/>
        <v>25</v>
      </c>
      <c r="P12" s="1">
        <f t="shared" si="11"/>
        <v>26</v>
      </c>
      <c r="Q12" s="1">
        <f t="shared" si="11"/>
        <v>27</v>
      </c>
      <c r="R12" s="1">
        <f t="shared" si="11"/>
        <v>28</v>
      </c>
      <c r="S12" s="1">
        <f t="shared" si="11"/>
        <v>29</v>
      </c>
      <c r="T12" s="1">
        <f t="shared" si="11"/>
        <v>30</v>
      </c>
      <c r="U12" s="1">
        <f t="shared" si="11"/>
        <v>31</v>
      </c>
      <c r="V12" s="1">
        <f t="shared" si="11"/>
        <v>32</v>
      </c>
      <c r="W12" s="1">
        <f t="shared" si="11"/>
        <v>33</v>
      </c>
      <c r="X12" s="1">
        <f t="shared" si="11"/>
        <v>35</v>
      </c>
      <c r="Y12" s="1">
        <f t="shared" si="11"/>
        <v>36</v>
      </c>
      <c r="Z12" s="1">
        <f t="shared" si="11"/>
        <v>37</v>
      </c>
      <c r="AA12" s="1">
        <f t="shared" si="11"/>
        <v>39</v>
      </c>
      <c r="AB12" s="1">
        <f t="shared" si="11"/>
        <v>41</v>
      </c>
      <c r="AC12" s="1">
        <f t="shared" si="11"/>
        <v>43</v>
      </c>
      <c r="AD12" s="1">
        <f t="shared" si="11"/>
        <v>44</v>
      </c>
      <c r="AE12" s="1">
        <f t="shared" si="11"/>
        <v>45</v>
      </c>
      <c r="AF12" s="1">
        <f t="shared" si="11"/>
        <v>47</v>
      </c>
      <c r="AG12" s="1">
        <f t="shared" si="11"/>
        <v>49</v>
      </c>
      <c r="AH12" s="1">
        <f t="shared" si="11"/>
        <v>50</v>
      </c>
      <c r="AI12" s="1">
        <f t="shared" si="11"/>
        <v>51</v>
      </c>
      <c r="AJ12" s="1">
        <f t="shared" si="11"/>
        <v>53</v>
      </c>
      <c r="AK12" s="1">
        <f t="shared" si="11"/>
        <v>56</v>
      </c>
      <c r="AL12" s="1">
        <f t="shared" si="11"/>
        <v>59</v>
      </c>
      <c r="AM12" s="1">
        <f t="shared" si="11"/>
        <v>61</v>
      </c>
      <c r="AN12" s="5">
        <f t="shared" si="11"/>
        <v>62</v>
      </c>
      <c r="AO12" s="1">
        <f t="shared" si="11"/>
        <v>65</v>
      </c>
      <c r="AP12" s="1">
        <f t="shared" si="11"/>
        <v>71</v>
      </c>
      <c r="AR12" s="1">
        <f>COUNTIFS(score2pijlen,A12)</f>
        <v>10</v>
      </c>
      <c r="AS12" s="1">
        <f>COUNTIFS(score2pijlen,AP12)</f>
        <v>15</v>
      </c>
    </row>
    <row r="13">
      <c r="A13" s="1">
        <v>12.0</v>
      </c>
      <c r="B13" s="1">
        <f t="shared" ref="B13:AP13" si="12">$A13+B$1</f>
        <v>13</v>
      </c>
      <c r="C13" s="1">
        <f t="shared" si="12"/>
        <v>14</v>
      </c>
      <c r="D13" s="1">
        <f t="shared" si="12"/>
        <v>15</v>
      </c>
      <c r="E13" s="1">
        <f t="shared" si="12"/>
        <v>16</v>
      </c>
      <c r="F13" s="1">
        <f t="shared" si="12"/>
        <v>17</v>
      </c>
      <c r="G13" s="1">
        <f t="shared" si="12"/>
        <v>18</v>
      </c>
      <c r="H13" s="1">
        <f t="shared" si="12"/>
        <v>19</v>
      </c>
      <c r="I13" s="1">
        <f t="shared" si="12"/>
        <v>20</v>
      </c>
      <c r="J13" s="1">
        <f t="shared" si="12"/>
        <v>21</v>
      </c>
      <c r="K13" s="1">
        <f t="shared" si="12"/>
        <v>22</v>
      </c>
      <c r="L13" s="1">
        <f t="shared" si="12"/>
        <v>23</v>
      </c>
      <c r="M13" s="1">
        <f t="shared" si="12"/>
        <v>24</v>
      </c>
      <c r="N13" s="1">
        <f t="shared" si="12"/>
        <v>25</v>
      </c>
      <c r="O13" s="1">
        <f t="shared" si="12"/>
        <v>26</v>
      </c>
      <c r="P13" s="1">
        <f t="shared" si="12"/>
        <v>27</v>
      </c>
      <c r="Q13" s="1">
        <f t="shared" si="12"/>
        <v>28</v>
      </c>
      <c r="R13" s="1">
        <f t="shared" si="12"/>
        <v>29</v>
      </c>
      <c r="S13" s="1">
        <f t="shared" si="12"/>
        <v>30</v>
      </c>
      <c r="T13" s="1">
        <f t="shared" si="12"/>
        <v>31</v>
      </c>
      <c r="U13" s="1">
        <f t="shared" si="12"/>
        <v>32</v>
      </c>
      <c r="V13" s="1">
        <f t="shared" si="12"/>
        <v>33</v>
      </c>
      <c r="W13" s="1">
        <f t="shared" si="12"/>
        <v>34</v>
      </c>
      <c r="X13" s="1">
        <f t="shared" si="12"/>
        <v>36</v>
      </c>
      <c r="Y13" s="1">
        <f t="shared" si="12"/>
        <v>37</v>
      </c>
      <c r="Z13" s="1">
        <f t="shared" si="12"/>
        <v>38</v>
      </c>
      <c r="AA13" s="1">
        <f t="shared" si="12"/>
        <v>40</v>
      </c>
      <c r="AB13" s="1">
        <f t="shared" si="12"/>
        <v>42</v>
      </c>
      <c r="AC13" s="1">
        <f t="shared" si="12"/>
        <v>44</v>
      </c>
      <c r="AD13" s="1">
        <f t="shared" si="12"/>
        <v>45</v>
      </c>
      <c r="AE13" s="1">
        <f t="shared" si="12"/>
        <v>46</v>
      </c>
      <c r="AF13" s="1">
        <f t="shared" si="12"/>
        <v>48</v>
      </c>
      <c r="AG13" s="1">
        <f t="shared" si="12"/>
        <v>50</v>
      </c>
      <c r="AH13" s="1">
        <f t="shared" si="12"/>
        <v>51</v>
      </c>
      <c r="AI13" s="1">
        <f t="shared" si="12"/>
        <v>52</v>
      </c>
      <c r="AJ13" s="1">
        <f t="shared" si="12"/>
        <v>54</v>
      </c>
      <c r="AK13" s="1">
        <f t="shared" si="12"/>
        <v>57</v>
      </c>
      <c r="AL13" s="1">
        <f t="shared" si="12"/>
        <v>60</v>
      </c>
      <c r="AM13" s="5">
        <f t="shared" si="12"/>
        <v>62</v>
      </c>
      <c r="AN13" s="1">
        <f t="shared" si="12"/>
        <v>63</v>
      </c>
      <c r="AO13" s="1">
        <f t="shared" si="12"/>
        <v>66</v>
      </c>
      <c r="AP13" s="1">
        <f t="shared" si="12"/>
        <v>72</v>
      </c>
      <c r="AR13" s="1">
        <f>COUNTIFS(score2pijlen,A13)</f>
        <v>11</v>
      </c>
      <c r="AS13" s="1">
        <f>COUNTIFS(score2pijlen,AP13)</f>
        <v>20</v>
      </c>
    </row>
    <row r="14">
      <c r="A14" s="1">
        <v>13.0</v>
      </c>
      <c r="B14" s="1">
        <f t="shared" ref="B14:AP14" si="13">$A14+B$1</f>
        <v>14</v>
      </c>
      <c r="C14" s="1">
        <f t="shared" si="13"/>
        <v>15</v>
      </c>
      <c r="D14" s="1">
        <f t="shared" si="13"/>
        <v>16</v>
      </c>
      <c r="E14" s="1">
        <f t="shared" si="13"/>
        <v>17</v>
      </c>
      <c r="F14" s="1">
        <f t="shared" si="13"/>
        <v>18</v>
      </c>
      <c r="G14" s="1">
        <f t="shared" si="13"/>
        <v>19</v>
      </c>
      <c r="H14" s="1">
        <f t="shared" si="13"/>
        <v>20</v>
      </c>
      <c r="I14" s="1">
        <f t="shared" si="13"/>
        <v>21</v>
      </c>
      <c r="J14" s="1">
        <f t="shared" si="13"/>
        <v>22</v>
      </c>
      <c r="K14" s="1">
        <f t="shared" si="13"/>
        <v>23</v>
      </c>
      <c r="L14" s="1">
        <f t="shared" si="13"/>
        <v>24</v>
      </c>
      <c r="M14" s="1">
        <f t="shared" si="13"/>
        <v>25</v>
      </c>
      <c r="N14" s="1">
        <f t="shared" si="13"/>
        <v>26</v>
      </c>
      <c r="O14" s="1">
        <f t="shared" si="13"/>
        <v>27</v>
      </c>
      <c r="P14" s="1">
        <f t="shared" si="13"/>
        <v>28</v>
      </c>
      <c r="Q14" s="1">
        <f t="shared" si="13"/>
        <v>29</v>
      </c>
      <c r="R14" s="1">
        <f t="shared" si="13"/>
        <v>30</v>
      </c>
      <c r="S14" s="1">
        <f t="shared" si="13"/>
        <v>31</v>
      </c>
      <c r="T14" s="1">
        <f t="shared" si="13"/>
        <v>32</v>
      </c>
      <c r="U14" s="1">
        <f t="shared" si="13"/>
        <v>33</v>
      </c>
      <c r="V14" s="1">
        <f t="shared" si="13"/>
        <v>34</v>
      </c>
      <c r="W14" s="1">
        <f t="shared" si="13"/>
        <v>35</v>
      </c>
      <c r="X14" s="1">
        <f t="shared" si="13"/>
        <v>37</v>
      </c>
      <c r="Y14" s="1">
        <f t="shared" si="13"/>
        <v>38</v>
      </c>
      <c r="Z14" s="1">
        <f t="shared" si="13"/>
        <v>39</v>
      </c>
      <c r="AA14" s="1">
        <f t="shared" si="13"/>
        <v>41</v>
      </c>
      <c r="AB14" s="1">
        <f t="shared" si="13"/>
        <v>43</v>
      </c>
      <c r="AC14" s="1">
        <f t="shared" si="13"/>
        <v>45</v>
      </c>
      <c r="AD14" s="1">
        <f t="shared" si="13"/>
        <v>46</v>
      </c>
      <c r="AE14" s="1">
        <f t="shared" si="13"/>
        <v>47</v>
      </c>
      <c r="AF14" s="1">
        <f t="shared" si="13"/>
        <v>49</v>
      </c>
      <c r="AG14" s="1">
        <f t="shared" si="13"/>
        <v>51</v>
      </c>
      <c r="AH14" s="1">
        <f t="shared" si="13"/>
        <v>52</v>
      </c>
      <c r="AI14" s="1">
        <f t="shared" si="13"/>
        <v>53</v>
      </c>
      <c r="AJ14" s="1">
        <f t="shared" si="13"/>
        <v>55</v>
      </c>
      <c r="AK14" s="1">
        <f t="shared" si="13"/>
        <v>58</v>
      </c>
      <c r="AL14" s="1">
        <f t="shared" si="13"/>
        <v>61</v>
      </c>
      <c r="AM14" s="1">
        <f t="shared" si="13"/>
        <v>63</v>
      </c>
      <c r="AN14" s="1">
        <f t="shared" si="13"/>
        <v>64</v>
      </c>
      <c r="AO14" s="1">
        <f t="shared" si="13"/>
        <v>67</v>
      </c>
      <c r="AP14" s="1">
        <f t="shared" si="13"/>
        <v>73</v>
      </c>
      <c r="AR14" s="1">
        <f>COUNTIFS(score2pijlen,A14)</f>
        <v>12</v>
      </c>
      <c r="AS14" s="1">
        <f>COUNTIFS(score2pijlen,AP14)</f>
        <v>15</v>
      </c>
    </row>
    <row r="15">
      <c r="A15" s="1">
        <v>14.0</v>
      </c>
      <c r="B15" s="1">
        <f t="shared" ref="B15:AP15" si="14">$A15+B$1</f>
        <v>15</v>
      </c>
      <c r="C15" s="1">
        <f t="shared" si="14"/>
        <v>16</v>
      </c>
      <c r="D15" s="1">
        <f t="shared" si="14"/>
        <v>17</v>
      </c>
      <c r="E15" s="1">
        <f t="shared" si="14"/>
        <v>18</v>
      </c>
      <c r="F15" s="1">
        <f t="shared" si="14"/>
        <v>19</v>
      </c>
      <c r="G15" s="1">
        <f t="shared" si="14"/>
        <v>20</v>
      </c>
      <c r="H15" s="1">
        <f t="shared" si="14"/>
        <v>21</v>
      </c>
      <c r="I15" s="1">
        <f t="shared" si="14"/>
        <v>22</v>
      </c>
      <c r="J15" s="1">
        <f t="shared" si="14"/>
        <v>23</v>
      </c>
      <c r="K15" s="1">
        <f t="shared" si="14"/>
        <v>24</v>
      </c>
      <c r="L15" s="1">
        <f t="shared" si="14"/>
        <v>25</v>
      </c>
      <c r="M15" s="1">
        <f t="shared" si="14"/>
        <v>26</v>
      </c>
      <c r="N15" s="1">
        <f t="shared" si="14"/>
        <v>27</v>
      </c>
      <c r="O15" s="1">
        <f t="shared" si="14"/>
        <v>28</v>
      </c>
      <c r="P15" s="1">
        <f t="shared" si="14"/>
        <v>29</v>
      </c>
      <c r="Q15" s="1">
        <f t="shared" si="14"/>
        <v>30</v>
      </c>
      <c r="R15" s="1">
        <f t="shared" si="14"/>
        <v>31</v>
      </c>
      <c r="S15" s="1">
        <f t="shared" si="14"/>
        <v>32</v>
      </c>
      <c r="T15" s="1">
        <f t="shared" si="14"/>
        <v>33</v>
      </c>
      <c r="U15" s="1">
        <f t="shared" si="14"/>
        <v>34</v>
      </c>
      <c r="V15" s="1">
        <f t="shared" si="14"/>
        <v>35</v>
      </c>
      <c r="W15" s="1">
        <f t="shared" si="14"/>
        <v>36</v>
      </c>
      <c r="X15" s="1">
        <f t="shared" si="14"/>
        <v>38</v>
      </c>
      <c r="Y15" s="1">
        <f t="shared" si="14"/>
        <v>39</v>
      </c>
      <c r="Z15" s="1">
        <f t="shared" si="14"/>
        <v>40</v>
      </c>
      <c r="AA15" s="1">
        <f t="shared" si="14"/>
        <v>42</v>
      </c>
      <c r="AB15" s="1">
        <f t="shared" si="14"/>
        <v>44</v>
      </c>
      <c r="AC15" s="1">
        <f t="shared" si="14"/>
        <v>46</v>
      </c>
      <c r="AD15" s="1">
        <f t="shared" si="14"/>
        <v>47</v>
      </c>
      <c r="AE15" s="1">
        <f t="shared" si="14"/>
        <v>48</v>
      </c>
      <c r="AF15" s="1">
        <f t="shared" si="14"/>
        <v>50</v>
      </c>
      <c r="AG15" s="1">
        <f t="shared" si="14"/>
        <v>52</v>
      </c>
      <c r="AH15" s="1">
        <f t="shared" si="14"/>
        <v>53</v>
      </c>
      <c r="AI15" s="1">
        <f t="shared" si="14"/>
        <v>54</v>
      </c>
      <c r="AJ15" s="1">
        <f t="shared" si="14"/>
        <v>56</v>
      </c>
      <c r="AK15" s="1">
        <f t="shared" si="14"/>
        <v>59</v>
      </c>
      <c r="AL15" s="5">
        <f t="shared" si="14"/>
        <v>62</v>
      </c>
      <c r="AM15" s="1">
        <f t="shared" si="14"/>
        <v>64</v>
      </c>
      <c r="AN15" s="1">
        <f t="shared" si="14"/>
        <v>65</v>
      </c>
      <c r="AO15" s="1">
        <f t="shared" si="14"/>
        <v>68</v>
      </c>
      <c r="AP15" s="1">
        <f t="shared" si="14"/>
        <v>74</v>
      </c>
      <c r="AR15" s="1">
        <f>COUNTIFS(score2pijlen,A15)</f>
        <v>13</v>
      </c>
      <c r="AS15" s="1">
        <f>COUNTIFS(score2pijlen,AP15)</f>
        <v>15</v>
      </c>
    </row>
    <row r="16">
      <c r="A16" s="1">
        <v>15.0</v>
      </c>
      <c r="B16" s="1">
        <f t="shared" ref="B16:AP16" si="15">$A16+B$1</f>
        <v>16</v>
      </c>
      <c r="C16" s="1">
        <f t="shared" si="15"/>
        <v>17</v>
      </c>
      <c r="D16" s="1">
        <f t="shared" si="15"/>
        <v>18</v>
      </c>
      <c r="E16" s="1">
        <f t="shared" si="15"/>
        <v>19</v>
      </c>
      <c r="F16" s="1">
        <f t="shared" si="15"/>
        <v>20</v>
      </c>
      <c r="G16" s="1">
        <f t="shared" si="15"/>
        <v>21</v>
      </c>
      <c r="H16" s="1">
        <f t="shared" si="15"/>
        <v>22</v>
      </c>
      <c r="I16" s="1">
        <f t="shared" si="15"/>
        <v>23</v>
      </c>
      <c r="J16" s="1">
        <f t="shared" si="15"/>
        <v>24</v>
      </c>
      <c r="K16" s="1">
        <f t="shared" si="15"/>
        <v>25</v>
      </c>
      <c r="L16" s="1">
        <f t="shared" si="15"/>
        <v>26</v>
      </c>
      <c r="M16" s="1">
        <f t="shared" si="15"/>
        <v>27</v>
      </c>
      <c r="N16" s="1">
        <f t="shared" si="15"/>
        <v>28</v>
      </c>
      <c r="O16" s="1">
        <f t="shared" si="15"/>
        <v>29</v>
      </c>
      <c r="P16" s="1">
        <f t="shared" si="15"/>
        <v>30</v>
      </c>
      <c r="Q16" s="1">
        <f t="shared" si="15"/>
        <v>31</v>
      </c>
      <c r="R16" s="1">
        <f t="shared" si="15"/>
        <v>32</v>
      </c>
      <c r="S16" s="1">
        <f t="shared" si="15"/>
        <v>33</v>
      </c>
      <c r="T16" s="1">
        <f t="shared" si="15"/>
        <v>34</v>
      </c>
      <c r="U16" s="1">
        <f t="shared" si="15"/>
        <v>35</v>
      </c>
      <c r="V16" s="1">
        <f t="shared" si="15"/>
        <v>36</v>
      </c>
      <c r="W16" s="1">
        <f t="shared" si="15"/>
        <v>37</v>
      </c>
      <c r="X16" s="1">
        <f t="shared" si="15"/>
        <v>39</v>
      </c>
      <c r="Y16" s="1">
        <f t="shared" si="15"/>
        <v>40</v>
      </c>
      <c r="Z16" s="1">
        <f t="shared" si="15"/>
        <v>41</v>
      </c>
      <c r="AA16" s="1">
        <f t="shared" si="15"/>
        <v>43</v>
      </c>
      <c r="AB16" s="1">
        <f t="shared" si="15"/>
        <v>45</v>
      </c>
      <c r="AC16" s="1">
        <f t="shared" si="15"/>
        <v>47</v>
      </c>
      <c r="AD16" s="1">
        <f t="shared" si="15"/>
        <v>48</v>
      </c>
      <c r="AE16" s="1">
        <f t="shared" si="15"/>
        <v>49</v>
      </c>
      <c r="AF16" s="1">
        <f t="shared" si="15"/>
        <v>51</v>
      </c>
      <c r="AG16" s="1">
        <f t="shared" si="15"/>
        <v>53</v>
      </c>
      <c r="AH16" s="1">
        <f t="shared" si="15"/>
        <v>54</v>
      </c>
      <c r="AI16" s="1">
        <f t="shared" si="15"/>
        <v>55</v>
      </c>
      <c r="AJ16" s="1">
        <f t="shared" si="15"/>
        <v>57</v>
      </c>
      <c r="AK16" s="1">
        <f t="shared" si="15"/>
        <v>60</v>
      </c>
      <c r="AL16" s="1">
        <f t="shared" si="15"/>
        <v>63</v>
      </c>
      <c r="AM16" s="1">
        <f t="shared" si="15"/>
        <v>65</v>
      </c>
      <c r="AN16" s="1">
        <f t="shared" si="15"/>
        <v>66</v>
      </c>
      <c r="AO16" s="1">
        <f t="shared" si="15"/>
        <v>69</v>
      </c>
      <c r="AP16" s="1">
        <f t="shared" si="15"/>
        <v>75</v>
      </c>
      <c r="AR16" s="1">
        <f>COUNTIFS(score2pijlen,A16)</f>
        <v>14</v>
      </c>
      <c r="AS16" s="1">
        <f>COUNTIFS(score2pijlen,AP16)</f>
        <v>15</v>
      </c>
    </row>
    <row r="17">
      <c r="A17" s="1">
        <v>16.0</v>
      </c>
      <c r="B17" s="1">
        <f t="shared" ref="B17:AP17" si="16">$A17+B$1</f>
        <v>17</v>
      </c>
      <c r="C17" s="1">
        <f t="shared" si="16"/>
        <v>18</v>
      </c>
      <c r="D17" s="1">
        <f t="shared" si="16"/>
        <v>19</v>
      </c>
      <c r="E17" s="1">
        <f t="shared" si="16"/>
        <v>20</v>
      </c>
      <c r="F17" s="1">
        <f t="shared" si="16"/>
        <v>21</v>
      </c>
      <c r="G17" s="1">
        <f t="shared" si="16"/>
        <v>22</v>
      </c>
      <c r="H17" s="1">
        <f t="shared" si="16"/>
        <v>23</v>
      </c>
      <c r="I17" s="1">
        <f t="shared" si="16"/>
        <v>24</v>
      </c>
      <c r="J17" s="1">
        <f t="shared" si="16"/>
        <v>25</v>
      </c>
      <c r="K17" s="1">
        <f t="shared" si="16"/>
        <v>26</v>
      </c>
      <c r="L17" s="1">
        <f t="shared" si="16"/>
        <v>27</v>
      </c>
      <c r="M17" s="1">
        <f t="shared" si="16"/>
        <v>28</v>
      </c>
      <c r="N17" s="1">
        <f t="shared" si="16"/>
        <v>29</v>
      </c>
      <c r="O17" s="1">
        <f t="shared" si="16"/>
        <v>30</v>
      </c>
      <c r="P17" s="1">
        <f t="shared" si="16"/>
        <v>31</v>
      </c>
      <c r="Q17" s="1">
        <f t="shared" si="16"/>
        <v>32</v>
      </c>
      <c r="R17" s="1">
        <f t="shared" si="16"/>
        <v>33</v>
      </c>
      <c r="S17" s="1">
        <f t="shared" si="16"/>
        <v>34</v>
      </c>
      <c r="T17" s="1">
        <f t="shared" si="16"/>
        <v>35</v>
      </c>
      <c r="U17" s="1">
        <f t="shared" si="16"/>
        <v>36</v>
      </c>
      <c r="V17" s="1">
        <f t="shared" si="16"/>
        <v>37</v>
      </c>
      <c r="W17" s="1">
        <f t="shared" si="16"/>
        <v>38</v>
      </c>
      <c r="X17" s="1">
        <f t="shared" si="16"/>
        <v>40</v>
      </c>
      <c r="Y17" s="1">
        <f t="shared" si="16"/>
        <v>41</v>
      </c>
      <c r="Z17" s="1">
        <f t="shared" si="16"/>
        <v>42</v>
      </c>
      <c r="AA17" s="1">
        <f t="shared" si="16"/>
        <v>44</v>
      </c>
      <c r="AB17" s="1">
        <f t="shared" si="16"/>
        <v>46</v>
      </c>
      <c r="AC17" s="1">
        <f t="shared" si="16"/>
        <v>48</v>
      </c>
      <c r="AD17" s="1">
        <f t="shared" si="16"/>
        <v>49</v>
      </c>
      <c r="AE17" s="1">
        <f t="shared" si="16"/>
        <v>50</v>
      </c>
      <c r="AF17" s="1">
        <f t="shared" si="16"/>
        <v>52</v>
      </c>
      <c r="AG17" s="1">
        <f t="shared" si="16"/>
        <v>54</v>
      </c>
      <c r="AH17" s="1">
        <f t="shared" si="16"/>
        <v>55</v>
      </c>
      <c r="AI17" s="1">
        <f t="shared" si="16"/>
        <v>56</v>
      </c>
      <c r="AJ17" s="1">
        <f t="shared" si="16"/>
        <v>58</v>
      </c>
      <c r="AK17" s="1">
        <f t="shared" si="16"/>
        <v>61</v>
      </c>
      <c r="AL17" s="1">
        <f t="shared" si="16"/>
        <v>64</v>
      </c>
      <c r="AM17" s="1">
        <f t="shared" si="16"/>
        <v>66</v>
      </c>
      <c r="AN17" s="1">
        <f t="shared" si="16"/>
        <v>67</v>
      </c>
      <c r="AO17" s="1">
        <f t="shared" si="16"/>
        <v>70</v>
      </c>
      <c r="AP17" s="1">
        <f t="shared" si="16"/>
        <v>76</v>
      </c>
      <c r="AR17" s="1">
        <f>COUNTIFS(score2pijlen,A17)</f>
        <v>15</v>
      </c>
      <c r="AS17" s="1">
        <f>COUNTIFS(score2pijlen,AP17)</f>
        <v>16</v>
      </c>
    </row>
    <row r="18">
      <c r="A18" s="1">
        <v>17.0</v>
      </c>
      <c r="B18" s="1">
        <f t="shared" ref="B18:AP18" si="17">$A18+B$1</f>
        <v>18</v>
      </c>
      <c r="C18" s="1">
        <f t="shared" si="17"/>
        <v>19</v>
      </c>
      <c r="D18" s="1">
        <f t="shared" si="17"/>
        <v>20</v>
      </c>
      <c r="E18" s="1">
        <f t="shared" si="17"/>
        <v>21</v>
      </c>
      <c r="F18" s="1">
        <f t="shared" si="17"/>
        <v>22</v>
      </c>
      <c r="G18" s="1">
        <f t="shared" si="17"/>
        <v>23</v>
      </c>
      <c r="H18" s="1">
        <f t="shared" si="17"/>
        <v>24</v>
      </c>
      <c r="I18" s="1">
        <f t="shared" si="17"/>
        <v>25</v>
      </c>
      <c r="J18" s="1">
        <f t="shared" si="17"/>
        <v>26</v>
      </c>
      <c r="K18" s="1">
        <f t="shared" si="17"/>
        <v>27</v>
      </c>
      <c r="L18" s="1">
        <f t="shared" si="17"/>
        <v>28</v>
      </c>
      <c r="M18" s="1">
        <f t="shared" si="17"/>
        <v>29</v>
      </c>
      <c r="N18" s="1">
        <f t="shared" si="17"/>
        <v>30</v>
      </c>
      <c r="O18" s="1">
        <f t="shared" si="17"/>
        <v>31</v>
      </c>
      <c r="P18" s="1">
        <f t="shared" si="17"/>
        <v>32</v>
      </c>
      <c r="Q18" s="1">
        <f t="shared" si="17"/>
        <v>33</v>
      </c>
      <c r="R18" s="1">
        <f t="shared" si="17"/>
        <v>34</v>
      </c>
      <c r="S18" s="1">
        <f t="shared" si="17"/>
        <v>35</v>
      </c>
      <c r="T18" s="1">
        <f t="shared" si="17"/>
        <v>36</v>
      </c>
      <c r="U18" s="1">
        <f t="shared" si="17"/>
        <v>37</v>
      </c>
      <c r="V18" s="1">
        <f t="shared" si="17"/>
        <v>38</v>
      </c>
      <c r="W18" s="1">
        <f t="shared" si="17"/>
        <v>39</v>
      </c>
      <c r="X18" s="1">
        <f t="shared" si="17"/>
        <v>41</v>
      </c>
      <c r="Y18" s="1">
        <f t="shared" si="17"/>
        <v>42</v>
      </c>
      <c r="Z18" s="1">
        <f t="shared" si="17"/>
        <v>43</v>
      </c>
      <c r="AA18" s="1">
        <f t="shared" si="17"/>
        <v>45</v>
      </c>
      <c r="AB18" s="1">
        <f t="shared" si="17"/>
        <v>47</v>
      </c>
      <c r="AC18" s="1">
        <f t="shared" si="17"/>
        <v>49</v>
      </c>
      <c r="AD18" s="1">
        <f t="shared" si="17"/>
        <v>50</v>
      </c>
      <c r="AE18" s="1">
        <f t="shared" si="17"/>
        <v>51</v>
      </c>
      <c r="AF18" s="1">
        <f t="shared" si="17"/>
        <v>53</v>
      </c>
      <c r="AG18" s="1">
        <f t="shared" si="17"/>
        <v>55</v>
      </c>
      <c r="AH18" s="1">
        <f t="shared" si="17"/>
        <v>56</v>
      </c>
      <c r="AI18" s="1">
        <f t="shared" si="17"/>
        <v>57</v>
      </c>
      <c r="AJ18" s="1">
        <f t="shared" si="17"/>
        <v>59</v>
      </c>
      <c r="AK18" s="5">
        <f t="shared" si="17"/>
        <v>62</v>
      </c>
      <c r="AL18" s="1">
        <f t="shared" si="17"/>
        <v>65</v>
      </c>
      <c r="AM18" s="1">
        <f t="shared" si="17"/>
        <v>67</v>
      </c>
      <c r="AN18" s="1">
        <f t="shared" si="17"/>
        <v>68</v>
      </c>
      <c r="AO18" s="1">
        <f t="shared" si="17"/>
        <v>71</v>
      </c>
      <c r="AP18" s="1">
        <f t="shared" si="17"/>
        <v>77</v>
      </c>
      <c r="AR18" s="1">
        <f>COUNTIFS(score2pijlen,A18)</f>
        <v>16</v>
      </c>
      <c r="AS18" s="1">
        <f>COUNTIFS(score2pijlen,AP18)</f>
        <v>9</v>
      </c>
    </row>
    <row r="19">
      <c r="A19" s="1">
        <v>18.0</v>
      </c>
      <c r="B19" s="1">
        <f t="shared" ref="B19:AP19" si="18">$A19+B$1</f>
        <v>19</v>
      </c>
      <c r="C19" s="1">
        <f t="shared" si="18"/>
        <v>20</v>
      </c>
      <c r="D19" s="1">
        <f t="shared" si="18"/>
        <v>21</v>
      </c>
      <c r="E19" s="1">
        <f t="shared" si="18"/>
        <v>22</v>
      </c>
      <c r="F19" s="1">
        <f t="shared" si="18"/>
        <v>23</v>
      </c>
      <c r="G19" s="1">
        <f t="shared" si="18"/>
        <v>24</v>
      </c>
      <c r="H19" s="1">
        <f t="shared" si="18"/>
        <v>25</v>
      </c>
      <c r="I19" s="1">
        <f t="shared" si="18"/>
        <v>26</v>
      </c>
      <c r="J19" s="1">
        <f t="shared" si="18"/>
        <v>27</v>
      </c>
      <c r="K19" s="1">
        <f t="shared" si="18"/>
        <v>28</v>
      </c>
      <c r="L19" s="1">
        <f t="shared" si="18"/>
        <v>29</v>
      </c>
      <c r="M19" s="1">
        <f t="shared" si="18"/>
        <v>30</v>
      </c>
      <c r="N19" s="1">
        <f t="shared" si="18"/>
        <v>31</v>
      </c>
      <c r="O19" s="1">
        <f t="shared" si="18"/>
        <v>32</v>
      </c>
      <c r="P19" s="1">
        <f t="shared" si="18"/>
        <v>33</v>
      </c>
      <c r="Q19" s="1">
        <f t="shared" si="18"/>
        <v>34</v>
      </c>
      <c r="R19" s="1">
        <f t="shared" si="18"/>
        <v>35</v>
      </c>
      <c r="S19" s="1">
        <f t="shared" si="18"/>
        <v>36</v>
      </c>
      <c r="T19" s="1">
        <f t="shared" si="18"/>
        <v>37</v>
      </c>
      <c r="U19" s="1">
        <f t="shared" si="18"/>
        <v>38</v>
      </c>
      <c r="V19" s="1">
        <f t="shared" si="18"/>
        <v>39</v>
      </c>
      <c r="W19" s="1">
        <f t="shared" si="18"/>
        <v>40</v>
      </c>
      <c r="X19" s="1">
        <f t="shared" si="18"/>
        <v>42</v>
      </c>
      <c r="Y19" s="1">
        <f t="shared" si="18"/>
        <v>43</v>
      </c>
      <c r="Z19" s="1">
        <f t="shared" si="18"/>
        <v>44</v>
      </c>
      <c r="AA19" s="1">
        <f t="shared" si="18"/>
        <v>46</v>
      </c>
      <c r="AB19" s="1">
        <f t="shared" si="18"/>
        <v>48</v>
      </c>
      <c r="AC19" s="1">
        <f t="shared" si="18"/>
        <v>50</v>
      </c>
      <c r="AD19" s="1">
        <f t="shared" si="18"/>
        <v>51</v>
      </c>
      <c r="AE19" s="1">
        <f t="shared" si="18"/>
        <v>52</v>
      </c>
      <c r="AF19" s="1">
        <f t="shared" si="18"/>
        <v>54</v>
      </c>
      <c r="AG19" s="1">
        <f t="shared" si="18"/>
        <v>56</v>
      </c>
      <c r="AH19" s="1">
        <f t="shared" si="18"/>
        <v>57</v>
      </c>
      <c r="AI19" s="1">
        <f t="shared" si="18"/>
        <v>58</v>
      </c>
      <c r="AJ19" s="1">
        <f t="shared" si="18"/>
        <v>60</v>
      </c>
      <c r="AK19" s="1">
        <f t="shared" si="18"/>
        <v>63</v>
      </c>
      <c r="AL19" s="1">
        <f t="shared" si="18"/>
        <v>66</v>
      </c>
      <c r="AM19" s="1">
        <f t="shared" si="18"/>
        <v>68</v>
      </c>
      <c r="AN19" s="1">
        <f t="shared" si="18"/>
        <v>69</v>
      </c>
      <c r="AO19" s="1">
        <f t="shared" si="18"/>
        <v>72</v>
      </c>
      <c r="AP19" s="1">
        <f t="shared" si="18"/>
        <v>78</v>
      </c>
      <c r="AR19" s="1">
        <f>COUNTIFS(score2pijlen,A19)</f>
        <v>17</v>
      </c>
      <c r="AS19" s="1">
        <f>COUNTIFS(score2pijlen,AP19)</f>
        <v>16</v>
      </c>
    </row>
    <row r="20">
      <c r="A20" s="1">
        <v>19.0</v>
      </c>
      <c r="B20" s="1">
        <f t="shared" ref="B20:AP20" si="19">$A20+B$1</f>
        <v>20</v>
      </c>
      <c r="C20" s="1">
        <f t="shared" si="19"/>
        <v>21</v>
      </c>
      <c r="D20" s="1">
        <f t="shared" si="19"/>
        <v>22</v>
      </c>
      <c r="E20" s="1">
        <f t="shared" si="19"/>
        <v>23</v>
      </c>
      <c r="F20" s="1">
        <f t="shared" si="19"/>
        <v>24</v>
      </c>
      <c r="G20" s="1">
        <f t="shared" si="19"/>
        <v>25</v>
      </c>
      <c r="H20" s="1">
        <f t="shared" si="19"/>
        <v>26</v>
      </c>
      <c r="I20" s="1">
        <f t="shared" si="19"/>
        <v>27</v>
      </c>
      <c r="J20" s="1">
        <f t="shared" si="19"/>
        <v>28</v>
      </c>
      <c r="K20" s="1">
        <f t="shared" si="19"/>
        <v>29</v>
      </c>
      <c r="L20" s="1">
        <f t="shared" si="19"/>
        <v>30</v>
      </c>
      <c r="M20" s="1">
        <f t="shared" si="19"/>
        <v>31</v>
      </c>
      <c r="N20" s="1">
        <f t="shared" si="19"/>
        <v>32</v>
      </c>
      <c r="O20" s="1">
        <f t="shared" si="19"/>
        <v>33</v>
      </c>
      <c r="P20" s="1">
        <f t="shared" si="19"/>
        <v>34</v>
      </c>
      <c r="Q20" s="1">
        <f t="shared" si="19"/>
        <v>35</v>
      </c>
      <c r="R20" s="1">
        <f t="shared" si="19"/>
        <v>36</v>
      </c>
      <c r="S20" s="1">
        <f t="shared" si="19"/>
        <v>37</v>
      </c>
      <c r="T20" s="1">
        <f t="shared" si="19"/>
        <v>38</v>
      </c>
      <c r="U20" s="1">
        <f t="shared" si="19"/>
        <v>39</v>
      </c>
      <c r="V20" s="1">
        <f t="shared" si="19"/>
        <v>40</v>
      </c>
      <c r="W20" s="1">
        <f t="shared" si="19"/>
        <v>41</v>
      </c>
      <c r="X20" s="1">
        <f t="shared" si="19"/>
        <v>43</v>
      </c>
      <c r="Y20" s="1">
        <f t="shared" si="19"/>
        <v>44</v>
      </c>
      <c r="Z20" s="1">
        <f t="shared" si="19"/>
        <v>45</v>
      </c>
      <c r="AA20" s="1">
        <f t="shared" si="19"/>
        <v>47</v>
      </c>
      <c r="AB20" s="1">
        <f t="shared" si="19"/>
        <v>49</v>
      </c>
      <c r="AC20" s="1">
        <f t="shared" si="19"/>
        <v>51</v>
      </c>
      <c r="AD20" s="1">
        <f t="shared" si="19"/>
        <v>52</v>
      </c>
      <c r="AE20" s="1">
        <f t="shared" si="19"/>
        <v>53</v>
      </c>
      <c r="AF20" s="1">
        <f t="shared" si="19"/>
        <v>55</v>
      </c>
      <c r="AG20" s="1">
        <f t="shared" si="19"/>
        <v>57</v>
      </c>
      <c r="AH20" s="1">
        <f t="shared" si="19"/>
        <v>58</v>
      </c>
      <c r="AI20" s="1">
        <f t="shared" si="19"/>
        <v>59</v>
      </c>
      <c r="AJ20" s="1">
        <f t="shared" si="19"/>
        <v>61</v>
      </c>
      <c r="AK20" s="1">
        <f t="shared" si="19"/>
        <v>64</v>
      </c>
      <c r="AL20" s="1">
        <f t="shared" si="19"/>
        <v>67</v>
      </c>
      <c r="AM20" s="1">
        <f t="shared" si="19"/>
        <v>69</v>
      </c>
      <c r="AN20" s="1">
        <f t="shared" si="19"/>
        <v>70</v>
      </c>
      <c r="AO20" s="1">
        <f t="shared" si="19"/>
        <v>73</v>
      </c>
      <c r="AP20" s="1">
        <f t="shared" si="19"/>
        <v>79</v>
      </c>
      <c r="AR20" s="1">
        <f>COUNTIFS(score2pijlen,A20)</f>
        <v>18</v>
      </c>
      <c r="AS20" s="1">
        <f>COUNTIFS(score2pijlen,AP20)</f>
        <v>11</v>
      </c>
    </row>
    <row r="21" ht="15.75" customHeight="1">
      <c r="A21" s="1">
        <v>20.0</v>
      </c>
      <c r="B21" s="1">
        <f t="shared" ref="B21:AP21" si="20">$A21+B$1</f>
        <v>21</v>
      </c>
      <c r="C21" s="1">
        <f t="shared" si="20"/>
        <v>22</v>
      </c>
      <c r="D21" s="1">
        <f t="shared" si="20"/>
        <v>23</v>
      </c>
      <c r="E21" s="1">
        <f t="shared" si="20"/>
        <v>24</v>
      </c>
      <c r="F21" s="1">
        <f t="shared" si="20"/>
        <v>25</v>
      </c>
      <c r="G21" s="1">
        <f t="shared" si="20"/>
        <v>26</v>
      </c>
      <c r="H21" s="1">
        <f t="shared" si="20"/>
        <v>27</v>
      </c>
      <c r="I21" s="1">
        <f t="shared" si="20"/>
        <v>28</v>
      </c>
      <c r="J21" s="1">
        <f t="shared" si="20"/>
        <v>29</v>
      </c>
      <c r="K21" s="1">
        <f t="shared" si="20"/>
        <v>30</v>
      </c>
      <c r="L21" s="1">
        <f t="shared" si="20"/>
        <v>31</v>
      </c>
      <c r="M21" s="1">
        <f t="shared" si="20"/>
        <v>32</v>
      </c>
      <c r="N21" s="1">
        <f t="shared" si="20"/>
        <v>33</v>
      </c>
      <c r="O21" s="1">
        <f t="shared" si="20"/>
        <v>34</v>
      </c>
      <c r="P21" s="1">
        <f t="shared" si="20"/>
        <v>35</v>
      </c>
      <c r="Q21" s="1">
        <f t="shared" si="20"/>
        <v>36</v>
      </c>
      <c r="R21" s="1">
        <f t="shared" si="20"/>
        <v>37</v>
      </c>
      <c r="S21" s="1">
        <f t="shared" si="20"/>
        <v>38</v>
      </c>
      <c r="T21" s="1">
        <f t="shared" si="20"/>
        <v>39</v>
      </c>
      <c r="U21" s="1">
        <f t="shared" si="20"/>
        <v>40</v>
      </c>
      <c r="V21" s="1">
        <f t="shared" si="20"/>
        <v>41</v>
      </c>
      <c r="W21" s="1">
        <f t="shared" si="20"/>
        <v>42</v>
      </c>
      <c r="X21" s="1">
        <f t="shared" si="20"/>
        <v>44</v>
      </c>
      <c r="Y21" s="1">
        <f t="shared" si="20"/>
        <v>45</v>
      </c>
      <c r="Z21" s="1">
        <f t="shared" si="20"/>
        <v>46</v>
      </c>
      <c r="AA21" s="1">
        <f t="shared" si="20"/>
        <v>48</v>
      </c>
      <c r="AB21" s="1">
        <f t="shared" si="20"/>
        <v>50</v>
      </c>
      <c r="AC21" s="1">
        <f t="shared" si="20"/>
        <v>52</v>
      </c>
      <c r="AD21" s="1">
        <f t="shared" si="20"/>
        <v>53</v>
      </c>
      <c r="AE21" s="1">
        <f t="shared" si="20"/>
        <v>54</v>
      </c>
      <c r="AF21" s="1">
        <f t="shared" si="20"/>
        <v>56</v>
      </c>
      <c r="AG21" s="1">
        <f t="shared" si="20"/>
        <v>58</v>
      </c>
      <c r="AH21" s="1">
        <f t="shared" si="20"/>
        <v>59</v>
      </c>
      <c r="AI21" s="1">
        <f t="shared" si="20"/>
        <v>60</v>
      </c>
      <c r="AJ21" s="5">
        <f t="shared" si="20"/>
        <v>62</v>
      </c>
      <c r="AK21" s="1">
        <f t="shared" si="20"/>
        <v>65</v>
      </c>
      <c r="AL21" s="1">
        <f t="shared" si="20"/>
        <v>68</v>
      </c>
      <c r="AM21" s="1">
        <f t="shared" si="20"/>
        <v>70</v>
      </c>
      <c r="AN21" s="1">
        <f t="shared" si="20"/>
        <v>71</v>
      </c>
      <c r="AO21" s="1">
        <f t="shared" si="20"/>
        <v>74</v>
      </c>
      <c r="AP21" s="1">
        <f t="shared" si="20"/>
        <v>80</v>
      </c>
      <c r="AR21" s="1">
        <f>COUNTIFS(score2pijlen,A21)</f>
        <v>19</v>
      </c>
      <c r="AS21" s="1">
        <f>COUNTIFS(score2pijlen,AP21)</f>
        <v>11</v>
      </c>
    </row>
    <row r="22" ht="15.75" customHeight="1">
      <c r="A22" s="1">
        <v>21.0</v>
      </c>
      <c r="B22" s="1">
        <f t="shared" ref="B22:AP22" si="21">$A22+B$1</f>
        <v>22</v>
      </c>
      <c r="C22" s="1">
        <f t="shared" si="21"/>
        <v>23</v>
      </c>
      <c r="D22" s="1">
        <f t="shared" si="21"/>
        <v>24</v>
      </c>
      <c r="E22" s="1">
        <f t="shared" si="21"/>
        <v>25</v>
      </c>
      <c r="F22" s="1">
        <f t="shared" si="21"/>
        <v>26</v>
      </c>
      <c r="G22" s="1">
        <f t="shared" si="21"/>
        <v>27</v>
      </c>
      <c r="H22" s="1">
        <f t="shared" si="21"/>
        <v>28</v>
      </c>
      <c r="I22" s="1">
        <f t="shared" si="21"/>
        <v>29</v>
      </c>
      <c r="J22" s="1">
        <f t="shared" si="21"/>
        <v>30</v>
      </c>
      <c r="K22" s="1">
        <f t="shared" si="21"/>
        <v>31</v>
      </c>
      <c r="L22" s="1">
        <f t="shared" si="21"/>
        <v>32</v>
      </c>
      <c r="M22" s="1">
        <f t="shared" si="21"/>
        <v>33</v>
      </c>
      <c r="N22" s="1">
        <f t="shared" si="21"/>
        <v>34</v>
      </c>
      <c r="O22" s="1">
        <f t="shared" si="21"/>
        <v>35</v>
      </c>
      <c r="P22" s="1">
        <f t="shared" si="21"/>
        <v>36</v>
      </c>
      <c r="Q22" s="1">
        <f t="shared" si="21"/>
        <v>37</v>
      </c>
      <c r="R22" s="1">
        <f t="shared" si="21"/>
        <v>38</v>
      </c>
      <c r="S22" s="1">
        <f t="shared" si="21"/>
        <v>39</v>
      </c>
      <c r="T22" s="1">
        <f t="shared" si="21"/>
        <v>40</v>
      </c>
      <c r="U22" s="1">
        <f t="shared" si="21"/>
        <v>41</v>
      </c>
      <c r="V22" s="1">
        <f t="shared" si="21"/>
        <v>42</v>
      </c>
      <c r="W22" s="1">
        <f t="shared" si="21"/>
        <v>43</v>
      </c>
      <c r="X22" s="1">
        <f t="shared" si="21"/>
        <v>45</v>
      </c>
      <c r="Y22" s="1">
        <f t="shared" si="21"/>
        <v>46</v>
      </c>
      <c r="Z22" s="1">
        <f t="shared" si="21"/>
        <v>47</v>
      </c>
      <c r="AA22" s="1">
        <f t="shared" si="21"/>
        <v>49</v>
      </c>
      <c r="AB22" s="1">
        <f t="shared" si="21"/>
        <v>51</v>
      </c>
      <c r="AC22" s="1">
        <f t="shared" si="21"/>
        <v>53</v>
      </c>
      <c r="AD22" s="1">
        <f t="shared" si="21"/>
        <v>54</v>
      </c>
      <c r="AE22" s="1">
        <f t="shared" si="21"/>
        <v>55</v>
      </c>
      <c r="AF22" s="1">
        <f t="shared" si="21"/>
        <v>57</v>
      </c>
      <c r="AG22" s="1">
        <f t="shared" si="21"/>
        <v>59</v>
      </c>
      <c r="AH22" s="1">
        <f t="shared" si="21"/>
        <v>60</v>
      </c>
      <c r="AI22" s="1">
        <f t="shared" si="21"/>
        <v>61</v>
      </c>
      <c r="AJ22" s="1">
        <f t="shared" si="21"/>
        <v>63</v>
      </c>
      <c r="AK22" s="1">
        <f t="shared" si="21"/>
        <v>66</v>
      </c>
      <c r="AL22" s="1">
        <f t="shared" si="21"/>
        <v>69</v>
      </c>
      <c r="AM22" s="1">
        <f t="shared" si="21"/>
        <v>71</v>
      </c>
      <c r="AN22" s="1">
        <f t="shared" si="21"/>
        <v>72</v>
      </c>
      <c r="AO22" s="1">
        <f t="shared" si="21"/>
        <v>75</v>
      </c>
      <c r="AP22" s="1">
        <f t="shared" si="21"/>
        <v>81</v>
      </c>
      <c r="AR22" s="1">
        <f>COUNTIFS(score2pijlen,A22)</f>
        <v>20</v>
      </c>
      <c r="AS22" s="1">
        <f>COUNTIFS(score2pijlen,AP22)</f>
        <v>11</v>
      </c>
    </row>
    <row r="23" ht="15.75" customHeight="1">
      <c r="A23" s="1">
        <v>22.0</v>
      </c>
      <c r="B23" s="1">
        <f t="shared" ref="B23:AP23" si="22">$A23+B$1</f>
        <v>23</v>
      </c>
      <c r="C23" s="1">
        <f t="shared" si="22"/>
        <v>24</v>
      </c>
      <c r="D23" s="1">
        <f t="shared" si="22"/>
        <v>25</v>
      </c>
      <c r="E23" s="1">
        <f t="shared" si="22"/>
        <v>26</v>
      </c>
      <c r="F23" s="1">
        <f t="shared" si="22"/>
        <v>27</v>
      </c>
      <c r="G23" s="1">
        <f t="shared" si="22"/>
        <v>28</v>
      </c>
      <c r="H23" s="1">
        <f t="shared" si="22"/>
        <v>29</v>
      </c>
      <c r="I23" s="1">
        <f t="shared" si="22"/>
        <v>30</v>
      </c>
      <c r="J23" s="1">
        <f t="shared" si="22"/>
        <v>31</v>
      </c>
      <c r="K23" s="1">
        <f t="shared" si="22"/>
        <v>32</v>
      </c>
      <c r="L23" s="1">
        <f t="shared" si="22"/>
        <v>33</v>
      </c>
      <c r="M23" s="1">
        <f t="shared" si="22"/>
        <v>34</v>
      </c>
      <c r="N23" s="1">
        <f t="shared" si="22"/>
        <v>35</v>
      </c>
      <c r="O23" s="1">
        <f t="shared" si="22"/>
        <v>36</v>
      </c>
      <c r="P23" s="1">
        <f t="shared" si="22"/>
        <v>37</v>
      </c>
      <c r="Q23" s="1">
        <f t="shared" si="22"/>
        <v>38</v>
      </c>
      <c r="R23" s="1">
        <f t="shared" si="22"/>
        <v>39</v>
      </c>
      <c r="S23" s="1">
        <f t="shared" si="22"/>
        <v>40</v>
      </c>
      <c r="T23" s="1">
        <f t="shared" si="22"/>
        <v>41</v>
      </c>
      <c r="U23" s="1">
        <f t="shared" si="22"/>
        <v>42</v>
      </c>
      <c r="V23" s="1">
        <f t="shared" si="22"/>
        <v>43</v>
      </c>
      <c r="W23" s="1">
        <f t="shared" si="22"/>
        <v>44</v>
      </c>
      <c r="X23" s="1">
        <f t="shared" si="22"/>
        <v>46</v>
      </c>
      <c r="Y23" s="1">
        <f t="shared" si="22"/>
        <v>47</v>
      </c>
      <c r="Z23" s="1">
        <f t="shared" si="22"/>
        <v>48</v>
      </c>
      <c r="AA23" s="1">
        <f t="shared" si="22"/>
        <v>50</v>
      </c>
      <c r="AB23" s="1">
        <f t="shared" si="22"/>
        <v>52</v>
      </c>
      <c r="AC23" s="1">
        <f t="shared" si="22"/>
        <v>54</v>
      </c>
      <c r="AD23" s="1">
        <f t="shared" si="22"/>
        <v>55</v>
      </c>
      <c r="AE23" s="1">
        <f t="shared" si="22"/>
        <v>56</v>
      </c>
      <c r="AF23" s="1">
        <f t="shared" si="22"/>
        <v>58</v>
      </c>
      <c r="AG23" s="1">
        <f t="shared" si="22"/>
        <v>60</v>
      </c>
      <c r="AH23" s="1">
        <f t="shared" si="22"/>
        <v>61</v>
      </c>
      <c r="AI23" s="5">
        <f t="shared" si="22"/>
        <v>62</v>
      </c>
      <c r="AJ23" s="1">
        <f t="shared" si="22"/>
        <v>64</v>
      </c>
      <c r="AK23" s="1">
        <f t="shared" si="22"/>
        <v>67</v>
      </c>
      <c r="AL23" s="1">
        <f t="shared" si="22"/>
        <v>70</v>
      </c>
      <c r="AM23" s="1">
        <f t="shared" si="22"/>
        <v>72</v>
      </c>
      <c r="AN23" s="1">
        <f t="shared" si="22"/>
        <v>73</v>
      </c>
      <c r="AO23" s="1">
        <f t="shared" si="22"/>
        <v>76</v>
      </c>
      <c r="AP23" s="1">
        <f t="shared" si="22"/>
        <v>82</v>
      </c>
      <c r="AR23" s="1">
        <f>COUNTIFS(score2pijlen,A23)</f>
        <v>21</v>
      </c>
      <c r="AS23" s="1">
        <f>COUNTIFS(score2pijlen,AP23)</f>
        <v>11</v>
      </c>
    </row>
    <row r="24" ht="15.75" customHeight="1">
      <c r="A24" s="1">
        <v>24.0</v>
      </c>
      <c r="B24" s="1">
        <f t="shared" ref="B24:AP24" si="23">$A24+B$1</f>
        <v>25</v>
      </c>
      <c r="C24" s="1">
        <f t="shared" si="23"/>
        <v>26</v>
      </c>
      <c r="D24" s="1">
        <f t="shared" si="23"/>
        <v>27</v>
      </c>
      <c r="E24" s="1">
        <f t="shared" si="23"/>
        <v>28</v>
      </c>
      <c r="F24" s="1">
        <f t="shared" si="23"/>
        <v>29</v>
      </c>
      <c r="G24" s="1">
        <f t="shared" si="23"/>
        <v>30</v>
      </c>
      <c r="H24" s="1">
        <f t="shared" si="23"/>
        <v>31</v>
      </c>
      <c r="I24" s="1">
        <f t="shared" si="23"/>
        <v>32</v>
      </c>
      <c r="J24" s="1">
        <f t="shared" si="23"/>
        <v>33</v>
      </c>
      <c r="K24" s="1">
        <f t="shared" si="23"/>
        <v>34</v>
      </c>
      <c r="L24" s="1">
        <f t="shared" si="23"/>
        <v>35</v>
      </c>
      <c r="M24" s="1">
        <f t="shared" si="23"/>
        <v>36</v>
      </c>
      <c r="N24" s="1">
        <f t="shared" si="23"/>
        <v>37</v>
      </c>
      <c r="O24" s="1">
        <f t="shared" si="23"/>
        <v>38</v>
      </c>
      <c r="P24" s="1">
        <f t="shared" si="23"/>
        <v>39</v>
      </c>
      <c r="Q24" s="1">
        <f t="shared" si="23"/>
        <v>40</v>
      </c>
      <c r="R24" s="1">
        <f t="shared" si="23"/>
        <v>41</v>
      </c>
      <c r="S24" s="1">
        <f t="shared" si="23"/>
        <v>42</v>
      </c>
      <c r="T24" s="1">
        <f t="shared" si="23"/>
        <v>43</v>
      </c>
      <c r="U24" s="1">
        <f t="shared" si="23"/>
        <v>44</v>
      </c>
      <c r="V24" s="1">
        <f t="shared" si="23"/>
        <v>45</v>
      </c>
      <c r="W24" s="1">
        <f t="shared" si="23"/>
        <v>46</v>
      </c>
      <c r="X24" s="1">
        <f t="shared" si="23"/>
        <v>48</v>
      </c>
      <c r="Y24" s="1">
        <f t="shared" si="23"/>
        <v>49</v>
      </c>
      <c r="Z24" s="1">
        <f t="shared" si="23"/>
        <v>50</v>
      </c>
      <c r="AA24" s="1">
        <f t="shared" si="23"/>
        <v>52</v>
      </c>
      <c r="AB24" s="1">
        <f t="shared" si="23"/>
        <v>54</v>
      </c>
      <c r="AC24" s="1">
        <f t="shared" si="23"/>
        <v>56</v>
      </c>
      <c r="AD24" s="1">
        <f t="shared" si="23"/>
        <v>57</v>
      </c>
      <c r="AE24" s="1">
        <f t="shared" si="23"/>
        <v>58</v>
      </c>
      <c r="AF24" s="1">
        <f t="shared" si="23"/>
        <v>60</v>
      </c>
      <c r="AG24" s="5">
        <f t="shared" si="23"/>
        <v>62</v>
      </c>
      <c r="AH24" s="1">
        <f t="shared" si="23"/>
        <v>63</v>
      </c>
      <c r="AI24" s="1">
        <f t="shared" si="23"/>
        <v>64</v>
      </c>
      <c r="AJ24" s="1">
        <f t="shared" si="23"/>
        <v>66</v>
      </c>
      <c r="AK24" s="1">
        <f t="shared" si="23"/>
        <v>69</v>
      </c>
      <c r="AL24" s="1">
        <f t="shared" si="23"/>
        <v>72</v>
      </c>
      <c r="AM24" s="1">
        <f t="shared" si="23"/>
        <v>74</v>
      </c>
      <c r="AN24" s="1">
        <f t="shared" si="23"/>
        <v>75</v>
      </c>
      <c r="AO24" s="1">
        <f t="shared" si="23"/>
        <v>78</v>
      </c>
      <c r="AP24" s="1">
        <f t="shared" si="23"/>
        <v>84</v>
      </c>
      <c r="AR24" s="1">
        <f>COUNTIFS(score2pijlen,A24)</f>
        <v>21</v>
      </c>
      <c r="AS24" s="1">
        <f>COUNTIFS(score2pijlen,AP24)</f>
        <v>13</v>
      </c>
    </row>
    <row r="25" ht="15.75" customHeight="1">
      <c r="A25" s="1">
        <v>25.0</v>
      </c>
      <c r="B25" s="1">
        <f t="shared" ref="B25:AP25" si="24">$A25+B$1</f>
        <v>26</v>
      </c>
      <c r="C25" s="1">
        <f t="shared" si="24"/>
        <v>27</v>
      </c>
      <c r="D25" s="1">
        <f t="shared" si="24"/>
        <v>28</v>
      </c>
      <c r="E25" s="1">
        <f t="shared" si="24"/>
        <v>29</v>
      </c>
      <c r="F25" s="1">
        <f t="shared" si="24"/>
        <v>30</v>
      </c>
      <c r="G25" s="1">
        <f t="shared" si="24"/>
        <v>31</v>
      </c>
      <c r="H25" s="1">
        <f t="shared" si="24"/>
        <v>32</v>
      </c>
      <c r="I25" s="1">
        <f t="shared" si="24"/>
        <v>33</v>
      </c>
      <c r="J25" s="1">
        <f t="shared" si="24"/>
        <v>34</v>
      </c>
      <c r="K25" s="1">
        <f t="shared" si="24"/>
        <v>35</v>
      </c>
      <c r="L25" s="1">
        <f t="shared" si="24"/>
        <v>36</v>
      </c>
      <c r="M25" s="1">
        <f t="shared" si="24"/>
        <v>37</v>
      </c>
      <c r="N25" s="1">
        <f t="shared" si="24"/>
        <v>38</v>
      </c>
      <c r="O25" s="1">
        <f t="shared" si="24"/>
        <v>39</v>
      </c>
      <c r="P25" s="1">
        <f t="shared" si="24"/>
        <v>40</v>
      </c>
      <c r="Q25" s="1">
        <f t="shared" si="24"/>
        <v>41</v>
      </c>
      <c r="R25" s="1">
        <f t="shared" si="24"/>
        <v>42</v>
      </c>
      <c r="S25" s="1">
        <f t="shared" si="24"/>
        <v>43</v>
      </c>
      <c r="T25" s="1">
        <f t="shared" si="24"/>
        <v>44</v>
      </c>
      <c r="U25" s="1">
        <f t="shared" si="24"/>
        <v>45</v>
      </c>
      <c r="V25" s="1">
        <f t="shared" si="24"/>
        <v>46</v>
      </c>
      <c r="W25" s="1">
        <f t="shared" si="24"/>
        <v>47</v>
      </c>
      <c r="X25" s="1">
        <f t="shared" si="24"/>
        <v>49</v>
      </c>
      <c r="Y25" s="1">
        <f t="shared" si="24"/>
        <v>50</v>
      </c>
      <c r="Z25" s="1">
        <f t="shared" si="24"/>
        <v>51</v>
      </c>
      <c r="AA25" s="1">
        <f t="shared" si="24"/>
        <v>53</v>
      </c>
      <c r="AB25" s="1">
        <f t="shared" si="24"/>
        <v>55</v>
      </c>
      <c r="AC25" s="1">
        <f t="shared" si="24"/>
        <v>57</v>
      </c>
      <c r="AD25" s="1">
        <f t="shared" si="24"/>
        <v>58</v>
      </c>
      <c r="AE25" s="1">
        <f t="shared" si="24"/>
        <v>59</v>
      </c>
      <c r="AF25" s="1">
        <f t="shared" si="24"/>
        <v>61</v>
      </c>
      <c r="AG25" s="1">
        <f t="shared" si="24"/>
        <v>63</v>
      </c>
      <c r="AH25" s="1">
        <f t="shared" si="24"/>
        <v>64</v>
      </c>
      <c r="AI25" s="1">
        <f t="shared" si="24"/>
        <v>65</v>
      </c>
      <c r="AJ25" s="1">
        <f t="shared" si="24"/>
        <v>67</v>
      </c>
      <c r="AK25" s="1">
        <f t="shared" si="24"/>
        <v>70</v>
      </c>
      <c r="AL25" s="1">
        <f t="shared" si="24"/>
        <v>73</v>
      </c>
      <c r="AM25" s="1">
        <f t="shared" si="24"/>
        <v>75</v>
      </c>
      <c r="AN25" s="1">
        <f t="shared" si="24"/>
        <v>76</v>
      </c>
      <c r="AO25" s="1">
        <f t="shared" si="24"/>
        <v>79</v>
      </c>
      <c r="AP25" s="1">
        <f t="shared" si="24"/>
        <v>85</v>
      </c>
      <c r="AR25" s="1">
        <f>COUNTIFS(score2pijlen,A25)</f>
        <v>22</v>
      </c>
      <c r="AS25" s="1">
        <f>COUNTIFS(score2pijlen,AP25)</f>
        <v>7</v>
      </c>
    </row>
    <row r="26" ht="15.75" customHeight="1">
      <c r="A26" s="1">
        <v>26.0</v>
      </c>
      <c r="B26" s="1">
        <f t="shared" ref="B26:AP26" si="25">$A26+B$1</f>
        <v>27</v>
      </c>
      <c r="C26" s="1">
        <f t="shared" si="25"/>
        <v>28</v>
      </c>
      <c r="D26" s="1">
        <f t="shared" si="25"/>
        <v>29</v>
      </c>
      <c r="E26" s="1">
        <f t="shared" si="25"/>
        <v>30</v>
      </c>
      <c r="F26" s="1">
        <f t="shared" si="25"/>
        <v>31</v>
      </c>
      <c r="G26" s="1">
        <f t="shared" si="25"/>
        <v>32</v>
      </c>
      <c r="H26" s="1">
        <f t="shared" si="25"/>
        <v>33</v>
      </c>
      <c r="I26" s="1">
        <f t="shared" si="25"/>
        <v>34</v>
      </c>
      <c r="J26" s="1">
        <f t="shared" si="25"/>
        <v>35</v>
      </c>
      <c r="K26" s="1">
        <f t="shared" si="25"/>
        <v>36</v>
      </c>
      <c r="L26" s="1">
        <f t="shared" si="25"/>
        <v>37</v>
      </c>
      <c r="M26" s="1">
        <f t="shared" si="25"/>
        <v>38</v>
      </c>
      <c r="N26" s="1">
        <f t="shared" si="25"/>
        <v>39</v>
      </c>
      <c r="O26" s="1">
        <f t="shared" si="25"/>
        <v>40</v>
      </c>
      <c r="P26" s="1">
        <f t="shared" si="25"/>
        <v>41</v>
      </c>
      <c r="Q26" s="1">
        <f t="shared" si="25"/>
        <v>42</v>
      </c>
      <c r="R26" s="1">
        <f t="shared" si="25"/>
        <v>43</v>
      </c>
      <c r="S26" s="1">
        <f t="shared" si="25"/>
        <v>44</v>
      </c>
      <c r="T26" s="1">
        <f t="shared" si="25"/>
        <v>45</v>
      </c>
      <c r="U26" s="1">
        <f t="shared" si="25"/>
        <v>46</v>
      </c>
      <c r="V26" s="1">
        <f t="shared" si="25"/>
        <v>47</v>
      </c>
      <c r="W26" s="1">
        <f t="shared" si="25"/>
        <v>48</v>
      </c>
      <c r="X26" s="1">
        <f t="shared" si="25"/>
        <v>50</v>
      </c>
      <c r="Y26" s="1">
        <f t="shared" si="25"/>
        <v>51</v>
      </c>
      <c r="Z26" s="1">
        <f t="shared" si="25"/>
        <v>52</v>
      </c>
      <c r="AA26" s="1">
        <f t="shared" si="25"/>
        <v>54</v>
      </c>
      <c r="AB26" s="1">
        <f t="shared" si="25"/>
        <v>56</v>
      </c>
      <c r="AC26" s="1">
        <f t="shared" si="25"/>
        <v>58</v>
      </c>
      <c r="AD26" s="1">
        <f t="shared" si="25"/>
        <v>59</v>
      </c>
      <c r="AE26" s="1">
        <f t="shared" si="25"/>
        <v>60</v>
      </c>
      <c r="AF26" s="5">
        <f t="shared" si="25"/>
        <v>62</v>
      </c>
      <c r="AG26" s="1">
        <f t="shared" si="25"/>
        <v>64</v>
      </c>
      <c r="AH26" s="1">
        <f t="shared" si="25"/>
        <v>65</v>
      </c>
      <c r="AI26" s="1">
        <f t="shared" si="25"/>
        <v>66</v>
      </c>
      <c r="AJ26" s="1">
        <f t="shared" si="25"/>
        <v>68</v>
      </c>
      <c r="AK26" s="1">
        <f t="shared" si="25"/>
        <v>71</v>
      </c>
      <c r="AL26" s="1">
        <f t="shared" si="25"/>
        <v>74</v>
      </c>
      <c r="AM26" s="1">
        <f t="shared" si="25"/>
        <v>76</v>
      </c>
      <c r="AN26" s="1">
        <f t="shared" si="25"/>
        <v>77</v>
      </c>
      <c r="AO26" s="1">
        <f t="shared" si="25"/>
        <v>80</v>
      </c>
      <c r="AP26" s="1">
        <f t="shared" si="25"/>
        <v>86</v>
      </c>
      <c r="AR26" s="1">
        <f>COUNTIFS(score2pijlen,A26)</f>
        <v>23</v>
      </c>
      <c r="AS26" s="1">
        <f>COUNTIFS(score2pijlen,AP26)</f>
        <v>8</v>
      </c>
    </row>
    <row r="27" ht="15.75" customHeight="1">
      <c r="A27" s="1">
        <v>28.0</v>
      </c>
      <c r="B27" s="1">
        <f t="shared" ref="B27:AP27" si="26">$A27+B$1</f>
        <v>29</v>
      </c>
      <c r="C27" s="1">
        <f t="shared" si="26"/>
        <v>30</v>
      </c>
      <c r="D27" s="1">
        <f t="shared" si="26"/>
        <v>31</v>
      </c>
      <c r="E27" s="1">
        <f t="shared" si="26"/>
        <v>32</v>
      </c>
      <c r="F27" s="1">
        <f t="shared" si="26"/>
        <v>33</v>
      </c>
      <c r="G27" s="1">
        <f t="shared" si="26"/>
        <v>34</v>
      </c>
      <c r="H27" s="1">
        <f t="shared" si="26"/>
        <v>35</v>
      </c>
      <c r="I27" s="1">
        <f t="shared" si="26"/>
        <v>36</v>
      </c>
      <c r="J27" s="1">
        <f t="shared" si="26"/>
        <v>37</v>
      </c>
      <c r="K27" s="1">
        <f t="shared" si="26"/>
        <v>38</v>
      </c>
      <c r="L27" s="1">
        <f t="shared" si="26"/>
        <v>39</v>
      </c>
      <c r="M27" s="1">
        <f t="shared" si="26"/>
        <v>40</v>
      </c>
      <c r="N27" s="1">
        <f t="shared" si="26"/>
        <v>41</v>
      </c>
      <c r="O27" s="1">
        <f t="shared" si="26"/>
        <v>42</v>
      </c>
      <c r="P27" s="1">
        <f t="shared" si="26"/>
        <v>43</v>
      </c>
      <c r="Q27" s="1">
        <f t="shared" si="26"/>
        <v>44</v>
      </c>
      <c r="R27" s="1">
        <f t="shared" si="26"/>
        <v>45</v>
      </c>
      <c r="S27" s="1">
        <f t="shared" si="26"/>
        <v>46</v>
      </c>
      <c r="T27" s="1">
        <f t="shared" si="26"/>
        <v>47</v>
      </c>
      <c r="U27" s="1">
        <f t="shared" si="26"/>
        <v>48</v>
      </c>
      <c r="V27" s="1">
        <f t="shared" si="26"/>
        <v>49</v>
      </c>
      <c r="W27" s="1">
        <f t="shared" si="26"/>
        <v>50</v>
      </c>
      <c r="X27" s="1">
        <f t="shared" si="26"/>
        <v>52</v>
      </c>
      <c r="Y27" s="1">
        <f t="shared" si="26"/>
        <v>53</v>
      </c>
      <c r="Z27" s="1">
        <f t="shared" si="26"/>
        <v>54</v>
      </c>
      <c r="AA27" s="1">
        <f t="shared" si="26"/>
        <v>56</v>
      </c>
      <c r="AB27" s="1">
        <f t="shared" si="26"/>
        <v>58</v>
      </c>
      <c r="AC27" s="1">
        <f t="shared" si="26"/>
        <v>60</v>
      </c>
      <c r="AD27" s="1">
        <f t="shared" si="26"/>
        <v>61</v>
      </c>
      <c r="AE27" s="5">
        <f t="shared" si="26"/>
        <v>62</v>
      </c>
      <c r="AF27" s="1">
        <f t="shared" si="26"/>
        <v>64</v>
      </c>
      <c r="AG27" s="1">
        <f t="shared" si="26"/>
        <v>66</v>
      </c>
      <c r="AH27" s="1">
        <f t="shared" si="26"/>
        <v>67</v>
      </c>
      <c r="AI27" s="1">
        <f t="shared" si="26"/>
        <v>68</v>
      </c>
      <c r="AJ27" s="1">
        <f t="shared" si="26"/>
        <v>70</v>
      </c>
      <c r="AK27" s="1">
        <f t="shared" si="26"/>
        <v>73</v>
      </c>
      <c r="AL27" s="1">
        <f t="shared" si="26"/>
        <v>76</v>
      </c>
      <c r="AM27" s="1">
        <f t="shared" si="26"/>
        <v>78</v>
      </c>
      <c r="AN27" s="1">
        <f t="shared" si="26"/>
        <v>79</v>
      </c>
      <c r="AO27" s="1">
        <f t="shared" si="26"/>
        <v>82</v>
      </c>
      <c r="AP27" s="1">
        <f t="shared" si="26"/>
        <v>88</v>
      </c>
      <c r="AR27" s="1">
        <f>COUNTIFS(score2pijlen,A27)</f>
        <v>23</v>
      </c>
      <c r="AS27" s="1">
        <f>COUNTIFS(score2pijlen,AP27)</f>
        <v>8</v>
      </c>
    </row>
    <row r="28" ht="15.75" customHeight="1">
      <c r="A28" s="1">
        <v>30.0</v>
      </c>
      <c r="B28" s="1">
        <f t="shared" ref="B28:AP28" si="27">$A28+B$1</f>
        <v>31</v>
      </c>
      <c r="C28" s="1">
        <f t="shared" si="27"/>
        <v>32</v>
      </c>
      <c r="D28" s="1">
        <f t="shared" si="27"/>
        <v>33</v>
      </c>
      <c r="E28" s="1">
        <f t="shared" si="27"/>
        <v>34</v>
      </c>
      <c r="F28" s="1">
        <f t="shared" si="27"/>
        <v>35</v>
      </c>
      <c r="G28" s="1">
        <f t="shared" si="27"/>
        <v>36</v>
      </c>
      <c r="H28" s="1">
        <f t="shared" si="27"/>
        <v>37</v>
      </c>
      <c r="I28" s="1">
        <f t="shared" si="27"/>
        <v>38</v>
      </c>
      <c r="J28" s="1">
        <f t="shared" si="27"/>
        <v>39</v>
      </c>
      <c r="K28" s="1">
        <f t="shared" si="27"/>
        <v>40</v>
      </c>
      <c r="L28" s="1">
        <f t="shared" si="27"/>
        <v>41</v>
      </c>
      <c r="M28" s="1">
        <f t="shared" si="27"/>
        <v>42</v>
      </c>
      <c r="N28" s="1">
        <f t="shared" si="27"/>
        <v>43</v>
      </c>
      <c r="O28" s="1">
        <f t="shared" si="27"/>
        <v>44</v>
      </c>
      <c r="P28" s="1">
        <f t="shared" si="27"/>
        <v>45</v>
      </c>
      <c r="Q28" s="1">
        <f t="shared" si="27"/>
        <v>46</v>
      </c>
      <c r="R28" s="1">
        <f t="shared" si="27"/>
        <v>47</v>
      </c>
      <c r="S28" s="1">
        <f t="shared" si="27"/>
        <v>48</v>
      </c>
      <c r="T28" s="1">
        <f t="shared" si="27"/>
        <v>49</v>
      </c>
      <c r="U28" s="1">
        <f t="shared" si="27"/>
        <v>50</v>
      </c>
      <c r="V28" s="1">
        <f t="shared" si="27"/>
        <v>51</v>
      </c>
      <c r="W28" s="1">
        <f t="shared" si="27"/>
        <v>52</v>
      </c>
      <c r="X28" s="1">
        <f t="shared" si="27"/>
        <v>54</v>
      </c>
      <c r="Y28" s="1">
        <f t="shared" si="27"/>
        <v>55</v>
      </c>
      <c r="Z28" s="1">
        <f t="shared" si="27"/>
        <v>56</v>
      </c>
      <c r="AA28" s="1">
        <f t="shared" si="27"/>
        <v>58</v>
      </c>
      <c r="AB28" s="1">
        <f t="shared" si="27"/>
        <v>60</v>
      </c>
      <c r="AC28" s="5">
        <f t="shared" si="27"/>
        <v>62</v>
      </c>
      <c r="AD28" s="1">
        <f t="shared" si="27"/>
        <v>63</v>
      </c>
      <c r="AE28" s="1">
        <f t="shared" si="27"/>
        <v>64</v>
      </c>
      <c r="AF28" s="1">
        <f t="shared" si="27"/>
        <v>66</v>
      </c>
      <c r="AG28" s="1">
        <f t="shared" si="27"/>
        <v>68</v>
      </c>
      <c r="AH28" s="1">
        <f t="shared" si="27"/>
        <v>69</v>
      </c>
      <c r="AI28" s="1">
        <f t="shared" si="27"/>
        <v>70</v>
      </c>
      <c r="AJ28" s="1">
        <f t="shared" si="27"/>
        <v>72</v>
      </c>
      <c r="AK28" s="1">
        <f t="shared" si="27"/>
        <v>75</v>
      </c>
      <c r="AL28" s="1">
        <f t="shared" si="27"/>
        <v>78</v>
      </c>
      <c r="AM28" s="1">
        <f t="shared" si="27"/>
        <v>80</v>
      </c>
      <c r="AN28" s="1">
        <f t="shared" si="27"/>
        <v>81</v>
      </c>
      <c r="AO28" s="1">
        <f t="shared" si="27"/>
        <v>84</v>
      </c>
      <c r="AP28" s="1">
        <f t="shared" si="27"/>
        <v>90</v>
      </c>
      <c r="AR28" s="1">
        <f>COUNTIFS(score2pijlen,A28)</f>
        <v>23</v>
      </c>
      <c r="AS28" s="1">
        <f>COUNTIFS(score2pijlen,AP28)</f>
        <v>12</v>
      </c>
    </row>
    <row r="29" ht="15.75" customHeight="1">
      <c r="A29" s="1">
        <v>32.0</v>
      </c>
      <c r="B29" s="1">
        <f t="shared" ref="B29:AP29" si="28">$A29+B$1</f>
        <v>33</v>
      </c>
      <c r="C29" s="1">
        <f t="shared" si="28"/>
        <v>34</v>
      </c>
      <c r="D29" s="1">
        <f t="shared" si="28"/>
        <v>35</v>
      </c>
      <c r="E29" s="1">
        <f t="shared" si="28"/>
        <v>36</v>
      </c>
      <c r="F29" s="1">
        <f t="shared" si="28"/>
        <v>37</v>
      </c>
      <c r="G29" s="1">
        <f t="shared" si="28"/>
        <v>38</v>
      </c>
      <c r="H29" s="1">
        <f t="shared" si="28"/>
        <v>39</v>
      </c>
      <c r="I29" s="1">
        <f t="shared" si="28"/>
        <v>40</v>
      </c>
      <c r="J29" s="1">
        <f t="shared" si="28"/>
        <v>41</v>
      </c>
      <c r="K29" s="1">
        <f t="shared" si="28"/>
        <v>42</v>
      </c>
      <c r="L29" s="1">
        <f t="shared" si="28"/>
        <v>43</v>
      </c>
      <c r="M29" s="1">
        <f t="shared" si="28"/>
        <v>44</v>
      </c>
      <c r="N29" s="1">
        <f t="shared" si="28"/>
        <v>45</v>
      </c>
      <c r="O29" s="1">
        <f t="shared" si="28"/>
        <v>46</v>
      </c>
      <c r="P29" s="1">
        <f t="shared" si="28"/>
        <v>47</v>
      </c>
      <c r="Q29" s="1">
        <f t="shared" si="28"/>
        <v>48</v>
      </c>
      <c r="R29" s="1">
        <f t="shared" si="28"/>
        <v>49</v>
      </c>
      <c r="S29" s="1">
        <f t="shared" si="28"/>
        <v>50</v>
      </c>
      <c r="T29" s="1">
        <f t="shared" si="28"/>
        <v>51</v>
      </c>
      <c r="U29" s="1">
        <f t="shared" si="28"/>
        <v>52</v>
      </c>
      <c r="V29" s="1">
        <f t="shared" si="28"/>
        <v>53</v>
      </c>
      <c r="W29" s="1">
        <f t="shared" si="28"/>
        <v>54</v>
      </c>
      <c r="X29" s="1">
        <f t="shared" si="28"/>
        <v>56</v>
      </c>
      <c r="Y29" s="1">
        <f t="shared" si="28"/>
        <v>57</v>
      </c>
      <c r="Z29" s="1">
        <f t="shared" si="28"/>
        <v>58</v>
      </c>
      <c r="AA29" s="1">
        <f t="shared" si="28"/>
        <v>60</v>
      </c>
      <c r="AB29" s="5">
        <f t="shared" si="28"/>
        <v>62</v>
      </c>
      <c r="AC29" s="1">
        <f t="shared" si="28"/>
        <v>64</v>
      </c>
      <c r="AD29" s="1">
        <f t="shared" si="28"/>
        <v>65</v>
      </c>
      <c r="AE29" s="1">
        <f t="shared" si="28"/>
        <v>66</v>
      </c>
      <c r="AF29" s="1">
        <f t="shared" si="28"/>
        <v>68</v>
      </c>
      <c r="AG29" s="1">
        <f t="shared" si="28"/>
        <v>70</v>
      </c>
      <c r="AH29" s="1">
        <f t="shared" si="28"/>
        <v>71</v>
      </c>
      <c r="AI29" s="1">
        <f t="shared" si="28"/>
        <v>72</v>
      </c>
      <c r="AJ29" s="1">
        <f t="shared" si="28"/>
        <v>74</v>
      </c>
      <c r="AK29" s="1">
        <f t="shared" si="28"/>
        <v>77</v>
      </c>
      <c r="AL29" s="1">
        <f t="shared" si="28"/>
        <v>80</v>
      </c>
      <c r="AM29" s="1">
        <f t="shared" si="28"/>
        <v>82</v>
      </c>
      <c r="AN29" s="1">
        <f t="shared" si="28"/>
        <v>83</v>
      </c>
      <c r="AO29" s="1">
        <f t="shared" si="28"/>
        <v>86</v>
      </c>
      <c r="AP29" s="1">
        <f t="shared" si="28"/>
        <v>92</v>
      </c>
      <c r="AR29" s="1">
        <f>COUNTIFS(score2pijlen,A29)</f>
        <v>23</v>
      </c>
      <c r="AS29" s="1">
        <f>COUNTIFS(score2pijlen,AP29)</f>
        <v>6</v>
      </c>
    </row>
    <row r="30" ht="15.75" customHeight="1">
      <c r="A30" s="1">
        <v>33.0</v>
      </c>
      <c r="B30" s="1">
        <f t="shared" ref="B30:AP30" si="29">$A30+B$1</f>
        <v>34</v>
      </c>
      <c r="C30" s="1">
        <f t="shared" si="29"/>
        <v>35</v>
      </c>
      <c r="D30" s="1">
        <f t="shared" si="29"/>
        <v>36</v>
      </c>
      <c r="E30" s="1">
        <f t="shared" si="29"/>
        <v>37</v>
      </c>
      <c r="F30" s="1">
        <f t="shared" si="29"/>
        <v>38</v>
      </c>
      <c r="G30" s="1">
        <f t="shared" si="29"/>
        <v>39</v>
      </c>
      <c r="H30" s="1">
        <f t="shared" si="29"/>
        <v>40</v>
      </c>
      <c r="I30" s="1">
        <f t="shared" si="29"/>
        <v>41</v>
      </c>
      <c r="J30" s="1">
        <f t="shared" si="29"/>
        <v>42</v>
      </c>
      <c r="K30" s="1">
        <f t="shared" si="29"/>
        <v>43</v>
      </c>
      <c r="L30" s="1">
        <f t="shared" si="29"/>
        <v>44</v>
      </c>
      <c r="M30" s="1">
        <f t="shared" si="29"/>
        <v>45</v>
      </c>
      <c r="N30" s="1">
        <f t="shared" si="29"/>
        <v>46</v>
      </c>
      <c r="O30" s="1">
        <f t="shared" si="29"/>
        <v>47</v>
      </c>
      <c r="P30" s="1">
        <f t="shared" si="29"/>
        <v>48</v>
      </c>
      <c r="Q30" s="1">
        <f t="shared" si="29"/>
        <v>49</v>
      </c>
      <c r="R30" s="1">
        <f t="shared" si="29"/>
        <v>50</v>
      </c>
      <c r="S30" s="1">
        <f t="shared" si="29"/>
        <v>51</v>
      </c>
      <c r="T30" s="1">
        <f t="shared" si="29"/>
        <v>52</v>
      </c>
      <c r="U30" s="1">
        <f t="shared" si="29"/>
        <v>53</v>
      </c>
      <c r="V30" s="1">
        <f t="shared" si="29"/>
        <v>54</v>
      </c>
      <c r="W30" s="1">
        <f t="shared" si="29"/>
        <v>55</v>
      </c>
      <c r="X30" s="1">
        <f t="shared" si="29"/>
        <v>57</v>
      </c>
      <c r="Y30" s="1">
        <f t="shared" si="29"/>
        <v>58</v>
      </c>
      <c r="Z30" s="1">
        <f t="shared" si="29"/>
        <v>59</v>
      </c>
      <c r="AA30" s="1">
        <f t="shared" si="29"/>
        <v>61</v>
      </c>
      <c r="AB30" s="1">
        <f t="shared" si="29"/>
        <v>63</v>
      </c>
      <c r="AC30" s="1">
        <f t="shared" si="29"/>
        <v>65</v>
      </c>
      <c r="AD30" s="1">
        <f t="shared" si="29"/>
        <v>66</v>
      </c>
      <c r="AE30" s="1">
        <f t="shared" si="29"/>
        <v>67</v>
      </c>
      <c r="AF30" s="1">
        <f t="shared" si="29"/>
        <v>69</v>
      </c>
      <c r="AG30" s="1">
        <f t="shared" si="29"/>
        <v>71</v>
      </c>
      <c r="AH30" s="1">
        <f t="shared" si="29"/>
        <v>72</v>
      </c>
      <c r="AI30" s="1">
        <f t="shared" si="29"/>
        <v>73</v>
      </c>
      <c r="AJ30" s="1">
        <f t="shared" si="29"/>
        <v>75</v>
      </c>
      <c r="AK30" s="1">
        <f t="shared" si="29"/>
        <v>78</v>
      </c>
      <c r="AL30" s="1">
        <f t="shared" si="29"/>
        <v>81</v>
      </c>
      <c r="AM30" s="1">
        <f t="shared" si="29"/>
        <v>83</v>
      </c>
      <c r="AN30" s="1">
        <f t="shared" si="29"/>
        <v>84</v>
      </c>
      <c r="AO30" s="1">
        <f t="shared" si="29"/>
        <v>87</v>
      </c>
      <c r="AP30" s="1">
        <f t="shared" si="29"/>
        <v>93</v>
      </c>
      <c r="AR30" s="1">
        <f>COUNTIFS(score2pijlen,A30)</f>
        <v>24</v>
      </c>
      <c r="AS30" s="1">
        <f>COUNTIFS(score2pijlen,AP30)</f>
        <v>9</v>
      </c>
    </row>
    <row r="31" ht="15.75" customHeight="1">
      <c r="A31" s="1">
        <v>34.0</v>
      </c>
      <c r="B31" s="1">
        <f t="shared" ref="B31:AP31" si="30">$A31+B$1</f>
        <v>35</v>
      </c>
      <c r="C31" s="1">
        <f t="shared" si="30"/>
        <v>36</v>
      </c>
      <c r="D31" s="1">
        <f t="shared" si="30"/>
        <v>37</v>
      </c>
      <c r="E31" s="1">
        <f t="shared" si="30"/>
        <v>38</v>
      </c>
      <c r="F31" s="1">
        <f t="shared" si="30"/>
        <v>39</v>
      </c>
      <c r="G31" s="1">
        <f t="shared" si="30"/>
        <v>40</v>
      </c>
      <c r="H31" s="1">
        <f t="shared" si="30"/>
        <v>41</v>
      </c>
      <c r="I31" s="1">
        <f t="shared" si="30"/>
        <v>42</v>
      </c>
      <c r="J31" s="1">
        <f t="shared" si="30"/>
        <v>43</v>
      </c>
      <c r="K31" s="1">
        <f t="shared" si="30"/>
        <v>44</v>
      </c>
      <c r="L31" s="1">
        <f t="shared" si="30"/>
        <v>45</v>
      </c>
      <c r="M31" s="1">
        <f t="shared" si="30"/>
        <v>46</v>
      </c>
      <c r="N31" s="1">
        <f t="shared" si="30"/>
        <v>47</v>
      </c>
      <c r="O31" s="1">
        <f t="shared" si="30"/>
        <v>48</v>
      </c>
      <c r="P31" s="1">
        <f t="shared" si="30"/>
        <v>49</v>
      </c>
      <c r="Q31" s="1">
        <f t="shared" si="30"/>
        <v>50</v>
      </c>
      <c r="R31" s="1">
        <f t="shared" si="30"/>
        <v>51</v>
      </c>
      <c r="S31" s="1">
        <f t="shared" si="30"/>
        <v>52</v>
      </c>
      <c r="T31" s="1">
        <f t="shared" si="30"/>
        <v>53</v>
      </c>
      <c r="U31" s="1">
        <f t="shared" si="30"/>
        <v>54</v>
      </c>
      <c r="V31" s="1">
        <f t="shared" si="30"/>
        <v>55</v>
      </c>
      <c r="W31" s="1">
        <f t="shared" si="30"/>
        <v>56</v>
      </c>
      <c r="X31" s="1">
        <f t="shared" si="30"/>
        <v>58</v>
      </c>
      <c r="Y31" s="1">
        <f t="shared" si="30"/>
        <v>59</v>
      </c>
      <c r="Z31" s="1">
        <f t="shared" si="30"/>
        <v>60</v>
      </c>
      <c r="AA31" s="5">
        <f t="shared" si="30"/>
        <v>62</v>
      </c>
      <c r="AB31" s="1">
        <f t="shared" si="30"/>
        <v>64</v>
      </c>
      <c r="AC31" s="1">
        <f t="shared" si="30"/>
        <v>66</v>
      </c>
      <c r="AD31" s="1">
        <f t="shared" si="30"/>
        <v>67</v>
      </c>
      <c r="AE31" s="1">
        <f t="shared" si="30"/>
        <v>68</v>
      </c>
      <c r="AF31" s="1">
        <f t="shared" si="30"/>
        <v>70</v>
      </c>
      <c r="AG31" s="1">
        <f t="shared" si="30"/>
        <v>72</v>
      </c>
      <c r="AH31" s="1">
        <f t="shared" si="30"/>
        <v>73</v>
      </c>
      <c r="AI31" s="1">
        <f t="shared" si="30"/>
        <v>74</v>
      </c>
      <c r="AJ31" s="1">
        <f t="shared" si="30"/>
        <v>76</v>
      </c>
      <c r="AK31" s="1">
        <f t="shared" si="30"/>
        <v>79</v>
      </c>
      <c r="AL31" s="1">
        <f t="shared" si="30"/>
        <v>82</v>
      </c>
      <c r="AM31" s="1">
        <f t="shared" si="30"/>
        <v>84</v>
      </c>
      <c r="AN31" s="1">
        <f t="shared" si="30"/>
        <v>85</v>
      </c>
      <c r="AO31" s="1">
        <f t="shared" si="30"/>
        <v>88</v>
      </c>
      <c r="AP31" s="1">
        <f t="shared" si="30"/>
        <v>94</v>
      </c>
      <c r="AR31" s="1">
        <f>COUNTIFS(score2pijlen,A31)</f>
        <v>25</v>
      </c>
      <c r="AS31" s="1">
        <f>COUNTIFS(score2pijlen,AP31)</f>
        <v>4</v>
      </c>
    </row>
    <row r="32" ht="15.75" customHeight="1">
      <c r="A32" s="1">
        <v>36.0</v>
      </c>
      <c r="B32" s="1">
        <f t="shared" ref="B32:AP32" si="31">$A32+B$1</f>
        <v>37</v>
      </c>
      <c r="C32" s="1">
        <f t="shared" si="31"/>
        <v>38</v>
      </c>
      <c r="D32" s="1">
        <f t="shared" si="31"/>
        <v>39</v>
      </c>
      <c r="E32" s="1">
        <f t="shared" si="31"/>
        <v>40</v>
      </c>
      <c r="F32" s="1">
        <f t="shared" si="31"/>
        <v>41</v>
      </c>
      <c r="G32" s="1">
        <f t="shared" si="31"/>
        <v>42</v>
      </c>
      <c r="H32" s="1">
        <f t="shared" si="31"/>
        <v>43</v>
      </c>
      <c r="I32" s="1">
        <f t="shared" si="31"/>
        <v>44</v>
      </c>
      <c r="J32" s="1">
        <f t="shared" si="31"/>
        <v>45</v>
      </c>
      <c r="K32" s="1">
        <f t="shared" si="31"/>
        <v>46</v>
      </c>
      <c r="L32" s="1">
        <f t="shared" si="31"/>
        <v>47</v>
      </c>
      <c r="M32" s="1">
        <f t="shared" si="31"/>
        <v>48</v>
      </c>
      <c r="N32" s="1">
        <f t="shared" si="31"/>
        <v>49</v>
      </c>
      <c r="O32" s="1">
        <f t="shared" si="31"/>
        <v>50</v>
      </c>
      <c r="P32" s="1">
        <f t="shared" si="31"/>
        <v>51</v>
      </c>
      <c r="Q32" s="1">
        <f t="shared" si="31"/>
        <v>52</v>
      </c>
      <c r="R32" s="1">
        <f t="shared" si="31"/>
        <v>53</v>
      </c>
      <c r="S32" s="1">
        <f t="shared" si="31"/>
        <v>54</v>
      </c>
      <c r="T32" s="1">
        <f t="shared" si="31"/>
        <v>55</v>
      </c>
      <c r="U32" s="1">
        <f t="shared" si="31"/>
        <v>56</v>
      </c>
      <c r="V32" s="1">
        <f t="shared" si="31"/>
        <v>57</v>
      </c>
      <c r="W32" s="1">
        <f t="shared" si="31"/>
        <v>58</v>
      </c>
      <c r="X32" s="1">
        <f t="shared" si="31"/>
        <v>60</v>
      </c>
      <c r="Y32" s="1">
        <f t="shared" si="31"/>
        <v>61</v>
      </c>
      <c r="Z32" s="5">
        <f t="shared" si="31"/>
        <v>62</v>
      </c>
      <c r="AA32" s="1">
        <f t="shared" si="31"/>
        <v>64</v>
      </c>
      <c r="AB32" s="1">
        <f t="shared" si="31"/>
        <v>66</v>
      </c>
      <c r="AC32" s="1">
        <f t="shared" si="31"/>
        <v>68</v>
      </c>
      <c r="AD32" s="1">
        <f t="shared" si="31"/>
        <v>69</v>
      </c>
      <c r="AE32" s="1">
        <f t="shared" si="31"/>
        <v>70</v>
      </c>
      <c r="AF32" s="1">
        <f t="shared" si="31"/>
        <v>72</v>
      </c>
      <c r="AG32" s="1">
        <f t="shared" si="31"/>
        <v>74</v>
      </c>
      <c r="AH32" s="1">
        <f t="shared" si="31"/>
        <v>75</v>
      </c>
      <c r="AI32" s="1">
        <f t="shared" si="31"/>
        <v>76</v>
      </c>
      <c r="AJ32" s="1">
        <f t="shared" si="31"/>
        <v>78</v>
      </c>
      <c r="AK32" s="1">
        <f t="shared" si="31"/>
        <v>81</v>
      </c>
      <c r="AL32" s="1">
        <f t="shared" si="31"/>
        <v>84</v>
      </c>
      <c r="AM32" s="1">
        <f t="shared" si="31"/>
        <v>86</v>
      </c>
      <c r="AN32" s="1">
        <f t="shared" si="31"/>
        <v>87</v>
      </c>
      <c r="AO32" s="1">
        <f t="shared" si="31"/>
        <v>90</v>
      </c>
      <c r="AP32" s="1">
        <f t="shared" si="31"/>
        <v>96</v>
      </c>
      <c r="AR32" s="1">
        <f>COUNTIFS(score2pijlen,A32)</f>
        <v>25</v>
      </c>
      <c r="AS32" s="1">
        <f>COUNTIFS(score2pijlen,AP32)</f>
        <v>8</v>
      </c>
    </row>
    <row r="33" ht="15.75" customHeight="1">
      <c r="A33" s="1">
        <v>38.0</v>
      </c>
      <c r="B33" s="1">
        <f t="shared" ref="B33:AP33" si="32">$A33+B$1</f>
        <v>39</v>
      </c>
      <c r="C33" s="1">
        <f t="shared" si="32"/>
        <v>40</v>
      </c>
      <c r="D33" s="1">
        <f t="shared" si="32"/>
        <v>41</v>
      </c>
      <c r="E33" s="1">
        <f t="shared" si="32"/>
        <v>42</v>
      </c>
      <c r="F33" s="1">
        <f t="shared" si="32"/>
        <v>43</v>
      </c>
      <c r="G33" s="1">
        <f t="shared" si="32"/>
        <v>44</v>
      </c>
      <c r="H33" s="1">
        <f t="shared" si="32"/>
        <v>45</v>
      </c>
      <c r="I33" s="1">
        <f t="shared" si="32"/>
        <v>46</v>
      </c>
      <c r="J33" s="1">
        <f t="shared" si="32"/>
        <v>47</v>
      </c>
      <c r="K33" s="1">
        <f t="shared" si="32"/>
        <v>48</v>
      </c>
      <c r="L33" s="1">
        <f t="shared" si="32"/>
        <v>49</v>
      </c>
      <c r="M33" s="1">
        <f t="shared" si="32"/>
        <v>50</v>
      </c>
      <c r="N33" s="1">
        <f t="shared" si="32"/>
        <v>51</v>
      </c>
      <c r="O33" s="1">
        <f t="shared" si="32"/>
        <v>52</v>
      </c>
      <c r="P33" s="1">
        <f t="shared" si="32"/>
        <v>53</v>
      </c>
      <c r="Q33" s="1">
        <f t="shared" si="32"/>
        <v>54</v>
      </c>
      <c r="R33" s="1">
        <f t="shared" si="32"/>
        <v>55</v>
      </c>
      <c r="S33" s="1">
        <f t="shared" si="32"/>
        <v>56</v>
      </c>
      <c r="T33" s="1">
        <f t="shared" si="32"/>
        <v>57</v>
      </c>
      <c r="U33" s="1">
        <f t="shared" si="32"/>
        <v>58</v>
      </c>
      <c r="V33" s="1">
        <f t="shared" si="32"/>
        <v>59</v>
      </c>
      <c r="W33" s="1">
        <f t="shared" si="32"/>
        <v>60</v>
      </c>
      <c r="X33" s="5">
        <f t="shared" si="32"/>
        <v>62</v>
      </c>
      <c r="Y33" s="1">
        <f t="shared" si="32"/>
        <v>63</v>
      </c>
      <c r="Z33" s="1">
        <f t="shared" si="32"/>
        <v>64</v>
      </c>
      <c r="AA33" s="1">
        <f t="shared" si="32"/>
        <v>66</v>
      </c>
      <c r="AB33" s="1">
        <f t="shared" si="32"/>
        <v>68</v>
      </c>
      <c r="AC33" s="1">
        <f t="shared" si="32"/>
        <v>70</v>
      </c>
      <c r="AD33" s="1">
        <f t="shared" si="32"/>
        <v>71</v>
      </c>
      <c r="AE33" s="1">
        <f t="shared" si="32"/>
        <v>72</v>
      </c>
      <c r="AF33" s="1">
        <f t="shared" si="32"/>
        <v>74</v>
      </c>
      <c r="AG33" s="1">
        <f t="shared" si="32"/>
        <v>76</v>
      </c>
      <c r="AH33" s="1">
        <f t="shared" si="32"/>
        <v>77</v>
      </c>
      <c r="AI33" s="1">
        <f t="shared" si="32"/>
        <v>78</v>
      </c>
      <c r="AJ33" s="1">
        <f t="shared" si="32"/>
        <v>80</v>
      </c>
      <c r="AK33" s="1">
        <f t="shared" si="32"/>
        <v>83</v>
      </c>
      <c r="AL33" s="1">
        <f t="shared" si="32"/>
        <v>86</v>
      </c>
      <c r="AM33" s="1">
        <f t="shared" si="32"/>
        <v>88</v>
      </c>
      <c r="AN33" s="1">
        <f t="shared" si="32"/>
        <v>89</v>
      </c>
      <c r="AO33" s="1">
        <f t="shared" si="32"/>
        <v>92</v>
      </c>
      <c r="AP33" s="1">
        <f t="shared" si="32"/>
        <v>98</v>
      </c>
      <c r="AR33" s="1">
        <f>COUNTIFS(score2pijlen,A33)</f>
        <v>25</v>
      </c>
      <c r="AS33" s="1">
        <f>COUNTIFS(score2pijlen,AP33)</f>
        <v>4</v>
      </c>
    </row>
    <row r="34" ht="15.75" customHeight="1">
      <c r="A34" s="1">
        <v>39.0</v>
      </c>
      <c r="B34" s="1">
        <f t="shared" ref="B34:AP34" si="33">$A34+B$1</f>
        <v>40</v>
      </c>
      <c r="C34" s="1">
        <f t="shared" si="33"/>
        <v>41</v>
      </c>
      <c r="D34" s="1">
        <f t="shared" si="33"/>
        <v>42</v>
      </c>
      <c r="E34" s="1">
        <f t="shared" si="33"/>
        <v>43</v>
      </c>
      <c r="F34" s="1">
        <f t="shared" si="33"/>
        <v>44</v>
      </c>
      <c r="G34" s="1">
        <f t="shared" si="33"/>
        <v>45</v>
      </c>
      <c r="H34" s="1">
        <f t="shared" si="33"/>
        <v>46</v>
      </c>
      <c r="I34" s="1">
        <f t="shared" si="33"/>
        <v>47</v>
      </c>
      <c r="J34" s="1">
        <f t="shared" si="33"/>
        <v>48</v>
      </c>
      <c r="K34" s="1">
        <f t="shared" si="33"/>
        <v>49</v>
      </c>
      <c r="L34" s="1">
        <f t="shared" si="33"/>
        <v>50</v>
      </c>
      <c r="M34" s="1">
        <f t="shared" si="33"/>
        <v>51</v>
      </c>
      <c r="N34" s="1">
        <f t="shared" si="33"/>
        <v>52</v>
      </c>
      <c r="O34" s="1">
        <f t="shared" si="33"/>
        <v>53</v>
      </c>
      <c r="P34" s="1">
        <f t="shared" si="33"/>
        <v>54</v>
      </c>
      <c r="Q34" s="1">
        <f t="shared" si="33"/>
        <v>55</v>
      </c>
      <c r="R34" s="1">
        <f t="shared" si="33"/>
        <v>56</v>
      </c>
      <c r="S34" s="1">
        <f t="shared" si="33"/>
        <v>57</v>
      </c>
      <c r="T34" s="1">
        <f t="shared" si="33"/>
        <v>58</v>
      </c>
      <c r="U34" s="1">
        <f t="shared" si="33"/>
        <v>59</v>
      </c>
      <c r="V34" s="1">
        <f t="shared" si="33"/>
        <v>60</v>
      </c>
      <c r="W34" s="1">
        <f t="shared" si="33"/>
        <v>61</v>
      </c>
      <c r="X34" s="1">
        <f t="shared" si="33"/>
        <v>63</v>
      </c>
      <c r="Y34" s="1">
        <f t="shared" si="33"/>
        <v>64</v>
      </c>
      <c r="Z34" s="1">
        <f t="shared" si="33"/>
        <v>65</v>
      </c>
      <c r="AA34" s="1">
        <f t="shared" si="33"/>
        <v>67</v>
      </c>
      <c r="AB34" s="1">
        <f t="shared" si="33"/>
        <v>69</v>
      </c>
      <c r="AC34" s="1">
        <f t="shared" si="33"/>
        <v>71</v>
      </c>
      <c r="AD34" s="1">
        <f t="shared" si="33"/>
        <v>72</v>
      </c>
      <c r="AE34" s="1">
        <f t="shared" si="33"/>
        <v>73</v>
      </c>
      <c r="AF34" s="1">
        <f t="shared" si="33"/>
        <v>75</v>
      </c>
      <c r="AG34" s="1">
        <f t="shared" si="33"/>
        <v>77</v>
      </c>
      <c r="AH34" s="1">
        <f t="shared" si="33"/>
        <v>78</v>
      </c>
      <c r="AI34" s="1">
        <f t="shared" si="33"/>
        <v>79</v>
      </c>
      <c r="AJ34" s="1">
        <f t="shared" si="33"/>
        <v>81</v>
      </c>
      <c r="AK34" s="1">
        <f t="shared" si="33"/>
        <v>84</v>
      </c>
      <c r="AL34" s="1">
        <f t="shared" si="33"/>
        <v>87</v>
      </c>
      <c r="AM34" s="1">
        <f t="shared" si="33"/>
        <v>89</v>
      </c>
      <c r="AN34" s="1">
        <f t="shared" si="33"/>
        <v>90</v>
      </c>
      <c r="AO34" s="1">
        <f t="shared" si="33"/>
        <v>93</v>
      </c>
      <c r="AP34" s="1">
        <f t="shared" si="33"/>
        <v>99</v>
      </c>
      <c r="AR34" s="1">
        <f>COUNTIFS(score2pijlen,A34)</f>
        <v>26</v>
      </c>
      <c r="AS34" s="1">
        <f>COUNTIFS(score2pijlen,AP34)</f>
        <v>7</v>
      </c>
    </row>
    <row r="35" ht="15.75" customHeight="1">
      <c r="A35" s="1">
        <v>40.0</v>
      </c>
      <c r="B35" s="1">
        <f t="shared" ref="B35:AP35" si="34">$A35+B$1</f>
        <v>41</v>
      </c>
      <c r="C35" s="1">
        <f t="shared" si="34"/>
        <v>42</v>
      </c>
      <c r="D35" s="1">
        <f t="shared" si="34"/>
        <v>43</v>
      </c>
      <c r="E35" s="1">
        <f t="shared" si="34"/>
        <v>44</v>
      </c>
      <c r="F35" s="1">
        <f t="shared" si="34"/>
        <v>45</v>
      </c>
      <c r="G35" s="1">
        <f t="shared" si="34"/>
        <v>46</v>
      </c>
      <c r="H35" s="1">
        <f t="shared" si="34"/>
        <v>47</v>
      </c>
      <c r="I35" s="1">
        <f t="shared" si="34"/>
        <v>48</v>
      </c>
      <c r="J35" s="1">
        <f t="shared" si="34"/>
        <v>49</v>
      </c>
      <c r="K35" s="1">
        <f t="shared" si="34"/>
        <v>50</v>
      </c>
      <c r="L35" s="1">
        <f t="shared" si="34"/>
        <v>51</v>
      </c>
      <c r="M35" s="1">
        <f t="shared" si="34"/>
        <v>52</v>
      </c>
      <c r="N35" s="1">
        <f t="shared" si="34"/>
        <v>53</v>
      </c>
      <c r="O35" s="1">
        <f t="shared" si="34"/>
        <v>54</v>
      </c>
      <c r="P35" s="1">
        <f t="shared" si="34"/>
        <v>55</v>
      </c>
      <c r="Q35" s="1">
        <f t="shared" si="34"/>
        <v>56</v>
      </c>
      <c r="R35" s="1">
        <f t="shared" si="34"/>
        <v>57</v>
      </c>
      <c r="S35" s="1">
        <f t="shared" si="34"/>
        <v>58</v>
      </c>
      <c r="T35" s="1">
        <f t="shared" si="34"/>
        <v>59</v>
      </c>
      <c r="U35" s="1">
        <f t="shared" si="34"/>
        <v>60</v>
      </c>
      <c r="V35" s="1">
        <f t="shared" si="34"/>
        <v>61</v>
      </c>
      <c r="W35" s="5">
        <f t="shared" si="34"/>
        <v>62</v>
      </c>
      <c r="X35" s="1">
        <f t="shared" si="34"/>
        <v>64</v>
      </c>
      <c r="Y35" s="1">
        <f t="shared" si="34"/>
        <v>65</v>
      </c>
      <c r="Z35" s="1">
        <f t="shared" si="34"/>
        <v>66</v>
      </c>
      <c r="AA35" s="1">
        <f t="shared" si="34"/>
        <v>68</v>
      </c>
      <c r="AB35" s="1">
        <f t="shared" si="34"/>
        <v>70</v>
      </c>
      <c r="AC35" s="1">
        <f t="shared" si="34"/>
        <v>72</v>
      </c>
      <c r="AD35" s="1">
        <f t="shared" si="34"/>
        <v>73</v>
      </c>
      <c r="AE35" s="1">
        <f t="shared" si="34"/>
        <v>74</v>
      </c>
      <c r="AF35" s="1">
        <f t="shared" si="34"/>
        <v>76</v>
      </c>
      <c r="AG35" s="1">
        <f t="shared" si="34"/>
        <v>78</v>
      </c>
      <c r="AH35" s="1">
        <f t="shared" si="34"/>
        <v>79</v>
      </c>
      <c r="AI35" s="1">
        <f t="shared" si="34"/>
        <v>80</v>
      </c>
      <c r="AJ35" s="1">
        <f t="shared" si="34"/>
        <v>82</v>
      </c>
      <c r="AK35" s="1">
        <f t="shared" si="34"/>
        <v>85</v>
      </c>
      <c r="AL35" s="1">
        <f t="shared" si="34"/>
        <v>88</v>
      </c>
      <c r="AM35" s="1">
        <f t="shared" si="34"/>
        <v>90</v>
      </c>
      <c r="AN35" s="1">
        <f t="shared" si="34"/>
        <v>91</v>
      </c>
      <c r="AO35" s="1">
        <f t="shared" si="34"/>
        <v>94</v>
      </c>
      <c r="AP35" s="1">
        <f t="shared" si="34"/>
        <v>100</v>
      </c>
      <c r="AR35" s="1">
        <f>COUNTIFS(score2pijlen,A35)</f>
        <v>27</v>
      </c>
      <c r="AS35" s="1">
        <f>COUNTIFS(score2pijlen,AP35)</f>
        <v>3</v>
      </c>
    </row>
    <row r="36" ht="15.75" customHeight="1">
      <c r="A36" s="1">
        <v>42.0</v>
      </c>
      <c r="B36" s="1">
        <f t="shared" ref="B36:AP36" si="35">$A36+B$1</f>
        <v>43</v>
      </c>
      <c r="C36" s="1">
        <f t="shared" si="35"/>
        <v>44</v>
      </c>
      <c r="D36" s="1">
        <f t="shared" si="35"/>
        <v>45</v>
      </c>
      <c r="E36" s="1">
        <f t="shared" si="35"/>
        <v>46</v>
      </c>
      <c r="F36" s="1">
        <f t="shared" si="35"/>
        <v>47</v>
      </c>
      <c r="G36" s="1">
        <f t="shared" si="35"/>
        <v>48</v>
      </c>
      <c r="H36" s="1">
        <f t="shared" si="35"/>
        <v>49</v>
      </c>
      <c r="I36" s="1">
        <f t="shared" si="35"/>
        <v>50</v>
      </c>
      <c r="J36" s="1">
        <f t="shared" si="35"/>
        <v>51</v>
      </c>
      <c r="K36" s="1">
        <f t="shared" si="35"/>
        <v>52</v>
      </c>
      <c r="L36" s="1">
        <f t="shared" si="35"/>
        <v>53</v>
      </c>
      <c r="M36" s="1">
        <f t="shared" si="35"/>
        <v>54</v>
      </c>
      <c r="N36" s="1">
        <f t="shared" si="35"/>
        <v>55</v>
      </c>
      <c r="O36" s="1">
        <f t="shared" si="35"/>
        <v>56</v>
      </c>
      <c r="P36" s="1">
        <f t="shared" si="35"/>
        <v>57</v>
      </c>
      <c r="Q36" s="1">
        <f t="shared" si="35"/>
        <v>58</v>
      </c>
      <c r="R36" s="1">
        <f t="shared" si="35"/>
        <v>59</v>
      </c>
      <c r="S36" s="1">
        <f t="shared" si="35"/>
        <v>60</v>
      </c>
      <c r="T36" s="1">
        <f t="shared" si="35"/>
        <v>61</v>
      </c>
      <c r="U36" s="5">
        <f t="shared" si="35"/>
        <v>62</v>
      </c>
      <c r="V36" s="1">
        <f t="shared" si="35"/>
        <v>63</v>
      </c>
      <c r="W36" s="1">
        <f t="shared" si="35"/>
        <v>64</v>
      </c>
      <c r="X36" s="1">
        <f t="shared" si="35"/>
        <v>66</v>
      </c>
      <c r="Y36" s="1">
        <f t="shared" si="35"/>
        <v>67</v>
      </c>
      <c r="Z36" s="1">
        <f t="shared" si="35"/>
        <v>68</v>
      </c>
      <c r="AA36" s="1">
        <f t="shared" si="35"/>
        <v>70</v>
      </c>
      <c r="AB36" s="1">
        <f t="shared" si="35"/>
        <v>72</v>
      </c>
      <c r="AC36" s="1">
        <f t="shared" si="35"/>
        <v>74</v>
      </c>
      <c r="AD36" s="1">
        <f t="shared" si="35"/>
        <v>75</v>
      </c>
      <c r="AE36" s="1">
        <f t="shared" si="35"/>
        <v>76</v>
      </c>
      <c r="AF36" s="1">
        <f t="shared" si="35"/>
        <v>78</v>
      </c>
      <c r="AG36" s="1">
        <f t="shared" si="35"/>
        <v>80</v>
      </c>
      <c r="AH36" s="1">
        <f t="shared" si="35"/>
        <v>81</v>
      </c>
      <c r="AI36" s="1">
        <f t="shared" si="35"/>
        <v>82</v>
      </c>
      <c r="AJ36" s="1">
        <f t="shared" si="35"/>
        <v>84</v>
      </c>
      <c r="AK36" s="1">
        <f t="shared" si="35"/>
        <v>87</v>
      </c>
      <c r="AL36" s="1">
        <f t="shared" si="35"/>
        <v>90</v>
      </c>
      <c r="AM36" s="1">
        <f t="shared" si="35"/>
        <v>92</v>
      </c>
      <c r="AN36" s="1">
        <f t="shared" si="35"/>
        <v>93</v>
      </c>
      <c r="AO36" s="1">
        <f t="shared" si="35"/>
        <v>96</v>
      </c>
      <c r="AP36" s="1">
        <f t="shared" si="35"/>
        <v>102</v>
      </c>
      <c r="AR36" s="1">
        <f>COUNTIFS(score2pijlen,A36)</f>
        <v>27</v>
      </c>
      <c r="AS36" s="1">
        <f>COUNTIFS(score2pijlen,AP36)</f>
        <v>6</v>
      </c>
    </row>
    <row r="37" ht="15.75" customHeight="1">
      <c r="A37" s="1">
        <v>45.0</v>
      </c>
      <c r="B37" s="1">
        <f t="shared" ref="B37:AP37" si="36">$A37+B$1</f>
        <v>46</v>
      </c>
      <c r="C37" s="1">
        <f t="shared" si="36"/>
        <v>47</v>
      </c>
      <c r="D37" s="1">
        <f t="shared" si="36"/>
        <v>48</v>
      </c>
      <c r="E37" s="1">
        <f t="shared" si="36"/>
        <v>49</v>
      </c>
      <c r="F37" s="1">
        <f t="shared" si="36"/>
        <v>50</v>
      </c>
      <c r="G37" s="1">
        <f t="shared" si="36"/>
        <v>51</v>
      </c>
      <c r="H37" s="1">
        <f t="shared" si="36"/>
        <v>52</v>
      </c>
      <c r="I37" s="1">
        <f t="shared" si="36"/>
        <v>53</v>
      </c>
      <c r="J37" s="1">
        <f t="shared" si="36"/>
        <v>54</v>
      </c>
      <c r="K37" s="1">
        <f t="shared" si="36"/>
        <v>55</v>
      </c>
      <c r="L37" s="1">
        <f t="shared" si="36"/>
        <v>56</v>
      </c>
      <c r="M37" s="1">
        <f t="shared" si="36"/>
        <v>57</v>
      </c>
      <c r="N37" s="1">
        <f t="shared" si="36"/>
        <v>58</v>
      </c>
      <c r="O37" s="1">
        <f t="shared" si="36"/>
        <v>59</v>
      </c>
      <c r="P37" s="1">
        <f t="shared" si="36"/>
        <v>60</v>
      </c>
      <c r="Q37" s="1">
        <f t="shared" si="36"/>
        <v>61</v>
      </c>
      <c r="R37" s="5">
        <f t="shared" si="36"/>
        <v>62</v>
      </c>
      <c r="S37" s="1">
        <f t="shared" si="36"/>
        <v>63</v>
      </c>
      <c r="T37" s="1">
        <f t="shared" si="36"/>
        <v>64</v>
      </c>
      <c r="U37" s="1">
        <f t="shared" si="36"/>
        <v>65</v>
      </c>
      <c r="V37" s="1">
        <f t="shared" si="36"/>
        <v>66</v>
      </c>
      <c r="W37" s="1">
        <f t="shared" si="36"/>
        <v>67</v>
      </c>
      <c r="X37" s="1">
        <f t="shared" si="36"/>
        <v>69</v>
      </c>
      <c r="Y37" s="1">
        <f t="shared" si="36"/>
        <v>70</v>
      </c>
      <c r="Z37" s="1">
        <f t="shared" si="36"/>
        <v>71</v>
      </c>
      <c r="AA37" s="1">
        <f t="shared" si="36"/>
        <v>73</v>
      </c>
      <c r="AB37" s="1">
        <f t="shared" si="36"/>
        <v>75</v>
      </c>
      <c r="AC37" s="1">
        <f t="shared" si="36"/>
        <v>77</v>
      </c>
      <c r="AD37" s="1">
        <f t="shared" si="36"/>
        <v>78</v>
      </c>
      <c r="AE37" s="1">
        <f t="shared" si="36"/>
        <v>79</v>
      </c>
      <c r="AF37" s="1">
        <f t="shared" si="36"/>
        <v>81</v>
      </c>
      <c r="AG37" s="1">
        <f t="shared" si="36"/>
        <v>83</v>
      </c>
      <c r="AH37" s="1">
        <f t="shared" si="36"/>
        <v>84</v>
      </c>
      <c r="AI37" s="1">
        <f t="shared" si="36"/>
        <v>85</v>
      </c>
      <c r="AJ37" s="1">
        <f t="shared" si="36"/>
        <v>87</v>
      </c>
      <c r="AK37" s="1">
        <f t="shared" si="36"/>
        <v>90</v>
      </c>
      <c r="AL37" s="1">
        <f t="shared" si="36"/>
        <v>93</v>
      </c>
      <c r="AM37" s="1">
        <f t="shared" si="36"/>
        <v>95</v>
      </c>
      <c r="AN37" s="1">
        <f t="shared" si="36"/>
        <v>96</v>
      </c>
      <c r="AO37" s="1">
        <f t="shared" si="36"/>
        <v>99</v>
      </c>
      <c r="AP37" s="1">
        <f t="shared" si="36"/>
        <v>105</v>
      </c>
      <c r="AR37" s="1">
        <f>COUNTIFS(score2pijlen,A37)</f>
        <v>26</v>
      </c>
      <c r="AS37" s="1">
        <f>COUNTIFS(score2pijlen,AP37)</f>
        <v>5</v>
      </c>
    </row>
    <row r="38" ht="15.75" customHeight="1">
      <c r="A38" s="1">
        <v>48.0</v>
      </c>
      <c r="B38" s="1">
        <f t="shared" ref="B38:AP38" si="37">$A38+B$1</f>
        <v>49</v>
      </c>
      <c r="C38" s="1">
        <f t="shared" si="37"/>
        <v>50</v>
      </c>
      <c r="D38" s="1">
        <f t="shared" si="37"/>
        <v>51</v>
      </c>
      <c r="E38" s="1">
        <f t="shared" si="37"/>
        <v>52</v>
      </c>
      <c r="F38" s="1">
        <f t="shared" si="37"/>
        <v>53</v>
      </c>
      <c r="G38" s="1">
        <f t="shared" si="37"/>
        <v>54</v>
      </c>
      <c r="H38" s="1">
        <f t="shared" si="37"/>
        <v>55</v>
      </c>
      <c r="I38" s="1">
        <f t="shared" si="37"/>
        <v>56</v>
      </c>
      <c r="J38" s="1">
        <f t="shared" si="37"/>
        <v>57</v>
      </c>
      <c r="K38" s="1">
        <f t="shared" si="37"/>
        <v>58</v>
      </c>
      <c r="L38" s="1">
        <f t="shared" si="37"/>
        <v>59</v>
      </c>
      <c r="M38" s="1">
        <f t="shared" si="37"/>
        <v>60</v>
      </c>
      <c r="N38" s="1">
        <f t="shared" si="37"/>
        <v>61</v>
      </c>
      <c r="O38" s="5">
        <f t="shared" si="37"/>
        <v>62</v>
      </c>
      <c r="P38" s="1">
        <f t="shared" si="37"/>
        <v>63</v>
      </c>
      <c r="Q38" s="1">
        <f t="shared" si="37"/>
        <v>64</v>
      </c>
      <c r="R38" s="1">
        <f t="shared" si="37"/>
        <v>65</v>
      </c>
      <c r="S38" s="1">
        <f t="shared" si="37"/>
        <v>66</v>
      </c>
      <c r="T38" s="1">
        <f t="shared" si="37"/>
        <v>67</v>
      </c>
      <c r="U38" s="1">
        <f t="shared" si="37"/>
        <v>68</v>
      </c>
      <c r="V38" s="1">
        <f t="shared" si="37"/>
        <v>69</v>
      </c>
      <c r="W38" s="1">
        <f t="shared" si="37"/>
        <v>70</v>
      </c>
      <c r="X38" s="1">
        <f t="shared" si="37"/>
        <v>72</v>
      </c>
      <c r="Y38" s="1">
        <f t="shared" si="37"/>
        <v>73</v>
      </c>
      <c r="Z38" s="1">
        <f t="shared" si="37"/>
        <v>74</v>
      </c>
      <c r="AA38" s="1">
        <f t="shared" si="37"/>
        <v>76</v>
      </c>
      <c r="AB38" s="1">
        <f t="shared" si="37"/>
        <v>78</v>
      </c>
      <c r="AC38" s="1">
        <f t="shared" si="37"/>
        <v>80</v>
      </c>
      <c r="AD38" s="1">
        <f t="shared" si="37"/>
        <v>81</v>
      </c>
      <c r="AE38" s="1">
        <f t="shared" si="37"/>
        <v>82</v>
      </c>
      <c r="AF38" s="1">
        <f t="shared" si="37"/>
        <v>84</v>
      </c>
      <c r="AG38" s="1">
        <f t="shared" si="37"/>
        <v>86</v>
      </c>
      <c r="AH38" s="1">
        <f t="shared" si="37"/>
        <v>87</v>
      </c>
      <c r="AI38" s="1">
        <f t="shared" si="37"/>
        <v>88</v>
      </c>
      <c r="AJ38" s="1">
        <f t="shared" si="37"/>
        <v>90</v>
      </c>
      <c r="AK38" s="1">
        <f t="shared" si="37"/>
        <v>93</v>
      </c>
      <c r="AL38" s="1">
        <f t="shared" si="37"/>
        <v>96</v>
      </c>
      <c r="AM38" s="1">
        <f t="shared" si="37"/>
        <v>98</v>
      </c>
      <c r="AN38" s="1">
        <f t="shared" si="37"/>
        <v>99</v>
      </c>
      <c r="AO38" s="1">
        <f t="shared" si="37"/>
        <v>102</v>
      </c>
      <c r="AP38" s="1">
        <f t="shared" si="37"/>
        <v>108</v>
      </c>
      <c r="AR38" s="1">
        <f>COUNTIFS(score2pijlen,A38)</f>
        <v>25</v>
      </c>
      <c r="AS38" s="1">
        <f>COUNTIFS(score2pijlen,AP38)</f>
        <v>4</v>
      </c>
    </row>
    <row r="39" ht="15.75" customHeight="1">
      <c r="A39" s="1">
        <v>50.0</v>
      </c>
      <c r="B39" s="1">
        <f t="shared" ref="B39:AP39" si="38">$A39+B$1</f>
        <v>51</v>
      </c>
      <c r="C39" s="1">
        <f t="shared" si="38"/>
        <v>52</v>
      </c>
      <c r="D39" s="1">
        <f t="shared" si="38"/>
        <v>53</v>
      </c>
      <c r="E39" s="1">
        <f t="shared" si="38"/>
        <v>54</v>
      </c>
      <c r="F39" s="1">
        <f t="shared" si="38"/>
        <v>55</v>
      </c>
      <c r="G39" s="1">
        <f t="shared" si="38"/>
        <v>56</v>
      </c>
      <c r="H39" s="1">
        <f t="shared" si="38"/>
        <v>57</v>
      </c>
      <c r="I39" s="1">
        <f t="shared" si="38"/>
        <v>58</v>
      </c>
      <c r="J39" s="1">
        <f t="shared" si="38"/>
        <v>59</v>
      </c>
      <c r="K39" s="1">
        <f t="shared" si="38"/>
        <v>60</v>
      </c>
      <c r="L39" s="1">
        <f t="shared" si="38"/>
        <v>61</v>
      </c>
      <c r="M39" s="5">
        <f t="shared" si="38"/>
        <v>62</v>
      </c>
      <c r="N39" s="1">
        <f t="shared" si="38"/>
        <v>63</v>
      </c>
      <c r="O39" s="1">
        <f t="shared" si="38"/>
        <v>64</v>
      </c>
      <c r="P39" s="1">
        <f t="shared" si="38"/>
        <v>65</v>
      </c>
      <c r="Q39" s="1">
        <f t="shared" si="38"/>
        <v>66</v>
      </c>
      <c r="R39" s="1">
        <f t="shared" si="38"/>
        <v>67</v>
      </c>
      <c r="S39" s="1">
        <f t="shared" si="38"/>
        <v>68</v>
      </c>
      <c r="T39" s="1">
        <f t="shared" si="38"/>
        <v>69</v>
      </c>
      <c r="U39" s="1">
        <f t="shared" si="38"/>
        <v>70</v>
      </c>
      <c r="V39" s="1">
        <f t="shared" si="38"/>
        <v>71</v>
      </c>
      <c r="W39" s="1">
        <f t="shared" si="38"/>
        <v>72</v>
      </c>
      <c r="X39" s="1">
        <f t="shared" si="38"/>
        <v>74</v>
      </c>
      <c r="Y39" s="1">
        <f t="shared" si="38"/>
        <v>75</v>
      </c>
      <c r="Z39" s="1">
        <f t="shared" si="38"/>
        <v>76</v>
      </c>
      <c r="AA39" s="1">
        <f t="shared" si="38"/>
        <v>78</v>
      </c>
      <c r="AB39" s="1">
        <f t="shared" si="38"/>
        <v>80</v>
      </c>
      <c r="AC39" s="1">
        <f t="shared" si="38"/>
        <v>82</v>
      </c>
      <c r="AD39" s="1">
        <f t="shared" si="38"/>
        <v>83</v>
      </c>
      <c r="AE39" s="1">
        <f t="shared" si="38"/>
        <v>84</v>
      </c>
      <c r="AF39" s="1">
        <f t="shared" si="38"/>
        <v>86</v>
      </c>
      <c r="AG39" s="1">
        <f t="shared" si="38"/>
        <v>88</v>
      </c>
      <c r="AH39" s="1">
        <f t="shared" si="38"/>
        <v>89</v>
      </c>
      <c r="AI39" s="1">
        <f t="shared" si="38"/>
        <v>90</v>
      </c>
      <c r="AJ39" s="1">
        <f t="shared" si="38"/>
        <v>92</v>
      </c>
      <c r="AK39" s="1">
        <f t="shared" si="38"/>
        <v>95</v>
      </c>
      <c r="AL39" s="1">
        <f t="shared" si="38"/>
        <v>98</v>
      </c>
      <c r="AM39" s="1">
        <f t="shared" si="38"/>
        <v>100</v>
      </c>
      <c r="AN39" s="1">
        <f t="shared" si="38"/>
        <v>101</v>
      </c>
      <c r="AO39" s="1">
        <f t="shared" si="38"/>
        <v>104</v>
      </c>
      <c r="AP39" s="1">
        <f t="shared" si="38"/>
        <v>110</v>
      </c>
      <c r="AR39" s="1">
        <f>COUNTIFS(score2pijlen,A39)</f>
        <v>27</v>
      </c>
      <c r="AS39" s="1">
        <f>COUNTIFS(score2pijlen,AP39)</f>
        <v>2</v>
      </c>
    </row>
    <row r="40" ht="15.75" customHeight="1">
      <c r="A40" s="1">
        <v>51.0</v>
      </c>
      <c r="B40" s="1">
        <f t="shared" ref="B40:AP40" si="39">$A40+B$1</f>
        <v>52</v>
      </c>
      <c r="C40" s="1">
        <f t="shared" si="39"/>
        <v>53</v>
      </c>
      <c r="D40" s="1">
        <f t="shared" si="39"/>
        <v>54</v>
      </c>
      <c r="E40" s="1">
        <f t="shared" si="39"/>
        <v>55</v>
      </c>
      <c r="F40" s="1">
        <f t="shared" si="39"/>
        <v>56</v>
      </c>
      <c r="G40" s="1">
        <f t="shared" si="39"/>
        <v>57</v>
      </c>
      <c r="H40" s="1">
        <f t="shared" si="39"/>
        <v>58</v>
      </c>
      <c r="I40" s="1">
        <f t="shared" si="39"/>
        <v>59</v>
      </c>
      <c r="J40" s="1">
        <f t="shared" si="39"/>
        <v>60</v>
      </c>
      <c r="K40" s="1">
        <f t="shared" si="39"/>
        <v>61</v>
      </c>
      <c r="L40" s="5">
        <f t="shared" si="39"/>
        <v>62</v>
      </c>
      <c r="M40" s="1">
        <f t="shared" si="39"/>
        <v>63</v>
      </c>
      <c r="N40" s="1">
        <f t="shared" si="39"/>
        <v>64</v>
      </c>
      <c r="O40" s="1">
        <f t="shared" si="39"/>
        <v>65</v>
      </c>
      <c r="P40" s="1">
        <f t="shared" si="39"/>
        <v>66</v>
      </c>
      <c r="Q40" s="1">
        <f t="shared" si="39"/>
        <v>67</v>
      </c>
      <c r="R40" s="1">
        <f t="shared" si="39"/>
        <v>68</v>
      </c>
      <c r="S40" s="1">
        <f t="shared" si="39"/>
        <v>69</v>
      </c>
      <c r="T40" s="1">
        <f t="shared" si="39"/>
        <v>70</v>
      </c>
      <c r="U40" s="1">
        <f t="shared" si="39"/>
        <v>71</v>
      </c>
      <c r="V40" s="1">
        <f t="shared" si="39"/>
        <v>72</v>
      </c>
      <c r="W40" s="1">
        <f t="shared" si="39"/>
        <v>73</v>
      </c>
      <c r="X40" s="1">
        <f t="shared" si="39"/>
        <v>75</v>
      </c>
      <c r="Y40" s="1">
        <f t="shared" si="39"/>
        <v>76</v>
      </c>
      <c r="Z40" s="1">
        <f t="shared" si="39"/>
        <v>77</v>
      </c>
      <c r="AA40" s="1">
        <f t="shared" si="39"/>
        <v>79</v>
      </c>
      <c r="AB40" s="1">
        <f t="shared" si="39"/>
        <v>81</v>
      </c>
      <c r="AC40" s="1">
        <f t="shared" si="39"/>
        <v>83</v>
      </c>
      <c r="AD40" s="1">
        <f t="shared" si="39"/>
        <v>84</v>
      </c>
      <c r="AE40" s="1">
        <f t="shared" si="39"/>
        <v>85</v>
      </c>
      <c r="AF40" s="1">
        <f t="shared" si="39"/>
        <v>87</v>
      </c>
      <c r="AG40" s="1">
        <f t="shared" si="39"/>
        <v>89</v>
      </c>
      <c r="AH40" s="1">
        <f t="shared" si="39"/>
        <v>90</v>
      </c>
      <c r="AI40" s="1">
        <f t="shared" si="39"/>
        <v>91</v>
      </c>
      <c r="AJ40" s="1">
        <f t="shared" si="39"/>
        <v>93</v>
      </c>
      <c r="AK40" s="1">
        <f t="shared" si="39"/>
        <v>96</v>
      </c>
      <c r="AL40" s="1">
        <f t="shared" si="39"/>
        <v>99</v>
      </c>
      <c r="AM40" s="1">
        <f t="shared" si="39"/>
        <v>101</v>
      </c>
      <c r="AN40" s="1">
        <f t="shared" si="39"/>
        <v>102</v>
      </c>
      <c r="AO40" s="1">
        <f t="shared" si="39"/>
        <v>105</v>
      </c>
      <c r="AP40" s="1">
        <f t="shared" si="39"/>
        <v>111</v>
      </c>
      <c r="AR40" s="1">
        <f>COUNTIFS(score2pijlen,A40)</f>
        <v>26</v>
      </c>
      <c r="AS40" s="1">
        <f>COUNTIFS(score2pijlen,AP40)</f>
        <v>3</v>
      </c>
    </row>
    <row r="41" ht="15.75" customHeight="1">
      <c r="A41" s="1">
        <v>54.0</v>
      </c>
      <c r="B41" s="1">
        <f t="shared" ref="B41:AP41" si="40">$A41+B$1</f>
        <v>55</v>
      </c>
      <c r="C41" s="1">
        <f t="shared" si="40"/>
        <v>56</v>
      </c>
      <c r="D41" s="1">
        <f t="shared" si="40"/>
        <v>57</v>
      </c>
      <c r="E41" s="1">
        <f t="shared" si="40"/>
        <v>58</v>
      </c>
      <c r="F41" s="1">
        <f t="shared" si="40"/>
        <v>59</v>
      </c>
      <c r="G41" s="1">
        <f t="shared" si="40"/>
        <v>60</v>
      </c>
      <c r="H41" s="1">
        <f t="shared" si="40"/>
        <v>61</v>
      </c>
      <c r="I41" s="5">
        <f t="shared" si="40"/>
        <v>62</v>
      </c>
      <c r="J41" s="1">
        <f t="shared" si="40"/>
        <v>63</v>
      </c>
      <c r="K41" s="1">
        <f t="shared" si="40"/>
        <v>64</v>
      </c>
      <c r="L41" s="1">
        <f t="shared" si="40"/>
        <v>65</v>
      </c>
      <c r="M41" s="1">
        <f t="shared" si="40"/>
        <v>66</v>
      </c>
      <c r="N41" s="1">
        <f t="shared" si="40"/>
        <v>67</v>
      </c>
      <c r="O41" s="1">
        <f t="shared" si="40"/>
        <v>68</v>
      </c>
      <c r="P41" s="1">
        <f t="shared" si="40"/>
        <v>69</v>
      </c>
      <c r="Q41" s="1">
        <f t="shared" si="40"/>
        <v>70</v>
      </c>
      <c r="R41" s="1">
        <f t="shared" si="40"/>
        <v>71</v>
      </c>
      <c r="S41" s="1">
        <f t="shared" si="40"/>
        <v>72</v>
      </c>
      <c r="T41" s="1">
        <f t="shared" si="40"/>
        <v>73</v>
      </c>
      <c r="U41" s="1">
        <f t="shared" si="40"/>
        <v>74</v>
      </c>
      <c r="V41" s="1">
        <f t="shared" si="40"/>
        <v>75</v>
      </c>
      <c r="W41" s="1">
        <f t="shared" si="40"/>
        <v>76</v>
      </c>
      <c r="X41" s="1">
        <f t="shared" si="40"/>
        <v>78</v>
      </c>
      <c r="Y41" s="1">
        <f t="shared" si="40"/>
        <v>79</v>
      </c>
      <c r="Z41" s="1">
        <f t="shared" si="40"/>
        <v>80</v>
      </c>
      <c r="AA41" s="1">
        <f t="shared" si="40"/>
        <v>82</v>
      </c>
      <c r="AB41" s="1">
        <f t="shared" si="40"/>
        <v>84</v>
      </c>
      <c r="AC41" s="1">
        <f t="shared" si="40"/>
        <v>86</v>
      </c>
      <c r="AD41" s="1">
        <f t="shared" si="40"/>
        <v>87</v>
      </c>
      <c r="AE41" s="1">
        <f t="shared" si="40"/>
        <v>88</v>
      </c>
      <c r="AF41" s="1">
        <f t="shared" si="40"/>
        <v>90</v>
      </c>
      <c r="AG41" s="1">
        <f t="shared" si="40"/>
        <v>92</v>
      </c>
      <c r="AH41" s="1">
        <f t="shared" si="40"/>
        <v>93</v>
      </c>
      <c r="AI41" s="1">
        <f t="shared" si="40"/>
        <v>94</v>
      </c>
      <c r="AJ41" s="1">
        <f t="shared" si="40"/>
        <v>96</v>
      </c>
      <c r="AK41" s="1">
        <f t="shared" si="40"/>
        <v>99</v>
      </c>
      <c r="AL41" s="1">
        <f t="shared" si="40"/>
        <v>102</v>
      </c>
      <c r="AM41" s="1">
        <f t="shared" si="40"/>
        <v>104</v>
      </c>
      <c r="AN41" s="1">
        <f t="shared" si="40"/>
        <v>105</v>
      </c>
      <c r="AO41" s="1">
        <f t="shared" si="40"/>
        <v>108</v>
      </c>
      <c r="AP41" s="1">
        <f t="shared" si="40"/>
        <v>114</v>
      </c>
      <c r="AR41" s="1">
        <f>COUNTIFS(score2pijlen,A41)</f>
        <v>28</v>
      </c>
      <c r="AS41" s="1">
        <f>COUNTIFS(score2pijlen,AP41)</f>
        <v>2</v>
      </c>
    </row>
    <row r="42" ht="15.75" customHeight="1">
      <c r="A42" s="1">
        <v>57.0</v>
      </c>
      <c r="B42" s="1">
        <f t="shared" ref="B42:AP42" si="41">$A42+B$1</f>
        <v>58</v>
      </c>
      <c r="C42" s="1">
        <f t="shared" si="41"/>
        <v>59</v>
      </c>
      <c r="D42" s="1">
        <f t="shared" si="41"/>
        <v>60</v>
      </c>
      <c r="E42" s="1">
        <f t="shared" si="41"/>
        <v>61</v>
      </c>
      <c r="F42" s="5">
        <f t="shared" si="41"/>
        <v>62</v>
      </c>
      <c r="G42" s="1">
        <f t="shared" si="41"/>
        <v>63</v>
      </c>
      <c r="H42" s="1">
        <f t="shared" si="41"/>
        <v>64</v>
      </c>
      <c r="I42" s="1">
        <f t="shared" si="41"/>
        <v>65</v>
      </c>
      <c r="J42" s="1">
        <f t="shared" si="41"/>
        <v>66</v>
      </c>
      <c r="K42" s="1">
        <f t="shared" si="41"/>
        <v>67</v>
      </c>
      <c r="L42" s="1">
        <f t="shared" si="41"/>
        <v>68</v>
      </c>
      <c r="M42" s="1">
        <f t="shared" si="41"/>
        <v>69</v>
      </c>
      <c r="N42" s="1">
        <f t="shared" si="41"/>
        <v>70</v>
      </c>
      <c r="O42" s="1">
        <f t="shared" si="41"/>
        <v>71</v>
      </c>
      <c r="P42" s="1">
        <f t="shared" si="41"/>
        <v>72</v>
      </c>
      <c r="Q42" s="1">
        <f t="shared" si="41"/>
        <v>73</v>
      </c>
      <c r="R42" s="1">
        <f t="shared" si="41"/>
        <v>74</v>
      </c>
      <c r="S42" s="1">
        <f t="shared" si="41"/>
        <v>75</v>
      </c>
      <c r="T42" s="1">
        <f t="shared" si="41"/>
        <v>76</v>
      </c>
      <c r="U42" s="1">
        <f t="shared" si="41"/>
        <v>77</v>
      </c>
      <c r="V42" s="1">
        <f t="shared" si="41"/>
        <v>78</v>
      </c>
      <c r="W42" s="1">
        <f t="shared" si="41"/>
        <v>79</v>
      </c>
      <c r="X42" s="1">
        <f t="shared" si="41"/>
        <v>81</v>
      </c>
      <c r="Y42" s="1">
        <f t="shared" si="41"/>
        <v>82</v>
      </c>
      <c r="Z42" s="1">
        <f t="shared" si="41"/>
        <v>83</v>
      </c>
      <c r="AA42" s="1">
        <f t="shared" si="41"/>
        <v>85</v>
      </c>
      <c r="AB42" s="1">
        <f t="shared" si="41"/>
        <v>87</v>
      </c>
      <c r="AC42" s="1">
        <f t="shared" si="41"/>
        <v>89</v>
      </c>
      <c r="AD42" s="1">
        <f t="shared" si="41"/>
        <v>90</v>
      </c>
      <c r="AE42" s="1">
        <f t="shared" si="41"/>
        <v>91</v>
      </c>
      <c r="AF42" s="1">
        <f t="shared" si="41"/>
        <v>93</v>
      </c>
      <c r="AG42" s="1">
        <f t="shared" si="41"/>
        <v>95</v>
      </c>
      <c r="AH42" s="1">
        <f t="shared" si="41"/>
        <v>96</v>
      </c>
      <c r="AI42" s="1">
        <f t="shared" si="41"/>
        <v>97</v>
      </c>
      <c r="AJ42" s="1">
        <f t="shared" si="41"/>
        <v>99</v>
      </c>
      <c r="AK42" s="1">
        <f t="shared" si="41"/>
        <v>102</v>
      </c>
      <c r="AL42" s="1">
        <f t="shared" si="41"/>
        <v>105</v>
      </c>
      <c r="AM42" s="1">
        <f t="shared" si="41"/>
        <v>107</v>
      </c>
      <c r="AN42" s="1">
        <f t="shared" si="41"/>
        <v>108</v>
      </c>
      <c r="AO42" s="1">
        <f t="shared" si="41"/>
        <v>111</v>
      </c>
      <c r="AP42" s="1">
        <f t="shared" si="41"/>
        <v>117</v>
      </c>
      <c r="AR42" s="1">
        <f>COUNTIFS(score2pijlen,A42)</f>
        <v>24</v>
      </c>
      <c r="AS42" s="1">
        <f>COUNTIFS(score2pijlen,AP42)</f>
        <v>1</v>
      </c>
    </row>
    <row r="43" ht="15.75" customHeight="1">
      <c r="A43" s="1">
        <v>60.0</v>
      </c>
      <c r="B43" s="1">
        <f t="shared" ref="B43:AP43" si="42">$A43+B$1</f>
        <v>61</v>
      </c>
      <c r="C43" s="5">
        <f t="shared" si="42"/>
        <v>62</v>
      </c>
      <c r="D43" s="1">
        <f t="shared" si="42"/>
        <v>63</v>
      </c>
      <c r="E43" s="1">
        <f t="shared" si="42"/>
        <v>64</v>
      </c>
      <c r="F43" s="1">
        <f t="shared" si="42"/>
        <v>65</v>
      </c>
      <c r="G43" s="1">
        <f t="shared" si="42"/>
        <v>66</v>
      </c>
      <c r="H43" s="1">
        <f t="shared" si="42"/>
        <v>67</v>
      </c>
      <c r="I43" s="1">
        <f t="shared" si="42"/>
        <v>68</v>
      </c>
      <c r="J43" s="1">
        <f t="shared" si="42"/>
        <v>69</v>
      </c>
      <c r="K43" s="1">
        <f t="shared" si="42"/>
        <v>70</v>
      </c>
      <c r="L43" s="1">
        <f t="shared" si="42"/>
        <v>71</v>
      </c>
      <c r="M43" s="1">
        <f t="shared" si="42"/>
        <v>72</v>
      </c>
      <c r="N43" s="1">
        <f t="shared" si="42"/>
        <v>73</v>
      </c>
      <c r="O43" s="1">
        <f t="shared" si="42"/>
        <v>74</v>
      </c>
      <c r="P43" s="1">
        <f t="shared" si="42"/>
        <v>75</v>
      </c>
      <c r="Q43" s="1">
        <f t="shared" si="42"/>
        <v>76</v>
      </c>
      <c r="R43" s="1">
        <f t="shared" si="42"/>
        <v>77</v>
      </c>
      <c r="S43" s="1">
        <f t="shared" si="42"/>
        <v>78</v>
      </c>
      <c r="T43" s="1">
        <f t="shared" si="42"/>
        <v>79</v>
      </c>
      <c r="U43" s="1">
        <f t="shared" si="42"/>
        <v>80</v>
      </c>
      <c r="V43" s="1">
        <f t="shared" si="42"/>
        <v>81</v>
      </c>
      <c r="W43" s="1">
        <f t="shared" si="42"/>
        <v>82</v>
      </c>
      <c r="X43" s="1">
        <f t="shared" si="42"/>
        <v>84</v>
      </c>
      <c r="Y43" s="1">
        <f t="shared" si="42"/>
        <v>85</v>
      </c>
      <c r="Z43" s="1">
        <f t="shared" si="42"/>
        <v>86</v>
      </c>
      <c r="AA43" s="1">
        <f t="shared" si="42"/>
        <v>88</v>
      </c>
      <c r="AB43" s="1">
        <f t="shared" si="42"/>
        <v>90</v>
      </c>
      <c r="AC43" s="1">
        <f t="shared" si="42"/>
        <v>92</v>
      </c>
      <c r="AD43" s="1">
        <f t="shared" si="42"/>
        <v>93</v>
      </c>
      <c r="AE43" s="1">
        <f t="shared" si="42"/>
        <v>94</v>
      </c>
      <c r="AF43" s="1">
        <f t="shared" si="42"/>
        <v>96</v>
      </c>
      <c r="AG43" s="1">
        <f t="shared" si="42"/>
        <v>98</v>
      </c>
      <c r="AH43" s="1">
        <f t="shared" si="42"/>
        <v>99</v>
      </c>
      <c r="AI43" s="1">
        <f t="shared" si="42"/>
        <v>100</v>
      </c>
      <c r="AJ43" s="1">
        <f t="shared" si="42"/>
        <v>102</v>
      </c>
      <c r="AK43" s="1">
        <f t="shared" si="42"/>
        <v>105</v>
      </c>
      <c r="AL43" s="1">
        <f t="shared" si="42"/>
        <v>108</v>
      </c>
      <c r="AM43" s="1">
        <f t="shared" si="42"/>
        <v>110</v>
      </c>
      <c r="AN43" s="1">
        <f t="shared" si="42"/>
        <v>111</v>
      </c>
      <c r="AO43" s="1">
        <f t="shared" si="42"/>
        <v>114</v>
      </c>
      <c r="AP43" s="1">
        <f t="shared" si="42"/>
        <v>120</v>
      </c>
      <c r="AR43" s="1">
        <f>COUNTIFS(score2pijlen,A43)</f>
        <v>26</v>
      </c>
      <c r="AS43" s="1">
        <f>COUNTIFS(score2pijlen,AP43)</f>
        <v>1</v>
      </c>
    </row>
    <row r="44" ht="15.75" customHeight="1"/>
    <row r="45" ht="15.75" customHeight="1">
      <c r="C45" s="6"/>
      <c r="H45" s="6"/>
      <c r="L45" s="6"/>
    </row>
    <row r="46" ht="15.75" customHeight="1">
      <c r="C46" s="6"/>
      <c r="H46" s="6"/>
      <c r="L46" s="6"/>
    </row>
    <row r="47" ht="15.75" customHeight="1">
      <c r="C47" s="6"/>
      <c r="H47" s="6"/>
    </row>
    <row r="48" ht="15.75" customHeight="1">
      <c r="C48" s="6"/>
      <c r="H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34" width="3.0"/>
    <col customWidth="1" min="35" max="42" width="4.0"/>
    <col customWidth="1" min="43" max="45" width="8.71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24.0</v>
      </c>
      <c r="Y1" s="1">
        <v>25.0</v>
      </c>
      <c r="Z1" s="1">
        <v>26.0</v>
      </c>
      <c r="AA1" s="1">
        <v>28.0</v>
      </c>
      <c r="AB1" s="1">
        <v>30.0</v>
      </c>
      <c r="AC1" s="1">
        <v>32.0</v>
      </c>
      <c r="AD1" s="1">
        <v>33.0</v>
      </c>
      <c r="AE1" s="1">
        <v>34.0</v>
      </c>
      <c r="AF1" s="1">
        <v>36.0</v>
      </c>
      <c r="AG1" s="1">
        <v>38.0</v>
      </c>
      <c r="AH1" s="1">
        <v>39.0</v>
      </c>
      <c r="AI1" s="1">
        <v>40.0</v>
      </c>
      <c r="AJ1" s="1">
        <v>42.0</v>
      </c>
      <c r="AK1" s="1">
        <v>45.0</v>
      </c>
      <c r="AL1" s="1">
        <v>48.0</v>
      </c>
      <c r="AM1" s="1">
        <v>50.0</v>
      </c>
      <c r="AN1" s="1">
        <v>51.0</v>
      </c>
      <c r="AO1" s="1">
        <v>54.0</v>
      </c>
      <c r="AP1" s="1">
        <v>60.0</v>
      </c>
      <c r="AS1" s="1">
        <f>COUNTIFS('onmogelijke score 2 pijlen'!score2pijlen,AP1)</f>
        <v>26</v>
      </c>
    </row>
    <row r="2">
      <c r="A2" s="1">
        <v>1.0</v>
      </c>
      <c r="B2" s="1">
        <f t="shared" ref="B2:AP2" si="1">$A2+B1</f>
        <v>2</v>
      </c>
      <c r="C2" s="1">
        <f t="shared" si="1"/>
        <v>3</v>
      </c>
      <c r="D2" s="1">
        <f t="shared" si="1"/>
        <v>4</v>
      </c>
      <c r="E2" s="1">
        <f t="shared" si="1"/>
        <v>5</v>
      </c>
      <c r="F2" s="1">
        <f t="shared" si="1"/>
        <v>6</v>
      </c>
      <c r="G2" s="1">
        <f t="shared" si="1"/>
        <v>7</v>
      </c>
      <c r="H2" s="1">
        <f t="shared" si="1"/>
        <v>8</v>
      </c>
      <c r="I2" s="1">
        <f t="shared" si="1"/>
        <v>9</v>
      </c>
      <c r="J2" s="1">
        <f t="shared" si="1"/>
        <v>10</v>
      </c>
      <c r="K2" s="1">
        <f t="shared" si="1"/>
        <v>11</v>
      </c>
      <c r="L2" s="1">
        <f t="shared" si="1"/>
        <v>12</v>
      </c>
      <c r="M2" s="1">
        <f t="shared" si="1"/>
        <v>13</v>
      </c>
      <c r="N2" s="1">
        <f t="shared" si="1"/>
        <v>14</v>
      </c>
      <c r="O2" s="1">
        <f t="shared" si="1"/>
        <v>15</v>
      </c>
      <c r="P2" s="1">
        <f t="shared" si="1"/>
        <v>16</v>
      </c>
      <c r="Q2" s="1">
        <f t="shared" si="1"/>
        <v>17</v>
      </c>
      <c r="R2" s="1">
        <f t="shared" si="1"/>
        <v>18</v>
      </c>
      <c r="S2" s="1">
        <f t="shared" si="1"/>
        <v>19</v>
      </c>
      <c r="T2" s="1">
        <f t="shared" si="1"/>
        <v>20</v>
      </c>
      <c r="U2" s="1">
        <f t="shared" si="1"/>
        <v>21</v>
      </c>
      <c r="V2" s="1">
        <f t="shared" si="1"/>
        <v>22</v>
      </c>
      <c r="W2" s="1">
        <f t="shared" si="1"/>
        <v>23</v>
      </c>
      <c r="X2" s="1">
        <f t="shared" si="1"/>
        <v>25</v>
      </c>
      <c r="Y2" s="1">
        <f t="shared" si="1"/>
        <v>26</v>
      </c>
      <c r="Z2" s="1">
        <f t="shared" si="1"/>
        <v>27</v>
      </c>
      <c r="AA2" s="1">
        <f t="shared" si="1"/>
        <v>29</v>
      </c>
      <c r="AB2" s="1">
        <f t="shared" si="1"/>
        <v>31</v>
      </c>
      <c r="AC2" s="1">
        <f t="shared" si="1"/>
        <v>33</v>
      </c>
      <c r="AD2" s="1">
        <f t="shared" si="1"/>
        <v>34</v>
      </c>
      <c r="AE2" s="1">
        <f t="shared" si="1"/>
        <v>35</v>
      </c>
      <c r="AF2" s="1">
        <f t="shared" si="1"/>
        <v>37</v>
      </c>
      <c r="AG2" s="1">
        <f t="shared" si="1"/>
        <v>39</v>
      </c>
      <c r="AH2" s="1">
        <f t="shared" si="1"/>
        <v>40</v>
      </c>
      <c r="AI2" s="1">
        <f t="shared" si="1"/>
        <v>41</v>
      </c>
      <c r="AJ2" s="1">
        <f t="shared" si="1"/>
        <v>43</v>
      </c>
      <c r="AK2" s="1">
        <f t="shared" si="1"/>
        <v>46</v>
      </c>
      <c r="AL2" s="1">
        <f t="shared" si="1"/>
        <v>49</v>
      </c>
      <c r="AM2" s="1">
        <f t="shared" si="1"/>
        <v>51</v>
      </c>
      <c r="AN2" s="1">
        <f t="shared" si="1"/>
        <v>52</v>
      </c>
      <c r="AO2" s="1">
        <f t="shared" si="1"/>
        <v>55</v>
      </c>
      <c r="AP2" s="1">
        <f t="shared" si="1"/>
        <v>61</v>
      </c>
      <c r="AR2" s="1">
        <f>COUNTIFS('onmogelijke score 2 pijlen'!score2pijlen,A2)</f>
        <v>0</v>
      </c>
      <c r="AS2" s="1">
        <f>COUNTIFS('onmogelijke score 2 pijlen'!score2pijlen,AP2)</f>
        <v>23</v>
      </c>
    </row>
    <row r="3">
      <c r="A3" s="1">
        <v>2.0</v>
      </c>
      <c r="B3" s="1">
        <f t="shared" ref="B3:AP3" si="2">$A3+B$1</f>
        <v>3</v>
      </c>
      <c r="C3" s="1">
        <f t="shared" si="2"/>
        <v>4</v>
      </c>
      <c r="D3" s="1">
        <f t="shared" si="2"/>
        <v>5</v>
      </c>
      <c r="E3" s="1">
        <f t="shared" si="2"/>
        <v>6</v>
      </c>
      <c r="F3" s="1">
        <f t="shared" si="2"/>
        <v>7</v>
      </c>
      <c r="G3" s="1">
        <f t="shared" si="2"/>
        <v>8</v>
      </c>
      <c r="H3" s="1">
        <f t="shared" si="2"/>
        <v>9</v>
      </c>
      <c r="I3" s="1">
        <f t="shared" si="2"/>
        <v>10</v>
      </c>
      <c r="J3" s="1">
        <f t="shared" si="2"/>
        <v>11</v>
      </c>
      <c r="K3" s="1">
        <f t="shared" si="2"/>
        <v>12</v>
      </c>
      <c r="L3" s="1">
        <f t="shared" si="2"/>
        <v>13</v>
      </c>
      <c r="M3" s="1">
        <f t="shared" si="2"/>
        <v>14</v>
      </c>
      <c r="N3" s="1">
        <f t="shared" si="2"/>
        <v>15</v>
      </c>
      <c r="O3" s="1">
        <f t="shared" si="2"/>
        <v>16</v>
      </c>
      <c r="P3" s="1">
        <f t="shared" si="2"/>
        <v>17</v>
      </c>
      <c r="Q3" s="1">
        <f t="shared" si="2"/>
        <v>18</v>
      </c>
      <c r="R3" s="1">
        <f t="shared" si="2"/>
        <v>19</v>
      </c>
      <c r="S3" s="1">
        <f t="shared" si="2"/>
        <v>20</v>
      </c>
      <c r="T3" s="1">
        <f t="shared" si="2"/>
        <v>21</v>
      </c>
      <c r="U3" s="1">
        <f t="shared" si="2"/>
        <v>22</v>
      </c>
      <c r="V3" s="1">
        <f t="shared" si="2"/>
        <v>23</v>
      </c>
      <c r="W3" s="1">
        <f t="shared" si="2"/>
        <v>24</v>
      </c>
      <c r="X3" s="1">
        <f t="shared" si="2"/>
        <v>26</v>
      </c>
      <c r="Y3" s="1">
        <f t="shared" si="2"/>
        <v>27</v>
      </c>
      <c r="Z3" s="1">
        <f t="shared" si="2"/>
        <v>28</v>
      </c>
      <c r="AA3" s="1">
        <f t="shared" si="2"/>
        <v>30</v>
      </c>
      <c r="AB3" s="1">
        <f t="shared" si="2"/>
        <v>32</v>
      </c>
      <c r="AC3" s="1">
        <f t="shared" si="2"/>
        <v>34</v>
      </c>
      <c r="AD3" s="1">
        <f t="shared" si="2"/>
        <v>35</v>
      </c>
      <c r="AE3" s="1">
        <f t="shared" si="2"/>
        <v>36</v>
      </c>
      <c r="AF3" s="1">
        <f t="shared" si="2"/>
        <v>38</v>
      </c>
      <c r="AG3" s="1">
        <f t="shared" si="2"/>
        <v>40</v>
      </c>
      <c r="AH3" s="1">
        <f t="shared" si="2"/>
        <v>41</v>
      </c>
      <c r="AI3" s="1">
        <f t="shared" si="2"/>
        <v>42</v>
      </c>
      <c r="AJ3" s="1">
        <f t="shared" si="2"/>
        <v>44</v>
      </c>
      <c r="AK3" s="1">
        <f t="shared" si="2"/>
        <v>47</v>
      </c>
      <c r="AL3" s="1">
        <f t="shared" si="2"/>
        <v>50</v>
      </c>
      <c r="AM3" s="1">
        <f t="shared" si="2"/>
        <v>52</v>
      </c>
      <c r="AN3" s="1">
        <f t="shared" si="2"/>
        <v>53</v>
      </c>
      <c r="AO3" s="1">
        <f t="shared" si="2"/>
        <v>56</v>
      </c>
      <c r="AP3" s="1">
        <f t="shared" si="2"/>
        <v>62</v>
      </c>
      <c r="AR3" s="1">
        <f>COUNTIFS('onmogelijke score 2 pijlen'!score2pijlen,A3)</f>
        <v>1</v>
      </c>
      <c r="AS3" s="1">
        <f>COUNTIFS('onmogelijke score 2 pijlen'!score2pijlen,AP3)</f>
        <v>25</v>
      </c>
    </row>
    <row r="4">
      <c r="A4" s="1">
        <v>3.0</v>
      </c>
      <c r="B4" s="1">
        <f t="shared" ref="B4:AP4" si="3">$A4+B$1</f>
        <v>4</v>
      </c>
      <c r="C4" s="1">
        <f t="shared" si="3"/>
        <v>5</v>
      </c>
      <c r="D4" s="1">
        <f t="shared" si="3"/>
        <v>6</v>
      </c>
      <c r="E4" s="1">
        <f t="shared" si="3"/>
        <v>7</v>
      </c>
      <c r="F4" s="1">
        <f t="shared" si="3"/>
        <v>8</v>
      </c>
      <c r="G4" s="1">
        <f t="shared" si="3"/>
        <v>9</v>
      </c>
      <c r="H4" s="1">
        <f t="shared" si="3"/>
        <v>10</v>
      </c>
      <c r="I4" s="1">
        <f t="shared" si="3"/>
        <v>11</v>
      </c>
      <c r="J4" s="1">
        <f t="shared" si="3"/>
        <v>12</v>
      </c>
      <c r="K4" s="1">
        <f t="shared" si="3"/>
        <v>13</v>
      </c>
      <c r="L4" s="1">
        <f t="shared" si="3"/>
        <v>14</v>
      </c>
      <c r="M4" s="1">
        <f t="shared" si="3"/>
        <v>15</v>
      </c>
      <c r="N4" s="1">
        <f t="shared" si="3"/>
        <v>16</v>
      </c>
      <c r="O4" s="1">
        <f t="shared" si="3"/>
        <v>17</v>
      </c>
      <c r="P4" s="1">
        <f t="shared" si="3"/>
        <v>18</v>
      </c>
      <c r="Q4" s="1">
        <f t="shared" si="3"/>
        <v>19</v>
      </c>
      <c r="R4" s="1">
        <f t="shared" si="3"/>
        <v>20</v>
      </c>
      <c r="S4" s="1">
        <f t="shared" si="3"/>
        <v>21</v>
      </c>
      <c r="T4" s="1">
        <f t="shared" si="3"/>
        <v>22</v>
      </c>
      <c r="U4" s="1">
        <f t="shared" si="3"/>
        <v>23</v>
      </c>
      <c r="V4" s="1">
        <f t="shared" si="3"/>
        <v>24</v>
      </c>
      <c r="W4" s="1">
        <f t="shared" si="3"/>
        <v>25</v>
      </c>
      <c r="X4" s="1">
        <f t="shared" si="3"/>
        <v>27</v>
      </c>
      <c r="Y4" s="1">
        <f t="shared" si="3"/>
        <v>28</v>
      </c>
      <c r="Z4" s="1">
        <f t="shared" si="3"/>
        <v>29</v>
      </c>
      <c r="AA4" s="1">
        <f t="shared" si="3"/>
        <v>31</v>
      </c>
      <c r="AB4" s="1">
        <f t="shared" si="3"/>
        <v>33</v>
      </c>
      <c r="AC4" s="1">
        <f t="shared" si="3"/>
        <v>35</v>
      </c>
      <c r="AD4" s="1">
        <f t="shared" si="3"/>
        <v>36</v>
      </c>
      <c r="AE4" s="1">
        <f t="shared" si="3"/>
        <v>37</v>
      </c>
      <c r="AF4" s="1">
        <f t="shared" si="3"/>
        <v>39</v>
      </c>
      <c r="AG4" s="1">
        <f t="shared" si="3"/>
        <v>41</v>
      </c>
      <c r="AH4" s="1">
        <f t="shared" si="3"/>
        <v>42</v>
      </c>
      <c r="AI4" s="1">
        <f t="shared" si="3"/>
        <v>43</v>
      </c>
      <c r="AJ4" s="1">
        <f t="shared" si="3"/>
        <v>45</v>
      </c>
      <c r="AK4" s="1">
        <f t="shared" si="3"/>
        <v>48</v>
      </c>
      <c r="AL4" s="1">
        <f t="shared" si="3"/>
        <v>51</v>
      </c>
      <c r="AM4" s="1">
        <f t="shared" si="3"/>
        <v>53</v>
      </c>
      <c r="AN4" s="1">
        <f t="shared" si="3"/>
        <v>54</v>
      </c>
      <c r="AO4" s="1">
        <f t="shared" si="3"/>
        <v>57</v>
      </c>
      <c r="AP4" s="1">
        <f t="shared" si="3"/>
        <v>63</v>
      </c>
      <c r="AR4" s="1">
        <f>COUNTIFS('onmogelijke score 2 pijlen'!score2pijlen,A4)</f>
        <v>2</v>
      </c>
      <c r="AS4" s="1">
        <f>COUNTIFS('onmogelijke score 2 pijlen'!score2pijlen,AP4)</f>
        <v>21</v>
      </c>
    </row>
    <row r="5">
      <c r="A5" s="1">
        <v>4.0</v>
      </c>
      <c r="B5" s="1">
        <f t="shared" ref="B5:AP5" si="4">$A5+B$1</f>
        <v>5</v>
      </c>
      <c r="C5" s="1">
        <f t="shared" si="4"/>
        <v>6</v>
      </c>
      <c r="D5" s="1">
        <f t="shared" si="4"/>
        <v>7</v>
      </c>
      <c r="E5" s="1">
        <f t="shared" si="4"/>
        <v>8</v>
      </c>
      <c r="F5" s="1">
        <f t="shared" si="4"/>
        <v>9</v>
      </c>
      <c r="G5" s="1">
        <f t="shared" si="4"/>
        <v>10</v>
      </c>
      <c r="H5" s="1">
        <f t="shared" si="4"/>
        <v>11</v>
      </c>
      <c r="I5" s="1">
        <f t="shared" si="4"/>
        <v>12</v>
      </c>
      <c r="J5" s="1">
        <f t="shared" si="4"/>
        <v>13</v>
      </c>
      <c r="K5" s="1">
        <f t="shared" si="4"/>
        <v>14</v>
      </c>
      <c r="L5" s="1">
        <f t="shared" si="4"/>
        <v>15</v>
      </c>
      <c r="M5" s="1">
        <f t="shared" si="4"/>
        <v>16</v>
      </c>
      <c r="N5" s="1">
        <f t="shared" si="4"/>
        <v>17</v>
      </c>
      <c r="O5" s="1">
        <f t="shared" si="4"/>
        <v>18</v>
      </c>
      <c r="P5" s="1">
        <f t="shared" si="4"/>
        <v>19</v>
      </c>
      <c r="Q5" s="1">
        <f t="shared" si="4"/>
        <v>20</v>
      </c>
      <c r="R5" s="1">
        <f t="shared" si="4"/>
        <v>21</v>
      </c>
      <c r="S5" s="1">
        <f t="shared" si="4"/>
        <v>22</v>
      </c>
      <c r="T5" s="1">
        <f t="shared" si="4"/>
        <v>23</v>
      </c>
      <c r="U5" s="1">
        <f t="shared" si="4"/>
        <v>24</v>
      </c>
      <c r="V5" s="1">
        <f t="shared" si="4"/>
        <v>25</v>
      </c>
      <c r="W5" s="1">
        <f t="shared" si="4"/>
        <v>26</v>
      </c>
      <c r="X5" s="1">
        <f t="shared" si="4"/>
        <v>28</v>
      </c>
      <c r="Y5" s="1">
        <f t="shared" si="4"/>
        <v>29</v>
      </c>
      <c r="Z5" s="1">
        <f t="shared" si="4"/>
        <v>30</v>
      </c>
      <c r="AA5" s="1">
        <f t="shared" si="4"/>
        <v>32</v>
      </c>
      <c r="AB5" s="1">
        <f t="shared" si="4"/>
        <v>34</v>
      </c>
      <c r="AC5" s="1">
        <f t="shared" si="4"/>
        <v>36</v>
      </c>
      <c r="AD5" s="1">
        <f t="shared" si="4"/>
        <v>37</v>
      </c>
      <c r="AE5" s="1">
        <f t="shared" si="4"/>
        <v>38</v>
      </c>
      <c r="AF5" s="1">
        <f t="shared" si="4"/>
        <v>40</v>
      </c>
      <c r="AG5" s="1">
        <f t="shared" si="4"/>
        <v>42</v>
      </c>
      <c r="AH5" s="1">
        <f t="shared" si="4"/>
        <v>43</v>
      </c>
      <c r="AI5" s="1">
        <f t="shared" si="4"/>
        <v>44</v>
      </c>
      <c r="AJ5" s="1">
        <f t="shared" si="4"/>
        <v>46</v>
      </c>
      <c r="AK5" s="1">
        <f t="shared" si="4"/>
        <v>49</v>
      </c>
      <c r="AL5" s="1">
        <f t="shared" si="4"/>
        <v>52</v>
      </c>
      <c r="AM5" s="1">
        <f t="shared" si="4"/>
        <v>54</v>
      </c>
      <c r="AN5" s="1">
        <f t="shared" si="4"/>
        <v>55</v>
      </c>
      <c r="AO5" s="1">
        <f t="shared" si="4"/>
        <v>58</v>
      </c>
      <c r="AP5" s="1">
        <f t="shared" si="4"/>
        <v>64</v>
      </c>
      <c r="AR5" s="1">
        <f>COUNTIFS('onmogelijke score 2 pijlen'!score2pijlen,A5)</f>
        <v>3</v>
      </c>
      <c r="AS5" s="1">
        <f>COUNTIFS('onmogelijke score 2 pijlen'!score2pijlen,AP5)</f>
        <v>26</v>
      </c>
    </row>
    <row r="6">
      <c r="A6" s="1">
        <v>5.0</v>
      </c>
      <c r="B6" s="1">
        <f t="shared" ref="B6:AP6" si="5">$A6+B$1</f>
        <v>6</v>
      </c>
      <c r="C6" s="1">
        <f t="shared" si="5"/>
        <v>7</v>
      </c>
      <c r="D6" s="1">
        <f t="shared" si="5"/>
        <v>8</v>
      </c>
      <c r="E6" s="1">
        <f t="shared" si="5"/>
        <v>9</v>
      </c>
      <c r="F6" s="1">
        <f t="shared" si="5"/>
        <v>10</v>
      </c>
      <c r="G6" s="1">
        <f t="shared" si="5"/>
        <v>11</v>
      </c>
      <c r="H6" s="1">
        <f t="shared" si="5"/>
        <v>12</v>
      </c>
      <c r="I6" s="1">
        <f t="shared" si="5"/>
        <v>13</v>
      </c>
      <c r="J6" s="1">
        <f t="shared" si="5"/>
        <v>14</v>
      </c>
      <c r="K6" s="1">
        <f t="shared" si="5"/>
        <v>15</v>
      </c>
      <c r="L6" s="1">
        <f t="shared" si="5"/>
        <v>16</v>
      </c>
      <c r="M6" s="1">
        <f t="shared" si="5"/>
        <v>17</v>
      </c>
      <c r="N6" s="1">
        <f t="shared" si="5"/>
        <v>18</v>
      </c>
      <c r="O6" s="1">
        <f t="shared" si="5"/>
        <v>19</v>
      </c>
      <c r="P6" s="1">
        <f t="shared" si="5"/>
        <v>20</v>
      </c>
      <c r="Q6" s="1">
        <f t="shared" si="5"/>
        <v>21</v>
      </c>
      <c r="R6" s="1">
        <f t="shared" si="5"/>
        <v>22</v>
      </c>
      <c r="S6" s="1">
        <f t="shared" si="5"/>
        <v>23</v>
      </c>
      <c r="T6" s="1">
        <f t="shared" si="5"/>
        <v>24</v>
      </c>
      <c r="U6" s="1">
        <f t="shared" si="5"/>
        <v>25</v>
      </c>
      <c r="V6" s="1">
        <f t="shared" si="5"/>
        <v>26</v>
      </c>
      <c r="W6" s="1">
        <f t="shared" si="5"/>
        <v>27</v>
      </c>
      <c r="X6" s="1">
        <f t="shared" si="5"/>
        <v>29</v>
      </c>
      <c r="Y6" s="1">
        <f t="shared" si="5"/>
        <v>30</v>
      </c>
      <c r="Z6" s="1">
        <f t="shared" si="5"/>
        <v>31</v>
      </c>
      <c r="AA6" s="1">
        <f t="shared" si="5"/>
        <v>33</v>
      </c>
      <c r="AB6" s="1">
        <f t="shared" si="5"/>
        <v>35</v>
      </c>
      <c r="AC6" s="1">
        <f t="shared" si="5"/>
        <v>37</v>
      </c>
      <c r="AD6" s="1">
        <f t="shared" si="5"/>
        <v>38</v>
      </c>
      <c r="AE6" s="1">
        <f t="shared" si="5"/>
        <v>39</v>
      </c>
      <c r="AF6" s="1">
        <f t="shared" si="5"/>
        <v>41</v>
      </c>
      <c r="AG6" s="1">
        <f t="shared" si="5"/>
        <v>43</v>
      </c>
      <c r="AH6" s="1">
        <f t="shared" si="5"/>
        <v>44</v>
      </c>
      <c r="AI6" s="1">
        <f t="shared" si="5"/>
        <v>45</v>
      </c>
      <c r="AJ6" s="1">
        <f t="shared" si="5"/>
        <v>47</v>
      </c>
      <c r="AK6" s="1">
        <f t="shared" si="5"/>
        <v>50</v>
      </c>
      <c r="AL6" s="1">
        <f t="shared" si="5"/>
        <v>53</v>
      </c>
      <c r="AM6" s="1">
        <f t="shared" si="5"/>
        <v>55</v>
      </c>
      <c r="AN6" s="1">
        <f t="shared" si="5"/>
        <v>56</v>
      </c>
      <c r="AO6" s="1">
        <f t="shared" si="5"/>
        <v>59</v>
      </c>
      <c r="AP6" s="1">
        <f t="shared" si="5"/>
        <v>65</v>
      </c>
      <c r="AR6" s="1">
        <f>COUNTIFS('onmogelijke score 2 pijlen'!score2pijlen,A6)</f>
        <v>4</v>
      </c>
      <c r="AS6" s="1">
        <f>COUNTIFS('onmogelijke score 2 pijlen'!score2pijlen,AP6)</f>
        <v>19</v>
      </c>
    </row>
    <row r="7">
      <c r="A7" s="1">
        <v>6.0</v>
      </c>
      <c r="B7" s="1">
        <f t="shared" ref="B7:AP7" si="6">$A7+B$1</f>
        <v>7</v>
      </c>
      <c r="C7" s="1">
        <f t="shared" si="6"/>
        <v>8</v>
      </c>
      <c r="D7" s="1">
        <f t="shared" si="6"/>
        <v>9</v>
      </c>
      <c r="E7" s="1">
        <f t="shared" si="6"/>
        <v>10</v>
      </c>
      <c r="F7" s="1">
        <f t="shared" si="6"/>
        <v>11</v>
      </c>
      <c r="G7" s="1">
        <f t="shared" si="6"/>
        <v>12</v>
      </c>
      <c r="H7" s="1">
        <f t="shared" si="6"/>
        <v>13</v>
      </c>
      <c r="I7" s="1">
        <f t="shared" si="6"/>
        <v>14</v>
      </c>
      <c r="J7" s="1">
        <f t="shared" si="6"/>
        <v>15</v>
      </c>
      <c r="K7" s="1">
        <f t="shared" si="6"/>
        <v>16</v>
      </c>
      <c r="L7" s="1">
        <f t="shared" si="6"/>
        <v>17</v>
      </c>
      <c r="M7" s="1">
        <f t="shared" si="6"/>
        <v>18</v>
      </c>
      <c r="N7" s="1">
        <f t="shared" si="6"/>
        <v>19</v>
      </c>
      <c r="O7" s="1">
        <f t="shared" si="6"/>
        <v>20</v>
      </c>
      <c r="P7" s="1">
        <f t="shared" si="6"/>
        <v>21</v>
      </c>
      <c r="Q7" s="1">
        <f t="shared" si="6"/>
        <v>22</v>
      </c>
      <c r="R7" s="1">
        <f t="shared" si="6"/>
        <v>23</v>
      </c>
      <c r="S7" s="1">
        <f t="shared" si="6"/>
        <v>24</v>
      </c>
      <c r="T7" s="1">
        <f t="shared" si="6"/>
        <v>25</v>
      </c>
      <c r="U7" s="1">
        <f t="shared" si="6"/>
        <v>26</v>
      </c>
      <c r="V7" s="1">
        <f t="shared" si="6"/>
        <v>27</v>
      </c>
      <c r="W7" s="1">
        <f t="shared" si="6"/>
        <v>28</v>
      </c>
      <c r="X7" s="1">
        <f t="shared" si="6"/>
        <v>30</v>
      </c>
      <c r="Y7" s="1">
        <f t="shared" si="6"/>
        <v>31</v>
      </c>
      <c r="Z7" s="1">
        <f t="shared" si="6"/>
        <v>32</v>
      </c>
      <c r="AA7" s="1">
        <f t="shared" si="6"/>
        <v>34</v>
      </c>
      <c r="AB7" s="1">
        <f t="shared" si="6"/>
        <v>36</v>
      </c>
      <c r="AC7" s="1">
        <f t="shared" si="6"/>
        <v>38</v>
      </c>
      <c r="AD7" s="1">
        <f t="shared" si="6"/>
        <v>39</v>
      </c>
      <c r="AE7" s="1">
        <f t="shared" si="6"/>
        <v>40</v>
      </c>
      <c r="AF7" s="1">
        <f t="shared" si="6"/>
        <v>42</v>
      </c>
      <c r="AG7" s="1">
        <f t="shared" si="6"/>
        <v>44</v>
      </c>
      <c r="AH7" s="1">
        <f t="shared" si="6"/>
        <v>45</v>
      </c>
      <c r="AI7" s="1">
        <f t="shared" si="6"/>
        <v>46</v>
      </c>
      <c r="AJ7" s="1">
        <f t="shared" si="6"/>
        <v>48</v>
      </c>
      <c r="AK7" s="1">
        <f t="shared" si="6"/>
        <v>51</v>
      </c>
      <c r="AL7" s="1">
        <f t="shared" si="6"/>
        <v>54</v>
      </c>
      <c r="AM7" s="1">
        <f t="shared" si="6"/>
        <v>56</v>
      </c>
      <c r="AN7" s="1">
        <f t="shared" si="6"/>
        <v>57</v>
      </c>
      <c r="AO7" s="1">
        <f t="shared" si="6"/>
        <v>60</v>
      </c>
      <c r="AP7" s="1">
        <f t="shared" si="6"/>
        <v>66</v>
      </c>
      <c r="AR7" s="1">
        <f>COUNTIFS('onmogelijke score 2 pijlen'!score2pijlen,A7)</f>
        <v>5</v>
      </c>
      <c r="AS7" s="1">
        <f>COUNTIFS('onmogelijke score 2 pijlen'!score2pijlen,AP7)</f>
        <v>24</v>
      </c>
    </row>
    <row r="8">
      <c r="A8" s="1">
        <v>7.0</v>
      </c>
      <c r="B8" s="1">
        <f t="shared" ref="B8:AP8" si="7">$A8+B$1</f>
        <v>8</v>
      </c>
      <c r="C8" s="1">
        <f t="shared" si="7"/>
        <v>9</v>
      </c>
      <c r="D8" s="1">
        <f t="shared" si="7"/>
        <v>10</v>
      </c>
      <c r="E8" s="1">
        <f t="shared" si="7"/>
        <v>11</v>
      </c>
      <c r="F8" s="1">
        <f t="shared" si="7"/>
        <v>12</v>
      </c>
      <c r="G8" s="1">
        <f t="shared" si="7"/>
        <v>13</v>
      </c>
      <c r="H8" s="1">
        <f t="shared" si="7"/>
        <v>14</v>
      </c>
      <c r="I8" s="1">
        <f t="shared" si="7"/>
        <v>15</v>
      </c>
      <c r="J8" s="1">
        <f t="shared" si="7"/>
        <v>16</v>
      </c>
      <c r="K8" s="1">
        <f t="shared" si="7"/>
        <v>17</v>
      </c>
      <c r="L8" s="1">
        <f t="shared" si="7"/>
        <v>18</v>
      </c>
      <c r="M8" s="1">
        <f t="shared" si="7"/>
        <v>19</v>
      </c>
      <c r="N8" s="1">
        <f t="shared" si="7"/>
        <v>20</v>
      </c>
      <c r="O8" s="1">
        <f t="shared" si="7"/>
        <v>21</v>
      </c>
      <c r="P8" s="1">
        <f t="shared" si="7"/>
        <v>22</v>
      </c>
      <c r="Q8" s="1">
        <f t="shared" si="7"/>
        <v>23</v>
      </c>
      <c r="R8" s="1">
        <f t="shared" si="7"/>
        <v>24</v>
      </c>
      <c r="S8" s="1">
        <f t="shared" si="7"/>
        <v>25</v>
      </c>
      <c r="T8" s="1">
        <f t="shared" si="7"/>
        <v>26</v>
      </c>
      <c r="U8" s="1">
        <f t="shared" si="7"/>
        <v>27</v>
      </c>
      <c r="V8" s="1">
        <f t="shared" si="7"/>
        <v>28</v>
      </c>
      <c r="W8" s="1">
        <f t="shared" si="7"/>
        <v>29</v>
      </c>
      <c r="X8" s="1">
        <f t="shared" si="7"/>
        <v>31</v>
      </c>
      <c r="Y8" s="1">
        <f t="shared" si="7"/>
        <v>32</v>
      </c>
      <c r="Z8" s="1">
        <f t="shared" si="7"/>
        <v>33</v>
      </c>
      <c r="AA8" s="1">
        <f t="shared" si="7"/>
        <v>35</v>
      </c>
      <c r="AB8" s="1">
        <f t="shared" si="7"/>
        <v>37</v>
      </c>
      <c r="AC8" s="1">
        <f t="shared" si="7"/>
        <v>39</v>
      </c>
      <c r="AD8" s="1">
        <f t="shared" si="7"/>
        <v>40</v>
      </c>
      <c r="AE8" s="1">
        <f t="shared" si="7"/>
        <v>41</v>
      </c>
      <c r="AF8" s="1">
        <f t="shared" si="7"/>
        <v>43</v>
      </c>
      <c r="AG8" s="1">
        <f t="shared" si="7"/>
        <v>45</v>
      </c>
      <c r="AH8" s="1">
        <f t="shared" si="7"/>
        <v>46</v>
      </c>
      <c r="AI8" s="1">
        <f t="shared" si="7"/>
        <v>47</v>
      </c>
      <c r="AJ8" s="1">
        <f t="shared" si="7"/>
        <v>49</v>
      </c>
      <c r="AK8" s="1">
        <f t="shared" si="7"/>
        <v>52</v>
      </c>
      <c r="AL8" s="1">
        <f t="shared" si="7"/>
        <v>55</v>
      </c>
      <c r="AM8" s="1">
        <f t="shared" si="7"/>
        <v>57</v>
      </c>
      <c r="AN8" s="1">
        <f t="shared" si="7"/>
        <v>58</v>
      </c>
      <c r="AO8" s="1">
        <f t="shared" si="7"/>
        <v>61</v>
      </c>
      <c r="AP8" s="1">
        <f t="shared" si="7"/>
        <v>67</v>
      </c>
      <c r="AR8" s="1">
        <f>COUNTIFS('onmogelijke score 2 pijlen'!score2pijlen,A8)</f>
        <v>6</v>
      </c>
      <c r="AS8" s="1">
        <f>COUNTIFS('onmogelijke score 2 pijlen'!score2pijlen,AP8)</f>
        <v>19</v>
      </c>
    </row>
    <row r="9">
      <c r="A9" s="1">
        <v>8.0</v>
      </c>
      <c r="B9" s="1">
        <f t="shared" ref="B9:AP9" si="8">$A9+B$1</f>
        <v>9</v>
      </c>
      <c r="C9" s="1">
        <f t="shared" si="8"/>
        <v>10</v>
      </c>
      <c r="D9" s="1">
        <f t="shared" si="8"/>
        <v>11</v>
      </c>
      <c r="E9" s="1">
        <f t="shared" si="8"/>
        <v>12</v>
      </c>
      <c r="F9" s="1">
        <f t="shared" si="8"/>
        <v>13</v>
      </c>
      <c r="G9" s="1">
        <f t="shared" si="8"/>
        <v>14</v>
      </c>
      <c r="H9" s="1">
        <f t="shared" si="8"/>
        <v>15</v>
      </c>
      <c r="I9" s="1">
        <f t="shared" si="8"/>
        <v>16</v>
      </c>
      <c r="J9" s="1">
        <f t="shared" si="8"/>
        <v>17</v>
      </c>
      <c r="K9" s="1">
        <f t="shared" si="8"/>
        <v>18</v>
      </c>
      <c r="L9" s="1">
        <f t="shared" si="8"/>
        <v>19</v>
      </c>
      <c r="M9" s="1">
        <f t="shared" si="8"/>
        <v>20</v>
      </c>
      <c r="N9" s="1">
        <f t="shared" si="8"/>
        <v>21</v>
      </c>
      <c r="O9" s="1">
        <f t="shared" si="8"/>
        <v>22</v>
      </c>
      <c r="P9" s="1">
        <f t="shared" si="8"/>
        <v>23</v>
      </c>
      <c r="Q9" s="1">
        <f t="shared" si="8"/>
        <v>24</v>
      </c>
      <c r="R9" s="1">
        <f t="shared" si="8"/>
        <v>25</v>
      </c>
      <c r="S9" s="1">
        <f t="shared" si="8"/>
        <v>26</v>
      </c>
      <c r="T9" s="1">
        <f t="shared" si="8"/>
        <v>27</v>
      </c>
      <c r="U9" s="1">
        <f t="shared" si="8"/>
        <v>28</v>
      </c>
      <c r="V9" s="1">
        <f t="shared" si="8"/>
        <v>29</v>
      </c>
      <c r="W9" s="1">
        <f t="shared" si="8"/>
        <v>30</v>
      </c>
      <c r="X9" s="1">
        <f t="shared" si="8"/>
        <v>32</v>
      </c>
      <c r="Y9" s="1">
        <f t="shared" si="8"/>
        <v>33</v>
      </c>
      <c r="Z9" s="1">
        <f t="shared" si="8"/>
        <v>34</v>
      </c>
      <c r="AA9" s="1">
        <f t="shared" si="8"/>
        <v>36</v>
      </c>
      <c r="AB9" s="1">
        <f t="shared" si="8"/>
        <v>38</v>
      </c>
      <c r="AC9" s="1">
        <f t="shared" si="8"/>
        <v>40</v>
      </c>
      <c r="AD9" s="1">
        <f t="shared" si="8"/>
        <v>41</v>
      </c>
      <c r="AE9" s="1">
        <f t="shared" si="8"/>
        <v>42</v>
      </c>
      <c r="AF9" s="1">
        <f t="shared" si="8"/>
        <v>44</v>
      </c>
      <c r="AG9" s="1">
        <f t="shared" si="8"/>
        <v>46</v>
      </c>
      <c r="AH9" s="1">
        <f t="shared" si="8"/>
        <v>47</v>
      </c>
      <c r="AI9" s="1">
        <f t="shared" si="8"/>
        <v>48</v>
      </c>
      <c r="AJ9" s="1">
        <f t="shared" si="8"/>
        <v>50</v>
      </c>
      <c r="AK9" s="1">
        <f t="shared" si="8"/>
        <v>53</v>
      </c>
      <c r="AL9" s="1">
        <f t="shared" si="8"/>
        <v>56</v>
      </c>
      <c r="AM9" s="1">
        <f t="shared" si="8"/>
        <v>58</v>
      </c>
      <c r="AN9" s="1">
        <f t="shared" si="8"/>
        <v>59</v>
      </c>
      <c r="AO9" s="1">
        <f t="shared" si="8"/>
        <v>62</v>
      </c>
      <c r="AP9" s="1">
        <f t="shared" si="8"/>
        <v>68</v>
      </c>
      <c r="AR9" s="1">
        <f>COUNTIFS('onmogelijke score 2 pijlen'!score2pijlen,A9)</f>
        <v>7</v>
      </c>
      <c r="AS9" s="1">
        <f>COUNTIFS('onmogelijke score 2 pijlen'!score2pijlen,AP9)</f>
        <v>20</v>
      </c>
    </row>
    <row r="10">
      <c r="A10" s="1">
        <v>9.0</v>
      </c>
      <c r="B10" s="1">
        <f t="shared" ref="B10:AP10" si="9">$A10+B$1</f>
        <v>10</v>
      </c>
      <c r="C10" s="1">
        <f t="shared" si="9"/>
        <v>11</v>
      </c>
      <c r="D10" s="1">
        <f t="shared" si="9"/>
        <v>12</v>
      </c>
      <c r="E10" s="1">
        <f t="shared" si="9"/>
        <v>13</v>
      </c>
      <c r="F10" s="1">
        <f t="shared" si="9"/>
        <v>14</v>
      </c>
      <c r="G10" s="1">
        <f t="shared" si="9"/>
        <v>15</v>
      </c>
      <c r="H10" s="1">
        <f t="shared" si="9"/>
        <v>16</v>
      </c>
      <c r="I10" s="1">
        <f t="shared" si="9"/>
        <v>17</v>
      </c>
      <c r="J10" s="1">
        <f t="shared" si="9"/>
        <v>18</v>
      </c>
      <c r="K10" s="1">
        <f t="shared" si="9"/>
        <v>19</v>
      </c>
      <c r="L10" s="1">
        <f t="shared" si="9"/>
        <v>20</v>
      </c>
      <c r="M10" s="1">
        <f t="shared" si="9"/>
        <v>21</v>
      </c>
      <c r="N10" s="1">
        <f t="shared" si="9"/>
        <v>22</v>
      </c>
      <c r="O10" s="1">
        <f t="shared" si="9"/>
        <v>23</v>
      </c>
      <c r="P10" s="1">
        <f t="shared" si="9"/>
        <v>24</v>
      </c>
      <c r="Q10" s="1">
        <f t="shared" si="9"/>
        <v>25</v>
      </c>
      <c r="R10" s="1">
        <f t="shared" si="9"/>
        <v>26</v>
      </c>
      <c r="S10" s="1">
        <f t="shared" si="9"/>
        <v>27</v>
      </c>
      <c r="T10" s="1">
        <f t="shared" si="9"/>
        <v>28</v>
      </c>
      <c r="U10" s="1">
        <f t="shared" si="9"/>
        <v>29</v>
      </c>
      <c r="V10" s="1">
        <f t="shared" si="9"/>
        <v>30</v>
      </c>
      <c r="W10" s="1">
        <f t="shared" si="9"/>
        <v>31</v>
      </c>
      <c r="X10" s="1">
        <f t="shared" si="9"/>
        <v>33</v>
      </c>
      <c r="Y10" s="1">
        <f t="shared" si="9"/>
        <v>34</v>
      </c>
      <c r="Z10" s="1">
        <f t="shared" si="9"/>
        <v>35</v>
      </c>
      <c r="AA10" s="1">
        <f t="shared" si="9"/>
        <v>37</v>
      </c>
      <c r="AB10" s="1">
        <f t="shared" si="9"/>
        <v>39</v>
      </c>
      <c r="AC10" s="1">
        <f t="shared" si="9"/>
        <v>41</v>
      </c>
      <c r="AD10" s="1">
        <f t="shared" si="9"/>
        <v>42</v>
      </c>
      <c r="AE10" s="1">
        <f t="shared" si="9"/>
        <v>43</v>
      </c>
      <c r="AF10" s="1">
        <f t="shared" si="9"/>
        <v>45</v>
      </c>
      <c r="AG10" s="1">
        <f t="shared" si="9"/>
        <v>47</v>
      </c>
      <c r="AH10" s="1">
        <f t="shared" si="9"/>
        <v>48</v>
      </c>
      <c r="AI10" s="1">
        <f t="shared" si="9"/>
        <v>49</v>
      </c>
      <c r="AJ10" s="1">
        <f t="shared" si="9"/>
        <v>51</v>
      </c>
      <c r="AK10" s="1">
        <f t="shared" si="9"/>
        <v>54</v>
      </c>
      <c r="AL10" s="1">
        <f t="shared" si="9"/>
        <v>57</v>
      </c>
      <c r="AM10" s="1">
        <f t="shared" si="9"/>
        <v>59</v>
      </c>
      <c r="AN10" s="1">
        <f t="shared" si="9"/>
        <v>60</v>
      </c>
      <c r="AO10" s="1">
        <f t="shared" si="9"/>
        <v>63</v>
      </c>
      <c r="AP10" s="1">
        <f t="shared" si="9"/>
        <v>69</v>
      </c>
      <c r="AR10" s="1">
        <f>COUNTIFS('onmogelijke score 2 pijlen'!score2pijlen,A10)</f>
        <v>8</v>
      </c>
      <c r="AS10" s="1">
        <f>COUNTIFS('onmogelijke score 2 pijlen'!score2pijlen,AP10)</f>
        <v>17</v>
      </c>
    </row>
    <row r="11">
      <c r="A11" s="1">
        <v>10.0</v>
      </c>
      <c r="B11" s="1">
        <f t="shared" ref="B11:AP11" si="10">$A11+B$1</f>
        <v>11</v>
      </c>
      <c r="C11" s="1">
        <f t="shared" si="10"/>
        <v>12</v>
      </c>
      <c r="D11" s="1">
        <f t="shared" si="10"/>
        <v>13</v>
      </c>
      <c r="E11" s="1">
        <f t="shared" si="10"/>
        <v>14</v>
      </c>
      <c r="F11" s="1">
        <f t="shared" si="10"/>
        <v>15</v>
      </c>
      <c r="G11" s="1">
        <f t="shared" si="10"/>
        <v>16</v>
      </c>
      <c r="H11" s="1">
        <f t="shared" si="10"/>
        <v>17</v>
      </c>
      <c r="I11" s="1">
        <f t="shared" si="10"/>
        <v>18</v>
      </c>
      <c r="J11" s="1">
        <f t="shared" si="10"/>
        <v>19</v>
      </c>
      <c r="K11" s="1">
        <f t="shared" si="10"/>
        <v>20</v>
      </c>
      <c r="L11" s="1">
        <f t="shared" si="10"/>
        <v>21</v>
      </c>
      <c r="M11" s="1">
        <f t="shared" si="10"/>
        <v>22</v>
      </c>
      <c r="N11" s="1">
        <f t="shared" si="10"/>
        <v>23</v>
      </c>
      <c r="O11" s="1">
        <f t="shared" si="10"/>
        <v>24</v>
      </c>
      <c r="P11" s="1">
        <f t="shared" si="10"/>
        <v>25</v>
      </c>
      <c r="Q11" s="1">
        <f t="shared" si="10"/>
        <v>26</v>
      </c>
      <c r="R11" s="1">
        <f t="shared" si="10"/>
        <v>27</v>
      </c>
      <c r="S11" s="1">
        <f t="shared" si="10"/>
        <v>28</v>
      </c>
      <c r="T11" s="1">
        <f t="shared" si="10"/>
        <v>29</v>
      </c>
      <c r="U11" s="1">
        <f t="shared" si="10"/>
        <v>30</v>
      </c>
      <c r="V11" s="1">
        <f t="shared" si="10"/>
        <v>31</v>
      </c>
      <c r="W11" s="1">
        <f t="shared" si="10"/>
        <v>32</v>
      </c>
      <c r="X11" s="1">
        <f t="shared" si="10"/>
        <v>34</v>
      </c>
      <c r="Y11" s="1">
        <f t="shared" si="10"/>
        <v>35</v>
      </c>
      <c r="Z11" s="1">
        <f t="shared" si="10"/>
        <v>36</v>
      </c>
      <c r="AA11" s="1">
        <f t="shared" si="10"/>
        <v>38</v>
      </c>
      <c r="AB11" s="1">
        <f t="shared" si="10"/>
        <v>40</v>
      </c>
      <c r="AC11" s="1">
        <f t="shared" si="10"/>
        <v>42</v>
      </c>
      <c r="AD11" s="1">
        <f t="shared" si="10"/>
        <v>43</v>
      </c>
      <c r="AE11" s="1">
        <f t="shared" si="10"/>
        <v>44</v>
      </c>
      <c r="AF11" s="1">
        <f t="shared" si="10"/>
        <v>46</v>
      </c>
      <c r="AG11" s="1">
        <f t="shared" si="10"/>
        <v>48</v>
      </c>
      <c r="AH11" s="1">
        <f t="shared" si="10"/>
        <v>49</v>
      </c>
      <c r="AI11" s="1">
        <f t="shared" si="10"/>
        <v>50</v>
      </c>
      <c r="AJ11" s="1">
        <f t="shared" si="10"/>
        <v>52</v>
      </c>
      <c r="AK11" s="1">
        <f t="shared" si="10"/>
        <v>55</v>
      </c>
      <c r="AL11" s="1">
        <f t="shared" si="10"/>
        <v>58</v>
      </c>
      <c r="AM11" s="1">
        <f t="shared" si="10"/>
        <v>60</v>
      </c>
      <c r="AN11" s="1">
        <f t="shared" si="10"/>
        <v>61</v>
      </c>
      <c r="AO11" s="1">
        <f t="shared" si="10"/>
        <v>64</v>
      </c>
      <c r="AP11" s="1">
        <f t="shared" si="10"/>
        <v>70</v>
      </c>
      <c r="AR11" s="1">
        <f>COUNTIFS('onmogelijke score 2 pijlen'!score2pijlen,A11)</f>
        <v>9</v>
      </c>
      <c r="AS11" s="1">
        <f>COUNTIFS('onmogelijke score 2 pijlen'!score2pijlen,AP11)</f>
        <v>21</v>
      </c>
    </row>
    <row r="12">
      <c r="A12" s="1">
        <v>11.0</v>
      </c>
      <c r="B12" s="1">
        <f t="shared" ref="B12:AP12" si="11">$A12+B$1</f>
        <v>12</v>
      </c>
      <c r="C12" s="1">
        <f t="shared" si="11"/>
        <v>13</v>
      </c>
      <c r="D12" s="1">
        <f t="shared" si="11"/>
        <v>14</v>
      </c>
      <c r="E12" s="1">
        <f t="shared" si="11"/>
        <v>15</v>
      </c>
      <c r="F12" s="1">
        <f t="shared" si="11"/>
        <v>16</v>
      </c>
      <c r="G12" s="1">
        <f t="shared" si="11"/>
        <v>17</v>
      </c>
      <c r="H12" s="1">
        <f t="shared" si="11"/>
        <v>18</v>
      </c>
      <c r="I12" s="1">
        <f t="shared" si="11"/>
        <v>19</v>
      </c>
      <c r="J12" s="1">
        <f t="shared" si="11"/>
        <v>20</v>
      </c>
      <c r="K12" s="1">
        <f t="shared" si="11"/>
        <v>21</v>
      </c>
      <c r="L12" s="1">
        <f t="shared" si="11"/>
        <v>22</v>
      </c>
      <c r="M12" s="1">
        <f t="shared" si="11"/>
        <v>23</v>
      </c>
      <c r="N12" s="1">
        <f t="shared" si="11"/>
        <v>24</v>
      </c>
      <c r="O12" s="1">
        <f t="shared" si="11"/>
        <v>25</v>
      </c>
      <c r="P12" s="1">
        <f t="shared" si="11"/>
        <v>26</v>
      </c>
      <c r="Q12" s="1">
        <f t="shared" si="11"/>
        <v>27</v>
      </c>
      <c r="R12" s="1">
        <f t="shared" si="11"/>
        <v>28</v>
      </c>
      <c r="S12" s="1">
        <f t="shared" si="11"/>
        <v>29</v>
      </c>
      <c r="T12" s="1">
        <f t="shared" si="11"/>
        <v>30</v>
      </c>
      <c r="U12" s="1">
        <f t="shared" si="11"/>
        <v>31</v>
      </c>
      <c r="V12" s="1">
        <f t="shared" si="11"/>
        <v>32</v>
      </c>
      <c r="W12" s="1">
        <f t="shared" si="11"/>
        <v>33</v>
      </c>
      <c r="X12" s="1">
        <f t="shared" si="11"/>
        <v>35</v>
      </c>
      <c r="Y12" s="1">
        <f t="shared" si="11"/>
        <v>36</v>
      </c>
      <c r="Z12" s="1">
        <f t="shared" si="11"/>
        <v>37</v>
      </c>
      <c r="AA12" s="1">
        <f t="shared" si="11"/>
        <v>39</v>
      </c>
      <c r="AB12" s="1">
        <f t="shared" si="11"/>
        <v>41</v>
      </c>
      <c r="AC12" s="1">
        <f t="shared" si="11"/>
        <v>43</v>
      </c>
      <c r="AD12" s="1">
        <f t="shared" si="11"/>
        <v>44</v>
      </c>
      <c r="AE12" s="1">
        <f t="shared" si="11"/>
        <v>45</v>
      </c>
      <c r="AF12" s="1">
        <f t="shared" si="11"/>
        <v>47</v>
      </c>
      <c r="AG12" s="1">
        <f t="shared" si="11"/>
        <v>49</v>
      </c>
      <c r="AH12" s="1">
        <f t="shared" si="11"/>
        <v>50</v>
      </c>
      <c r="AI12" s="1">
        <f t="shared" si="11"/>
        <v>51</v>
      </c>
      <c r="AJ12" s="1">
        <f t="shared" si="11"/>
        <v>53</v>
      </c>
      <c r="AK12" s="1">
        <f t="shared" si="11"/>
        <v>56</v>
      </c>
      <c r="AL12" s="1">
        <f t="shared" si="11"/>
        <v>59</v>
      </c>
      <c r="AM12" s="1">
        <f t="shared" si="11"/>
        <v>61</v>
      </c>
      <c r="AN12" s="1">
        <f t="shared" si="11"/>
        <v>62</v>
      </c>
      <c r="AO12" s="1">
        <f t="shared" si="11"/>
        <v>65</v>
      </c>
      <c r="AP12" s="1">
        <f t="shared" si="11"/>
        <v>71</v>
      </c>
      <c r="AR12" s="1">
        <f>COUNTIFS('onmogelijke score 2 pijlen'!score2pijlen,A12)</f>
        <v>10</v>
      </c>
      <c r="AS12" s="1">
        <f>COUNTIFS('onmogelijke score 2 pijlen'!score2pijlen,AP12)</f>
        <v>15</v>
      </c>
    </row>
    <row r="13">
      <c r="A13" s="1">
        <v>12.0</v>
      </c>
      <c r="B13" s="1">
        <f t="shared" ref="B13:AP13" si="12">$A13+B$1</f>
        <v>13</v>
      </c>
      <c r="C13" s="1">
        <f t="shared" si="12"/>
        <v>14</v>
      </c>
      <c r="D13" s="1">
        <f t="shared" si="12"/>
        <v>15</v>
      </c>
      <c r="E13" s="1">
        <f t="shared" si="12"/>
        <v>16</v>
      </c>
      <c r="F13" s="1">
        <f t="shared" si="12"/>
        <v>17</v>
      </c>
      <c r="G13" s="1">
        <f t="shared" si="12"/>
        <v>18</v>
      </c>
      <c r="H13" s="1">
        <f t="shared" si="12"/>
        <v>19</v>
      </c>
      <c r="I13" s="1">
        <f t="shared" si="12"/>
        <v>20</v>
      </c>
      <c r="J13" s="1">
        <f t="shared" si="12"/>
        <v>21</v>
      </c>
      <c r="K13" s="1">
        <f t="shared" si="12"/>
        <v>22</v>
      </c>
      <c r="L13" s="1">
        <f t="shared" si="12"/>
        <v>23</v>
      </c>
      <c r="M13" s="1">
        <f t="shared" si="12"/>
        <v>24</v>
      </c>
      <c r="N13" s="1">
        <f t="shared" si="12"/>
        <v>25</v>
      </c>
      <c r="O13" s="1">
        <f t="shared" si="12"/>
        <v>26</v>
      </c>
      <c r="P13" s="1">
        <f t="shared" si="12"/>
        <v>27</v>
      </c>
      <c r="Q13" s="1">
        <f t="shared" si="12"/>
        <v>28</v>
      </c>
      <c r="R13" s="1">
        <f t="shared" si="12"/>
        <v>29</v>
      </c>
      <c r="S13" s="1">
        <f t="shared" si="12"/>
        <v>30</v>
      </c>
      <c r="T13" s="1">
        <f t="shared" si="12"/>
        <v>31</v>
      </c>
      <c r="U13" s="1">
        <f t="shared" si="12"/>
        <v>32</v>
      </c>
      <c r="V13" s="1">
        <f t="shared" si="12"/>
        <v>33</v>
      </c>
      <c r="W13" s="1">
        <f t="shared" si="12"/>
        <v>34</v>
      </c>
      <c r="X13" s="1">
        <f t="shared" si="12"/>
        <v>36</v>
      </c>
      <c r="Y13" s="1">
        <f t="shared" si="12"/>
        <v>37</v>
      </c>
      <c r="Z13" s="1">
        <f t="shared" si="12"/>
        <v>38</v>
      </c>
      <c r="AA13" s="1">
        <f t="shared" si="12"/>
        <v>40</v>
      </c>
      <c r="AB13" s="1">
        <f t="shared" si="12"/>
        <v>42</v>
      </c>
      <c r="AC13" s="1">
        <f t="shared" si="12"/>
        <v>44</v>
      </c>
      <c r="AD13" s="1">
        <f t="shared" si="12"/>
        <v>45</v>
      </c>
      <c r="AE13" s="1">
        <f t="shared" si="12"/>
        <v>46</v>
      </c>
      <c r="AF13" s="1">
        <f t="shared" si="12"/>
        <v>48</v>
      </c>
      <c r="AG13" s="1">
        <f t="shared" si="12"/>
        <v>50</v>
      </c>
      <c r="AH13" s="1">
        <f t="shared" si="12"/>
        <v>51</v>
      </c>
      <c r="AI13" s="1">
        <f t="shared" si="12"/>
        <v>52</v>
      </c>
      <c r="AJ13" s="1">
        <f t="shared" si="12"/>
        <v>54</v>
      </c>
      <c r="AK13" s="1">
        <f t="shared" si="12"/>
        <v>57</v>
      </c>
      <c r="AL13" s="1">
        <f t="shared" si="12"/>
        <v>60</v>
      </c>
      <c r="AM13" s="1">
        <f t="shared" si="12"/>
        <v>62</v>
      </c>
      <c r="AN13" s="1">
        <f t="shared" si="12"/>
        <v>63</v>
      </c>
      <c r="AO13" s="1">
        <f t="shared" si="12"/>
        <v>66</v>
      </c>
      <c r="AP13" s="1">
        <f t="shared" si="12"/>
        <v>72</v>
      </c>
      <c r="AR13" s="1">
        <f>COUNTIFS('onmogelijke score 2 pijlen'!score2pijlen,A13)</f>
        <v>11</v>
      </c>
      <c r="AS13" s="1">
        <f>COUNTIFS('onmogelijke score 2 pijlen'!score2pijlen,AP13)</f>
        <v>20</v>
      </c>
    </row>
    <row r="14">
      <c r="A14" s="1">
        <v>13.0</v>
      </c>
      <c r="B14" s="1">
        <f t="shared" ref="B14:AP14" si="13">$A14+B$1</f>
        <v>14</v>
      </c>
      <c r="C14" s="1">
        <f t="shared" si="13"/>
        <v>15</v>
      </c>
      <c r="D14" s="1">
        <f t="shared" si="13"/>
        <v>16</v>
      </c>
      <c r="E14" s="1">
        <f t="shared" si="13"/>
        <v>17</v>
      </c>
      <c r="F14" s="1">
        <f t="shared" si="13"/>
        <v>18</v>
      </c>
      <c r="G14" s="1">
        <f t="shared" si="13"/>
        <v>19</v>
      </c>
      <c r="H14" s="1">
        <f t="shared" si="13"/>
        <v>20</v>
      </c>
      <c r="I14" s="1">
        <f t="shared" si="13"/>
        <v>21</v>
      </c>
      <c r="J14" s="1">
        <f t="shared" si="13"/>
        <v>22</v>
      </c>
      <c r="K14" s="1">
        <f t="shared" si="13"/>
        <v>23</v>
      </c>
      <c r="L14" s="1">
        <f t="shared" si="13"/>
        <v>24</v>
      </c>
      <c r="M14" s="1">
        <f t="shared" si="13"/>
        <v>25</v>
      </c>
      <c r="N14" s="1">
        <f t="shared" si="13"/>
        <v>26</v>
      </c>
      <c r="O14" s="1">
        <f t="shared" si="13"/>
        <v>27</v>
      </c>
      <c r="P14" s="1">
        <f t="shared" si="13"/>
        <v>28</v>
      </c>
      <c r="Q14" s="1">
        <f t="shared" si="13"/>
        <v>29</v>
      </c>
      <c r="R14" s="1">
        <f t="shared" si="13"/>
        <v>30</v>
      </c>
      <c r="S14" s="1">
        <f t="shared" si="13"/>
        <v>31</v>
      </c>
      <c r="T14" s="1">
        <f t="shared" si="13"/>
        <v>32</v>
      </c>
      <c r="U14" s="1">
        <f t="shared" si="13"/>
        <v>33</v>
      </c>
      <c r="V14" s="1">
        <f t="shared" si="13"/>
        <v>34</v>
      </c>
      <c r="W14" s="1">
        <f t="shared" si="13"/>
        <v>35</v>
      </c>
      <c r="X14" s="1">
        <f t="shared" si="13"/>
        <v>37</v>
      </c>
      <c r="Y14" s="1">
        <f t="shared" si="13"/>
        <v>38</v>
      </c>
      <c r="Z14" s="1">
        <f t="shared" si="13"/>
        <v>39</v>
      </c>
      <c r="AA14" s="1">
        <f t="shared" si="13"/>
        <v>41</v>
      </c>
      <c r="AB14" s="1">
        <f t="shared" si="13"/>
        <v>43</v>
      </c>
      <c r="AC14" s="1">
        <f t="shared" si="13"/>
        <v>45</v>
      </c>
      <c r="AD14" s="1">
        <f t="shared" si="13"/>
        <v>46</v>
      </c>
      <c r="AE14" s="1">
        <f t="shared" si="13"/>
        <v>47</v>
      </c>
      <c r="AF14" s="1">
        <f t="shared" si="13"/>
        <v>49</v>
      </c>
      <c r="AG14" s="1">
        <f t="shared" si="13"/>
        <v>51</v>
      </c>
      <c r="AH14" s="1">
        <f t="shared" si="13"/>
        <v>52</v>
      </c>
      <c r="AI14" s="1">
        <f t="shared" si="13"/>
        <v>53</v>
      </c>
      <c r="AJ14" s="1">
        <f t="shared" si="13"/>
        <v>55</v>
      </c>
      <c r="AK14" s="1">
        <f t="shared" si="13"/>
        <v>58</v>
      </c>
      <c r="AL14" s="1">
        <f t="shared" si="13"/>
        <v>61</v>
      </c>
      <c r="AM14" s="1">
        <f t="shared" si="13"/>
        <v>63</v>
      </c>
      <c r="AN14" s="1">
        <f t="shared" si="13"/>
        <v>64</v>
      </c>
      <c r="AO14" s="1">
        <f t="shared" si="13"/>
        <v>67</v>
      </c>
      <c r="AP14" s="1">
        <f t="shared" si="13"/>
        <v>73</v>
      </c>
      <c r="AR14" s="1">
        <f>COUNTIFS('onmogelijke score 2 pijlen'!score2pijlen,A14)</f>
        <v>12</v>
      </c>
      <c r="AS14" s="1">
        <f>COUNTIFS('onmogelijke score 2 pijlen'!score2pijlen,AP14)</f>
        <v>15</v>
      </c>
    </row>
    <row r="15">
      <c r="A15" s="1">
        <v>14.0</v>
      </c>
      <c r="B15" s="1">
        <f t="shared" ref="B15:AP15" si="14">$A15+B$1</f>
        <v>15</v>
      </c>
      <c r="C15" s="1">
        <f t="shared" si="14"/>
        <v>16</v>
      </c>
      <c r="D15" s="1">
        <f t="shared" si="14"/>
        <v>17</v>
      </c>
      <c r="E15" s="1">
        <f t="shared" si="14"/>
        <v>18</v>
      </c>
      <c r="F15" s="1">
        <f t="shared" si="14"/>
        <v>19</v>
      </c>
      <c r="G15" s="1">
        <f t="shared" si="14"/>
        <v>20</v>
      </c>
      <c r="H15" s="1">
        <f t="shared" si="14"/>
        <v>21</v>
      </c>
      <c r="I15" s="1">
        <f t="shared" si="14"/>
        <v>22</v>
      </c>
      <c r="J15" s="1">
        <f t="shared" si="14"/>
        <v>23</v>
      </c>
      <c r="K15" s="1">
        <f t="shared" si="14"/>
        <v>24</v>
      </c>
      <c r="L15" s="1">
        <f t="shared" si="14"/>
        <v>25</v>
      </c>
      <c r="M15" s="1">
        <f t="shared" si="14"/>
        <v>26</v>
      </c>
      <c r="N15" s="1">
        <f t="shared" si="14"/>
        <v>27</v>
      </c>
      <c r="O15" s="1">
        <f t="shared" si="14"/>
        <v>28</v>
      </c>
      <c r="P15" s="1">
        <f t="shared" si="14"/>
        <v>29</v>
      </c>
      <c r="Q15" s="1">
        <f t="shared" si="14"/>
        <v>30</v>
      </c>
      <c r="R15" s="1">
        <f t="shared" si="14"/>
        <v>31</v>
      </c>
      <c r="S15" s="1">
        <f t="shared" si="14"/>
        <v>32</v>
      </c>
      <c r="T15" s="1">
        <f t="shared" si="14"/>
        <v>33</v>
      </c>
      <c r="U15" s="1">
        <f t="shared" si="14"/>
        <v>34</v>
      </c>
      <c r="V15" s="1">
        <f t="shared" si="14"/>
        <v>35</v>
      </c>
      <c r="W15" s="1">
        <f t="shared" si="14"/>
        <v>36</v>
      </c>
      <c r="X15" s="1">
        <f t="shared" si="14"/>
        <v>38</v>
      </c>
      <c r="Y15" s="1">
        <f t="shared" si="14"/>
        <v>39</v>
      </c>
      <c r="Z15" s="1">
        <f t="shared" si="14"/>
        <v>40</v>
      </c>
      <c r="AA15" s="1">
        <f t="shared" si="14"/>
        <v>42</v>
      </c>
      <c r="AB15" s="1">
        <f t="shared" si="14"/>
        <v>44</v>
      </c>
      <c r="AC15" s="1">
        <f t="shared" si="14"/>
        <v>46</v>
      </c>
      <c r="AD15" s="1">
        <f t="shared" si="14"/>
        <v>47</v>
      </c>
      <c r="AE15" s="1">
        <f t="shared" si="14"/>
        <v>48</v>
      </c>
      <c r="AF15" s="1">
        <f t="shared" si="14"/>
        <v>50</v>
      </c>
      <c r="AG15" s="1">
        <f t="shared" si="14"/>
        <v>52</v>
      </c>
      <c r="AH15" s="1">
        <f t="shared" si="14"/>
        <v>53</v>
      </c>
      <c r="AI15" s="1">
        <f t="shared" si="14"/>
        <v>54</v>
      </c>
      <c r="AJ15" s="1">
        <f t="shared" si="14"/>
        <v>56</v>
      </c>
      <c r="AK15" s="1">
        <f t="shared" si="14"/>
        <v>59</v>
      </c>
      <c r="AL15" s="1">
        <f t="shared" si="14"/>
        <v>62</v>
      </c>
      <c r="AM15" s="1">
        <f t="shared" si="14"/>
        <v>64</v>
      </c>
      <c r="AN15" s="1">
        <f t="shared" si="14"/>
        <v>65</v>
      </c>
      <c r="AO15" s="1">
        <f t="shared" si="14"/>
        <v>68</v>
      </c>
      <c r="AP15" s="1">
        <f t="shared" si="14"/>
        <v>74</v>
      </c>
      <c r="AR15" s="1">
        <f>COUNTIFS('onmogelijke score 2 pijlen'!score2pijlen,A15)</f>
        <v>13</v>
      </c>
      <c r="AS15" s="1">
        <f>COUNTIFS('onmogelijke score 2 pijlen'!score2pijlen,AP15)</f>
        <v>15</v>
      </c>
    </row>
    <row r="16">
      <c r="A16" s="1">
        <v>15.0</v>
      </c>
      <c r="B16" s="1">
        <f t="shared" ref="B16:AP16" si="15">$A16+B$1</f>
        <v>16</v>
      </c>
      <c r="C16" s="1">
        <f t="shared" si="15"/>
        <v>17</v>
      </c>
      <c r="D16" s="1">
        <f t="shared" si="15"/>
        <v>18</v>
      </c>
      <c r="E16" s="1">
        <f t="shared" si="15"/>
        <v>19</v>
      </c>
      <c r="F16" s="1">
        <f t="shared" si="15"/>
        <v>20</v>
      </c>
      <c r="G16" s="1">
        <f t="shared" si="15"/>
        <v>21</v>
      </c>
      <c r="H16" s="1">
        <f t="shared" si="15"/>
        <v>22</v>
      </c>
      <c r="I16" s="1">
        <f t="shared" si="15"/>
        <v>23</v>
      </c>
      <c r="J16" s="1">
        <f t="shared" si="15"/>
        <v>24</v>
      </c>
      <c r="K16" s="1">
        <f t="shared" si="15"/>
        <v>25</v>
      </c>
      <c r="L16" s="1">
        <f t="shared" si="15"/>
        <v>26</v>
      </c>
      <c r="M16" s="1">
        <f t="shared" si="15"/>
        <v>27</v>
      </c>
      <c r="N16" s="1">
        <f t="shared" si="15"/>
        <v>28</v>
      </c>
      <c r="O16" s="1">
        <f t="shared" si="15"/>
        <v>29</v>
      </c>
      <c r="P16" s="1">
        <f t="shared" si="15"/>
        <v>30</v>
      </c>
      <c r="Q16" s="1">
        <f t="shared" si="15"/>
        <v>31</v>
      </c>
      <c r="R16" s="1">
        <f t="shared" si="15"/>
        <v>32</v>
      </c>
      <c r="S16" s="1">
        <f t="shared" si="15"/>
        <v>33</v>
      </c>
      <c r="T16" s="1">
        <f t="shared" si="15"/>
        <v>34</v>
      </c>
      <c r="U16" s="1">
        <f t="shared" si="15"/>
        <v>35</v>
      </c>
      <c r="V16" s="1">
        <f t="shared" si="15"/>
        <v>36</v>
      </c>
      <c r="W16" s="1">
        <f t="shared" si="15"/>
        <v>37</v>
      </c>
      <c r="X16" s="1">
        <f t="shared" si="15"/>
        <v>39</v>
      </c>
      <c r="Y16" s="1">
        <f t="shared" si="15"/>
        <v>40</v>
      </c>
      <c r="Z16" s="1">
        <f t="shared" si="15"/>
        <v>41</v>
      </c>
      <c r="AA16" s="1">
        <f t="shared" si="15"/>
        <v>43</v>
      </c>
      <c r="AB16" s="1">
        <f t="shared" si="15"/>
        <v>45</v>
      </c>
      <c r="AC16" s="1">
        <f t="shared" si="15"/>
        <v>47</v>
      </c>
      <c r="AD16" s="1">
        <f t="shared" si="15"/>
        <v>48</v>
      </c>
      <c r="AE16" s="1">
        <f t="shared" si="15"/>
        <v>49</v>
      </c>
      <c r="AF16" s="1">
        <f t="shared" si="15"/>
        <v>51</v>
      </c>
      <c r="AG16" s="1">
        <f t="shared" si="15"/>
        <v>53</v>
      </c>
      <c r="AH16" s="1">
        <f t="shared" si="15"/>
        <v>54</v>
      </c>
      <c r="AI16" s="1">
        <f t="shared" si="15"/>
        <v>55</v>
      </c>
      <c r="AJ16" s="1">
        <f t="shared" si="15"/>
        <v>57</v>
      </c>
      <c r="AK16" s="1">
        <f t="shared" si="15"/>
        <v>60</v>
      </c>
      <c r="AL16" s="1">
        <f t="shared" si="15"/>
        <v>63</v>
      </c>
      <c r="AM16" s="1">
        <f t="shared" si="15"/>
        <v>65</v>
      </c>
      <c r="AN16" s="1">
        <f t="shared" si="15"/>
        <v>66</v>
      </c>
      <c r="AO16" s="1">
        <f t="shared" si="15"/>
        <v>69</v>
      </c>
      <c r="AP16" s="1">
        <f t="shared" si="15"/>
        <v>75</v>
      </c>
      <c r="AR16" s="1">
        <f>COUNTIFS('onmogelijke score 2 pijlen'!score2pijlen,A16)</f>
        <v>14</v>
      </c>
      <c r="AS16" s="1">
        <f>COUNTIFS('onmogelijke score 2 pijlen'!score2pijlen,AP16)</f>
        <v>15</v>
      </c>
    </row>
    <row r="17">
      <c r="A17" s="1">
        <v>16.0</v>
      </c>
      <c r="B17" s="1">
        <f t="shared" ref="B17:AP17" si="16">$A17+B$1</f>
        <v>17</v>
      </c>
      <c r="C17" s="1">
        <f t="shared" si="16"/>
        <v>18</v>
      </c>
      <c r="D17" s="1">
        <f t="shared" si="16"/>
        <v>19</v>
      </c>
      <c r="E17" s="1">
        <f t="shared" si="16"/>
        <v>20</v>
      </c>
      <c r="F17" s="1">
        <f t="shared" si="16"/>
        <v>21</v>
      </c>
      <c r="G17" s="1">
        <f t="shared" si="16"/>
        <v>22</v>
      </c>
      <c r="H17" s="1">
        <f t="shared" si="16"/>
        <v>23</v>
      </c>
      <c r="I17" s="1">
        <f t="shared" si="16"/>
        <v>24</v>
      </c>
      <c r="J17" s="1">
        <f t="shared" si="16"/>
        <v>25</v>
      </c>
      <c r="K17" s="1">
        <f t="shared" si="16"/>
        <v>26</v>
      </c>
      <c r="L17" s="1">
        <f t="shared" si="16"/>
        <v>27</v>
      </c>
      <c r="M17" s="1">
        <f t="shared" si="16"/>
        <v>28</v>
      </c>
      <c r="N17" s="1">
        <f t="shared" si="16"/>
        <v>29</v>
      </c>
      <c r="O17" s="1">
        <f t="shared" si="16"/>
        <v>30</v>
      </c>
      <c r="P17" s="1">
        <f t="shared" si="16"/>
        <v>31</v>
      </c>
      <c r="Q17" s="1">
        <f t="shared" si="16"/>
        <v>32</v>
      </c>
      <c r="R17" s="1">
        <f t="shared" si="16"/>
        <v>33</v>
      </c>
      <c r="S17" s="1">
        <f t="shared" si="16"/>
        <v>34</v>
      </c>
      <c r="T17" s="1">
        <f t="shared" si="16"/>
        <v>35</v>
      </c>
      <c r="U17" s="1">
        <f t="shared" si="16"/>
        <v>36</v>
      </c>
      <c r="V17" s="1">
        <f t="shared" si="16"/>
        <v>37</v>
      </c>
      <c r="W17" s="1">
        <f t="shared" si="16"/>
        <v>38</v>
      </c>
      <c r="X17" s="1">
        <f t="shared" si="16"/>
        <v>40</v>
      </c>
      <c r="Y17" s="1">
        <f t="shared" si="16"/>
        <v>41</v>
      </c>
      <c r="Z17" s="1">
        <f t="shared" si="16"/>
        <v>42</v>
      </c>
      <c r="AA17" s="1">
        <f t="shared" si="16"/>
        <v>44</v>
      </c>
      <c r="AB17" s="1">
        <f t="shared" si="16"/>
        <v>46</v>
      </c>
      <c r="AC17" s="1">
        <f t="shared" si="16"/>
        <v>48</v>
      </c>
      <c r="AD17" s="1">
        <f t="shared" si="16"/>
        <v>49</v>
      </c>
      <c r="AE17" s="1">
        <f t="shared" si="16"/>
        <v>50</v>
      </c>
      <c r="AF17" s="1">
        <f t="shared" si="16"/>
        <v>52</v>
      </c>
      <c r="AG17" s="1">
        <f t="shared" si="16"/>
        <v>54</v>
      </c>
      <c r="AH17" s="1">
        <f t="shared" si="16"/>
        <v>55</v>
      </c>
      <c r="AI17" s="1">
        <f t="shared" si="16"/>
        <v>56</v>
      </c>
      <c r="AJ17" s="1">
        <f t="shared" si="16"/>
        <v>58</v>
      </c>
      <c r="AK17" s="1">
        <f t="shared" si="16"/>
        <v>61</v>
      </c>
      <c r="AL17" s="1">
        <f t="shared" si="16"/>
        <v>64</v>
      </c>
      <c r="AM17" s="1">
        <f t="shared" si="16"/>
        <v>66</v>
      </c>
      <c r="AN17" s="1">
        <f t="shared" si="16"/>
        <v>67</v>
      </c>
      <c r="AO17" s="1">
        <f t="shared" si="16"/>
        <v>70</v>
      </c>
      <c r="AP17" s="1">
        <f t="shared" si="16"/>
        <v>76</v>
      </c>
      <c r="AR17" s="1">
        <f>COUNTIFS('onmogelijke score 2 pijlen'!score2pijlen,A17)</f>
        <v>15</v>
      </c>
      <c r="AS17" s="1">
        <f>COUNTIFS('onmogelijke score 2 pijlen'!score2pijlen,AP17)</f>
        <v>16</v>
      </c>
    </row>
    <row r="18">
      <c r="A18" s="1">
        <v>17.0</v>
      </c>
      <c r="B18" s="1">
        <f t="shared" ref="B18:AP18" si="17">$A18+B$1</f>
        <v>18</v>
      </c>
      <c r="C18" s="1">
        <f t="shared" si="17"/>
        <v>19</v>
      </c>
      <c r="D18" s="1">
        <f t="shared" si="17"/>
        <v>20</v>
      </c>
      <c r="E18" s="1">
        <f t="shared" si="17"/>
        <v>21</v>
      </c>
      <c r="F18" s="1">
        <f t="shared" si="17"/>
        <v>22</v>
      </c>
      <c r="G18" s="1">
        <f t="shared" si="17"/>
        <v>23</v>
      </c>
      <c r="H18" s="1">
        <f t="shared" si="17"/>
        <v>24</v>
      </c>
      <c r="I18" s="1">
        <f t="shared" si="17"/>
        <v>25</v>
      </c>
      <c r="J18" s="1">
        <f t="shared" si="17"/>
        <v>26</v>
      </c>
      <c r="K18" s="1">
        <f t="shared" si="17"/>
        <v>27</v>
      </c>
      <c r="L18" s="1">
        <f t="shared" si="17"/>
        <v>28</v>
      </c>
      <c r="M18" s="1">
        <f t="shared" si="17"/>
        <v>29</v>
      </c>
      <c r="N18" s="1">
        <f t="shared" si="17"/>
        <v>30</v>
      </c>
      <c r="O18" s="1">
        <f t="shared" si="17"/>
        <v>31</v>
      </c>
      <c r="P18" s="1">
        <f t="shared" si="17"/>
        <v>32</v>
      </c>
      <c r="Q18" s="1">
        <f t="shared" si="17"/>
        <v>33</v>
      </c>
      <c r="R18" s="1">
        <f t="shared" si="17"/>
        <v>34</v>
      </c>
      <c r="S18" s="1">
        <f t="shared" si="17"/>
        <v>35</v>
      </c>
      <c r="T18" s="1">
        <f t="shared" si="17"/>
        <v>36</v>
      </c>
      <c r="U18" s="1">
        <f t="shared" si="17"/>
        <v>37</v>
      </c>
      <c r="V18" s="1">
        <f t="shared" si="17"/>
        <v>38</v>
      </c>
      <c r="W18" s="1">
        <f t="shared" si="17"/>
        <v>39</v>
      </c>
      <c r="X18" s="1">
        <f t="shared" si="17"/>
        <v>41</v>
      </c>
      <c r="Y18" s="1">
        <f t="shared" si="17"/>
        <v>42</v>
      </c>
      <c r="Z18" s="1">
        <f t="shared" si="17"/>
        <v>43</v>
      </c>
      <c r="AA18" s="1">
        <f t="shared" si="17"/>
        <v>45</v>
      </c>
      <c r="AB18" s="1">
        <f t="shared" si="17"/>
        <v>47</v>
      </c>
      <c r="AC18" s="1">
        <f t="shared" si="17"/>
        <v>49</v>
      </c>
      <c r="AD18" s="1">
        <f t="shared" si="17"/>
        <v>50</v>
      </c>
      <c r="AE18" s="1">
        <f t="shared" si="17"/>
        <v>51</v>
      </c>
      <c r="AF18" s="1">
        <f t="shared" si="17"/>
        <v>53</v>
      </c>
      <c r="AG18" s="1">
        <f t="shared" si="17"/>
        <v>55</v>
      </c>
      <c r="AH18" s="1">
        <f t="shared" si="17"/>
        <v>56</v>
      </c>
      <c r="AI18" s="1">
        <f t="shared" si="17"/>
        <v>57</v>
      </c>
      <c r="AJ18" s="1">
        <f t="shared" si="17"/>
        <v>59</v>
      </c>
      <c r="AK18" s="1">
        <f t="shared" si="17"/>
        <v>62</v>
      </c>
      <c r="AL18" s="1">
        <f t="shared" si="17"/>
        <v>65</v>
      </c>
      <c r="AM18" s="1">
        <f t="shared" si="17"/>
        <v>67</v>
      </c>
      <c r="AN18" s="1">
        <f t="shared" si="17"/>
        <v>68</v>
      </c>
      <c r="AO18" s="1">
        <f t="shared" si="17"/>
        <v>71</v>
      </c>
      <c r="AP18" s="1">
        <f t="shared" si="17"/>
        <v>77</v>
      </c>
      <c r="AR18" s="1">
        <f>COUNTIFS('onmogelijke score 2 pijlen'!score2pijlen,A18)</f>
        <v>16</v>
      </c>
      <c r="AS18" s="1">
        <f>COUNTIFS('onmogelijke score 2 pijlen'!score2pijlen,AP18)</f>
        <v>9</v>
      </c>
    </row>
    <row r="19">
      <c r="A19" s="1">
        <v>18.0</v>
      </c>
      <c r="B19" s="1">
        <f t="shared" ref="B19:AP19" si="18">$A19+B$1</f>
        <v>19</v>
      </c>
      <c r="C19" s="1">
        <f t="shared" si="18"/>
        <v>20</v>
      </c>
      <c r="D19" s="1">
        <f t="shared" si="18"/>
        <v>21</v>
      </c>
      <c r="E19" s="1">
        <f t="shared" si="18"/>
        <v>22</v>
      </c>
      <c r="F19" s="1">
        <f t="shared" si="18"/>
        <v>23</v>
      </c>
      <c r="G19" s="1">
        <f t="shared" si="18"/>
        <v>24</v>
      </c>
      <c r="H19" s="1">
        <f t="shared" si="18"/>
        <v>25</v>
      </c>
      <c r="I19" s="1">
        <f t="shared" si="18"/>
        <v>26</v>
      </c>
      <c r="J19" s="1">
        <f t="shared" si="18"/>
        <v>27</v>
      </c>
      <c r="K19" s="1">
        <f t="shared" si="18"/>
        <v>28</v>
      </c>
      <c r="L19" s="1">
        <f t="shared" si="18"/>
        <v>29</v>
      </c>
      <c r="M19" s="1">
        <f t="shared" si="18"/>
        <v>30</v>
      </c>
      <c r="N19" s="1">
        <f t="shared" si="18"/>
        <v>31</v>
      </c>
      <c r="O19" s="1">
        <f t="shared" si="18"/>
        <v>32</v>
      </c>
      <c r="P19" s="1">
        <f t="shared" si="18"/>
        <v>33</v>
      </c>
      <c r="Q19" s="1">
        <f t="shared" si="18"/>
        <v>34</v>
      </c>
      <c r="R19" s="1">
        <f t="shared" si="18"/>
        <v>35</v>
      </c>
      <c r="S19" s="1">
        <f t="shared" si="18"/>
        <v>36</v>
      </c>
      <c r="T19" s="1">
        <f t="shared" si="18"/>
        <v>37</v>
      </c>
      <c r="U19" s="1">
        <f t="shared" si="18"/>
        <v>38</v>
      </c>
      <c r="V19" s="1">
        <f t="shared" si="18"/>
        <v>39</v>
      </c>
      <c r="W19" s="1">
        <f t="shared" si="18"/>
        <v>40</v>
      </c>
      <c r="X19" s="1">
        <f t="shared" si="18"/>
        <v>42</v>
      </c>
      <c r="Y19" s="1">
        <f t="shared" si="18"/>
        <v>43</v>
      </c>
      <c r="Z19" s="1">
        <f t="shared" si="18"/>
        <v>44</v>
      </c>
      <c r="AA19" s="1">
        <f t="shared" si="18"/>
        <v>46</v>
      </c>
      <c r="AB19" s="1">
        <f t="shared" si="18"/>
        <v>48</v>
      </c>
      <c r="AC19" s="1">
        <f t="shared" si="18"/>
        <v>50</v>
      </c>
      <c r="AD19" s="1">
        <f t="shared" si="18"/>
        <v>51</v>
      </c>
      <c r="AE19" s="1">
        <f t="shared" si="18"/>
        <v>52</v>
      </c>
      <c r="AF19" s="1">
        <f t="shared" si="18"/>
        <v>54</v>
      </c>
      <c r="AG19" s="1">
        <f t="shared" si="18"/>
        <v>56</v>
      </c>
      <c r="AH19" s="1">
        <f t="shared" si="18"/>
        <v>57</v>
      </c>
      <c r="AI19" s="1">
        <f t="shared" si="18"/>
        <v>58</v>
      </c>
      <c r="AJ19" s="1">
        <f t="shared" si="18"/>
        <v>60</v>
      </c>
      <c r="AK19" s="1">
        <f t="shared" si="18"/>
        <v>63</v>
      </c>
      <c r="AL19" s="1">
        <f t="shared" si="18"/>
        <v>66</v>
      </c>
      <c r="AM19" s="1">
        <f t="shared" si="18"/>
        <v>68</v>
      </c>
      <c r="AN19" s="1">
        <f t="shared" si="18"/>
        <v>69</v>
      </c>
      <c r="AO19" s="1">
        <f t="shared" si="18"/>
        <v>72</v>
      </c>
      <c r="AP19" s="1">
        <f t="shared" si="18"/>
        <v>78</v>
      </c>
      <c r="AR19" s="1">
        <f>COUNTIFS('onmogelijke score 2 pijlen'!score2pijlen,A19)</f>
        <v>17</v>
      </c>
      <c r="AS19" s="1">
        <f>COUNTIFS('onmogelijke score 2 pijlen'!score2pijlen,AP19)</f>
        <v>16</v>
      </c>
    </row>
    <row r="20">
      <c r="A20" s="1">
        <v>19.0</v>
      </c>
      <c r="B20" s="1">
        <f t="shared" ref="B20:AP20" si="19">$A20+B$1</f>
        <v>20</v>
      </c>
      <c r="C20" s="1">
        <f t="shared" si="19"/>
        <v>21</v>
      </c>
      <c r="D20" s="1">
        <f t="shared" si="19"/>
        <v>22</v>
      </c>
      <c r="E20" s="1">
        <f t="shared" si="19"/>
        <v>23</v>
      </c>
      <c r="F20" s="1">
        <f t="shared" si="19"/>
        <v>24</v>
      </c>
      <c r="G20" s="1">
        <f t="shared" si="19"/>
        <v>25</v>
      </c>
      <c r="H20" s="1">
        <f t="shared" si="19"/>
        <v>26</v>
      </c>
      <c r="I20" s="1">
        <f t="shared" si="19"/>
        <v>27</v>
      </c>
      <c r="J20" s="1">
        <f t="shared" si="19"/>
        <v>28</v>
      </c>
      <c r="K20" s="1">
        <f t="shared" si="19"/>
        <v>29</v>
      </c>
      <c r="L20" s="1">
        <f t="shared" si="19"/>
        <v>30</v>
      </c>
      <c r="M20" s="1">
        <f t="shared" si="19"/>
        <v>31</v>
      </c>
      <c r="N20" s="1">
        <f t="shared" si="19"/>
        <v>32</v>
      </c>
      <c r="O20" s="1">
        <f t="shared" si="19"/>
        <v>33</v>
      </c>
      <c r="P20" s="1">
        <f t="shared" si="19"/>
        <v>34</v>
      </c>
      <c r="Q20" s="1">
        <f t="shared" si="19"/>
        <v>35</v>
      </c>
      <c r="R20" s="1">
        <f t="shared" si="19"/>
        <v>36</v>
      </c>
      <c r="S20" s="1">
        <f t="shared" si="19"/>
        <v>37</v>
      </c>
      <c r="T20" s="1">
        <f t="shared" si="19"/>
        <v>38</v>
      </c>
      <c r="U20" s="1">
        <f t="shared" si="19"/>
        <v>39</v>
      </c>
      <c r="V20" s="1">
        <f t="shared" si="19"/>
        <v>40</v>
      </c>
      <c r="W20" s="1">
        <f t="shared" si="19"/>
        <v>41</v>
      </c>
      <c r="X20" s="1">
        <f t="shared" si="19"/>
        <v>43</v>
      </c>
      <c r="Y20" s="1">
        <f t="shared" si="19"/>
        <v>44</v>
      </c>
      <c r="Z20" s="1">
        <f t="shared" si="19"/>
        <v>45</v>
      </c>
      <c r="AA20" s="1">
        <f t="shared" si="19"/>
        <v>47</v>
      </c>
      <c r="AB20" s="1">
        <f t="shared" si="19"/>
        <v>49</v>
      </c>
      <c r="AC20" s="1">
        <f t="shared" si="19"/>
        <v>51</v>
      </c>
      <c r="AD20" s="1">
        <f t="shared" si="19"/>
        <v>52</v>
      </c>
      <c r="AE20" s="1">
        <f t="shared" si="19"/>
        <v>53</v>
      </c>
      <c r="AF20" s="1">
        <f t="shared" si="19"/>
        <v>55</v>
      </c>
      <c r="AG20" s="1">
        <f t="shared" si="19"/>
        <v>57</v>
      </c>
      <c r="AH20" s="1">
        <f t="shared" si="19"/>
        <v>58</v>
      </c>
      <c r="AI20" s="1">
        <f t="shared" si="19"/>
        <v>59</v>
      </c>
      <c r="AJ20" s="1">
        <f t="shared" si="19"/>
        <v>61</v>
      </c>
      <c r="AK20" s="1">
        <f t="shared" si="19"/>
        <v>64</v>
      </c>
      <c r="AL20" s="1">
        <f t="shared" si="19"/>
        <v>67</v>
      </c>
      <c r="AM20" s="1">
        <f t="shared" si="19"/>
        <v>69</v>
      </c>
      <c r="AN20" s="1">
        <f t="shared" si="19"/>
        <v>70</v>
      </c>
      <c r="AO20" s="1">
        <f t="shared" si="19"/>
        <v>73</v>
      </c>
      <c r="AP20" s="1">
        <f t="shared" si="19"/>
        <v>79</v>
      </c>
      <c r="AR20" s="1">
        <f>COUNTIFS('onmogelijke score 2 pijlen'!score2pijlen,A20)</f>
        <v>18</v>
      </c>
      <c r="AS20" s="1">
        <f>COUNTIFS('onmogelijke score 2 pijlen'!score2pijlen,AP20)</f>
        <v>11</v>
      </c>
    </row>
    <row r="21" ht="15.75" customHeight="1">
      <c r="A21" s="1">
        <v>20.0</v>
      </c>
      <c r="B21" s="1">
        <f t="shared" ref="B21:AP21" si="20">$A21+B$1</f>
        <v>21</v>
      </c>
      <c r="C21" s="1">
        <f t="shared" si="20"/>
        <v>22</v>
      </c>
      <c r="D21" s="1">
        <f t="shared" si="20"/>
        <v>23</v>
      </c>
      <c r="E21" s="1">
        <f t="shared" si="20"/>
        <v>24</v>
      </c>
      <c r="F21" s="1">
        <f t="shared" si="20"/>
        <v>25</v>
      </c>
      <c r="G21" s="1">
        <f t="shared" si="20"/>
        <v>26</v>
      </c>
      <c r="H21" s="1">
        <f t="shared" si="20"/>
        <v>27</v>
      </c>
      <c r="I21" s="1">
        <f t="shared" si="20"/>
        <v>28</v>
      </c>
      <c r="J21" s="1">
        <f t="shared" si="20"/>
        <v>29</v>
      </c>
      <c r="K21" s="1">
        <f t="shared" si="20"/>
        <v>30</v>
      </c>
      <c r="L21" s="1">
        <f t="shared" si="20"/>
        <v>31</v>
      </c>
      <c r="M21" s="1">
        <f t="shared" si="20"/>
        <v>32</v>
      </c>
      <c r="N21" s="1">
        <f t="shared" si="20"/>
        <v>33</v>
      </c>
      <c r="O21" s="1">
        <f t="shared" si="20"/>
        <v>34</v>
      </c>
      <c r="P21" s="1">
        <f t="shared" si="20"/>
        <v>35</v>
      </c>
      <c r="Q21" s="1">
        <f t="shared" si="20"/>
        <v>36</v>
      </c>
      <c r="R21" s="1">
        <f t="shared" si="20"/>
        <v>37</v>
      </c>
      <c r="S21" s="1">
        <f t="shared" si="20"/>
        <v>38</v>
      </c>
      <c r="T21" s="1">
        <f t="shared" si="20"/>
        <v>39</v>
      </c>
      <c r="U21" s="1">
        <f t="shared" si="20"/>
        <v>40</v>
      </c>
      <c r="V21" s="1">
        <f t="shared" si="20"/>
        <v>41</v>
      </c>
      <c r="W21" s="1">
        <f t="shared" si="20"/>
        <v>42</v>
      </c>
      <c r="X21" s="1">
        <f t="shared" si="20"/>
        <v>44</v>
      </c>
      <c r="Y21" s="1">
        <f t="shared" si="20"/>
        <v>45</v>
      </c>
      <c r="Z21" s="1">
        <f t="shared" si="20"/>
        <v>46</v>
      </c>
      <c r="AA21" s="1">
        <f t="shared" si="20"/>
        <v>48</v>
      </c>
      <c r="AB21" s="1">
        <f t="shared" si="20"/>
        <v>50</v>
      </c>
      <c r="AC21" s="1">
        <f t="shared" si="20"/>
        <v>52</v>
      </c>
      <c r="AD21" s="1">
        <f t="shared" si="20"/>
        <v>53</v>
      </c>
      <c r="AE21" s="1">
        <f t="shared" si="20"/>
        <v>54</v>
      </c>
      <c r="AF21" s="1">
        <f t="shared" si="20"/>
        <v>56</v>
      </c>
      <c r="AG21" s="1">
        <f t="shared" si="20"/>
        <v>58</v>
      </c>
      <c r="AH21" s="1">
        <f t="shared" si="20"/>
        <v>59</v>
      </c>
      <c r="AI21" s="1">
        <f t="shared" si="20"/>
        <v>60</v>
      </c>
      <c r="AJ21" s="1">
        <f t="shared" si="20"/>
        <v>62</v>
      </c>
      <c r="AK21" s="1">
        <f t="shared" si="20"/>
        <v>65</v>
      </c>
      <c r="AL21" s="1">
        <f t="shared" si="20"/>
        <v>68</v>
      </c>
      <c r="AM21" s="1">
        <f t="shared" si="20"/>
        <v>70</v>
      </c>
      <c r="AN21" s="1">
        <f t="shared" si="20"/>
        <v>71</v>
      </c>
      <c r="AO21" s="1">
        <f t="shared" si="20"/>
        <v>74</v>
      </c>
      <c r="AP21" s="1">
        <f t="shared" si="20"/>
        <v>80</v>
      </c>
      <c r="AR21" s="1">
        <f>COUNTIFS('onmogelijke score 2 pijlen'!score2pijlen,A21)</f>
        <v>19</v>
      </c>
      <c r="AS21" s="1">
        <f>COUNTIFS('onmogelijke score 2 pijlen'!score2pijlen,AP21)</f>
        <v>11</v>
      </c>
    </row>
    <row r="22" ht="15.75" customHeight="1">
      <c r="A22" s="1">
        <v>21.0</v>
      </c>
      <c r="B22" s="1">
        <f t="shared" ref="B22:AP22" si="21">$A22+B$1</f>
        <v>22</v>
      </c>
      <c r="C22" s="1">
        <f t="shared" si="21"/>
        <v>23</v>
      </c>
      <c r="D22" s="1">
        <f t="shared" si="21"/>
        <v>24</v>
      </c>
      <c r="E22" s="1">
        <f t="shared" si="21"/>
        <v>25</v>
      </c>
      <c r="F22" s="1">
        <f t="shared" si="21"/>
        <v>26</v>
      </c>
      <c r="G22" s="1">
        <f t="shared" si="21"/>
        <v>27</v>
      </c>
      <c r="H22" s="1">
        <f t="shared" si="21"/>
        <v>28</v>
      </c>
      <c r="I22" s="1">
        <f t="shared" si="21"/>
        <v>29</v>
      </c>
      <c r="J22" s="1">
        <f t="shared" si="21"/>
        <v>30</v>
      </c>
      <c r="K22" s="1">
        <f t="shared" si="21"/>
        <v>31</v>
      </c>
      <c r="L22" s="1">
        <f t="shared" si="21"/>
        <v>32</v>
      </c>
      <c r="M22" s="1">
        <f t="shared" si="21"/>
        <v>33</v>
      </c>
      <c r="N22" s="1">
        <f t="shared" si="21"/>
        <v>34</v>
      </c>
      <c r="O22" s="1">
        <f t="shared" si="21"/>
        <v>35</v>
      </c>
      <c r="P22" s="1">
        <f t="shared" si="21"/>
        <v>36</v>
      </c>
      <c r="Q22" s="1">
        <f t="shared" si="21"/>
        <v>37</v>
      </c>
      <c r="R22" s="1">
        <f t="shared" si="21"/>
        <v>38</v>
      </c>
      <c r="S22" s="1">
        <f t="shared" si="21"/>
        <v>39</v>
      </c>
      <c r="T22" s="1">
        <f t="shared" si="21"/>
        <v>40</v>
      </c>
      <c r="U22" s="1">
        <f t="shared" si="21"/>
        <v>41</v>
      </c>
      <c r="V22" s="1">
        <f t="shared" si="21"/>
        <v>42</v>
      </c>
      <c r="W22" s="1">
        <f t="shared" si="21"/>
        <v>43</v>
      </c>
      <c r="X22" s="1">
        <f t="shared" si="21"/>
        <v>45</v>
      </c>
      <c r="Y22" s="1">
        <f t="shared" si="21"/>
        <v>46</v>
      </c>
      <c r="Z22" s="1">
        <f t="shared" si="21"/>
        <v>47</v>
      </c>
      <c r="AA22" s="1">
        <f t="shared" si="21"/>
        <v>49</v>
      </c>
      <c r="AB22" s="1">
        <f t="shared" si="21"/>
        <v>51</v>
      </c>
      <c r="AC22" s="1">
        <f t="shared" si="21"/>
        <v>53</v>
      </c>
      <c r="AD22" s="1">
        <f t="shared" si="21"/>
        <v>54</v>
      </c>
      <c r="AE22" s="1">
        <f t="shared" si="21"/>
        <v>55</v>
      </c>
      <c r="AF22" s="1">
        <f t="shared" si="21"/>
        <v>57</v>
      </c>
      <c r="AG22" s="1">
        <f t="shared" si="21"/>
        <v>59</v>
      </c>
      <c r="AH22" s="1">
        <f t="shared" si="21"/>
        <v>60</v>
      </c>
      <c r="AI22" s="1">
        <f t="shared" si="21"/>
        <v>61</v>
      </c>
      <c r="AJ22" s="1">
        <f t="shared" si="21"/>
        <v>63</v>
      </c>
      <c r="AK22" s="1">
        <f t="shared" si="21"/>
        <v>66</v>
      </c>
      <c r="AL22" s="1">
        <f t="shared" si="21"/>
        <v>69</v>
      </c>
      <c r="AM22" s="1">
        <f t="shared" si="21"/>
        <v>71</v>
      </c>
      <c r="AN22" s="1">
        <f t="shared" si="21"/>
        <v>72</v>
      </c>
      <c r="AO22" s="1">
        <f t="shared" si="21"/>
        <v>75</v>
      </c>
      <c r="AP22" s="1">
        <f t="shared" si="21"/>
        <v>81</v>
      </c>
      <c r="AR22" s="1">
        <f>COUNTIFS('onmogelijke score 2 pijlen'!score2pijlen,A22)</f>
        <v>20</v>
      </c>
      <c r="AS22" s="1">
        <f>COUNTIFS('onmogelijke score 2 pijlen'!score2pijlen,AP22)</f>
        <v>11</v>
      </c>
    </row>
    <row r="23" ht="15.75" customHeight="1">
      <c r="A23" s="1">
        <v>22.0</v>
      </c>
      <c r="B23" s="1">
        <f t="shared" ref="B23:AP23" si="22">$A23+B$1</f>
        <v>23</v>
      </c>
      <c r="C23" s="1">
        <f t="shared" si="22"/>
        <v>24</v>
      </c>
      <c r="D23" s="1">
        <f t="shared" si="22"/>
        <v>25</v>
      </c>
      <c r="E23" s="1">
        <f t="shared" si="22"/>
        <v>26</v>
      </c>
      <c r="F23" s="1">
        <f t="shared" si="22"/>
        <v>27</v>
      </c>
      <c r="G23" s="1">
        <f t="shared" si="22"/>
        <v>28</v>
      </c>
      <c r="H23" s="1">
        <f t="shared" si="22"/>
        <v>29</v>
      </c>
      <c r="I23" s="1">
        <f t="shared" si="22"/>
        <v>30</v>
      </c>
      <c r="J23" s="1">
        <f t="shared" si="22"/>
        <v>31</v>
      </c>
      <c r="K23" s="1">
        <f t="shared" si="22"/>
        <v>32</v>
      </c>
      <c r="L23" s="1">
        <f t="shared" si="22"/>
        <v>33</v>
      </c>
      <c r="M23" s="1">
        <f t="shared" si="22"/>
        <v>34</v>
      </c>
      <c r="N23" s="1">
        <f t="shared" si="22"/>
        <v>35</v>
      </c>
      <c r="O23" s="1">
        <f t="shared" si="22"/>
        <v>36</v>
      </c>
      <c r="P23" s="1">
        <f t="shared" si="22"/>
        <v>37</v>
      </c>
      <c r="Q23" s="1">
        <f t="shared" si="22"/>
        <v>38</v>
      </c>
      <c r="R23" s="1">
        <f t="shared" si="22"/>
        <v>39</v>
      </c>
      <c r="S23" s="1">
        <f t="shared" si="22"/>
        <v>40</v>
      </c>
      <c r="T23" s="1">
        <f t="shared" si="22"/>
        <v>41</v>
      </c>
      <c r="U23" s="1">
        <f t="shared" si="22"/>
        <v>42</v>
      </c>
      <c r="V23" s="1">
        <f t="shared" si="22"/>
        <v>43</v>
      </c>
      <c r="W23" s="1">
        <f t="shared" si="22"/>
        <v>44</v>
      </c>
      <c r="X23" s="1">
        <f t="shared" si="22"/>
        <v>46</v>
      </c>
      <c r="Y23" s="1">
        <f t="shared" si="22"/>
        <v>47</v>
      </c>
      <c r="Z23" s="1">
        <f t="shared" si="22"/>
        <v>48</v>
      </c>
      <c r="AA23" s="1">
        <f t="shared" si="22"/>
        <v>50</v>
      </c>
      <c r="AB23" s="1">
        <f t="shared" si="22"/>
        <v>52</v>
      </c>
      <c r="AC23" s="1">
        <f t="shared" si="22"/>
        <v>54</v>
      </c>
      <c r="AD23" s="1">
        <f t="shared" si="22"/>
        <v>55</v>
      </c>
      <c r="AE23" s="1">
        <f t="shared" si="22"/>
        <v>56</v>
      </c>
      <c r="AF23" s="1">
        <f t="shared" si="22"/>
        <v>58</v>
      </c>
      <c r="AG23" s="1">
        <f t="shared" si="22"/>
        <v>60</v>
      </c>
      <c r="AH23" s="1">
        <f t="shared" si="22"/>
        <v>61</v>
      </c>
      <c r="AI23" s="1">
        <f t="shared" si="22"/>
        <v>62</v>
      </c>
      <c r="AJ23" s="1">
        <f t="shared" si="22"/>
        <v>64</v>
      </c>
      <c r="AK23" s="1">
        <f t="shared" si="22"/>
        <v>67</v>
      </c>
      <c r="AL23" s="1">
        <f t="shared" si="22"/>
        <v>70</v>
      </c>
      <c r="AM23" s="1">
        <f t="shared" si="22"/>
        <v>72</v>
      </c>
      <c r="AN23" s="1">
        <f t="shared" si="22"/>
        <v>73</v>
      </c>
      <c r="AO23" s="1">
        <f t="shared" si="22"/>
        <v>76</v>
      </c>
      <c r="AP23" s="1">
        <f t="shared" si="22"/>
        <v>82</v>
      </c>
      <c r="AR23" s="1">
        <f>COUNTIFS('onmogelijke score 2 pijlen'!score2pijlen,A23)</f>
        <v>21</v>
      </c>
      <c r="AS23" s="1">
        <f>COUNTIFS('onmogelijke score 2 pijlen'!score2pijlen,AP23)</f>
        <v>11</v>
      </c>
    </row>
    <row r="24" ht="15.75" customHeight="1">
      <c r="A24" s="1">
        <v>24.0</v>
      </c>
      <c r="B24" s="1">
        <f t="shared" ref="B24:AP24" si="23">$A24+B$1</f>
        <v>25</v>
      </c>
      <c r="C24" s="1">
        <f t="shared" si="23"/>
        <v>26</v>
      </c>
      <c r="D24" s="1">
        <f t="shared" si="23"/>
        <v>27</v>
      </c>
      <c r="E24" s="1">
        <f t="shared" si="23"/>
        <v>28</v>
      </c>
      <c r="F24" s="1">
        <f t="shared" si="23"/>
        <v>29</v>
      </c>
      <c r="G24" s="1">
        <f t="shared" si="23"/>
        <v>30</v>
      </c>
      <c r="H24" s="1">
        <f t="shared" si="23"/>
        <v>31</v>
      </c>
      <c r="I24" s="1">
        <f t="shared" si="23"/>
        <v>32</v>
      </c>
      <c r="J24" s="1">
        <f t="shared" si="23"/>
        <v>33</v>
      </c>
      <c r="K24" s="1">
        <f t="shared" si="23"/>
        <v>34</v>
      </c>
      <c r="L24" s="1">
        <f t="shared" si="23"/>
        <v>35</v>
      </c>
      <c r="M24" s="1">
        <f t="shared" si="23"/>
        <v>36</v>
      </c>
      <c r="N24" s="1">
        <f t="shared" si="23"/>
        <v>37</v>
      </c>
      <c r="O24" s="1">
        <f t="shared" si="23"/>
        <v>38</v>
      </c>
      <c r="P24" s="1">
        <f t="shared" si="23"/>
        <v>39</v>
      </c>
      <c r="Q24" s="1">
        <f t="shared" si="23"/>
        <v>40</v>
      </c>
      <c r="R24" s="1">
        <f t="shared" si="23"/>
        <v>41</v>
      </c>
      <c r="S24" s="1">
        <f t="shared" si="23"/>
        <v>42</v>
      </c>
      <c r="T24" s="1">
        <f t="shared" si="23"/>
        <v>43</v>
      </c>
      <c r="U24" s="1">
        <f t="shared" si="23"/>
        <v>44</v>
      </c>
      <c r="V24" s="1">
        <f t="shared" si="23"/>
        <v>45</v>
      </c>
      <c r="W24" s="1">
        <f t="shared" si="23"/>
        <v>46</v>
      </c>
      <c r="X24" s="1">
        <f t="shared" si="23"/>
        <v>48</v>
      </c>
      <c r="Y24" s="1">
        <f t="shared" si="23"/>
        <v>49</v>
      </c>
      <c r="Z24" s="1">
        <f t="shared" si="23"/>
        <v>50</v>
      </c>
      <c r="AA24" s="1">
        <f t="shared" si="23"/>
        <v>52</v>
      </c>
      <c r="AB24" s="1">
        <f t="shared" si="23"/>
        <v>54</v>
      </c>
      <c r="AC24" s="1">
        <f t="shared" si="23"/>
        <v>56</v>
      </c>
      <c r="AD24" s="1">
        <f t="shared" si="23"/>
        <v>57</v>
      </c>
      <c r="AE24" s="1">
        <f t="shared" si="23"/>
        <v>58</v>
      </c>
      <c r="AF24" s="1">
        <f t="shared" si="23"/>
        <v>60</v>
      </c>
      <c r="AG24" s="1">
        <f t="shared" si="23"/>
        <v>62</v>
      </c>
      <c r="AH24" s="1">
        <f t="shared" si="23"/>
        <v>63</v>
      </c>
      <c r="AI24" s="1">
        <f t="shared" si="23"/>
        <v>64</v>
      </c>
      <c r="AJ24" s="1">
        <f t="shared" si="23"/>
        <v>66</v>
      </c>
      <c r="AK24" s="1">
        <f t="shared" si="23"/>
        <v>69</v>
      </c>
      <c r="AL24" s="1">
        <f t="shared" si="23"/>
        <v>72</v>
      </c>
      <c r="AM24" s="1">
        <f t="shared" si="23"/>
        <v>74</v>
      </c>
      <c r="AN24" s="1">
        <f t="shared" si="23"/>
        <v>75</v>
      </c>
      <c r="AO24" s="1">
        <f t="shared" si="23"/>
        <v>78</v>
      </c>
      <c r="AP24" s="1">
        <f t="shared" si="23"/>
        <v>84</v>
      </c>
      <c r="AR24" s="1">
        <f>COUNTIFS('onmogelijke score 2 pijlen'!score2pijlen,A24)</f>
        <v>21</v>
      </c>
      <c r="AS24" s="1">
        <f>COUNTIFS('onmogelijke score 2 pijlen'!score2pijlen,AP24)</f>
        <v>13</v>
      </c>
    </row>
    <row r="25" ht="15.75" customHeight="1">
      <c r="A25" s="1">
        <v>25.0</v>
      </c>
      <c r="B25" s="1">
        <f t="shared" ref="B25:AP25" si="24">$A25+B$1</f>
        <v>26</v>
      </c>
      <c r="C25" s="1">
        <f t="shared" si="24"/>
        <v>27</v>
      </c>
      <c r="D25" s="1">
        <f t="shared" si="24"/>
        <v>28</v>
      </c>
      <c r="E25" s="1">
        <f t="shared" si="24"/>
        <v>29</v>
      </c>
      <c r="F25" s="1">
        <f t="shared" si="24"/>
        <v>30</v>
      </c>
      <c r="G25" s="1">
        <f t="shared" si="24"/>
        <v>31</v>
      </c>
      <c r="H25" s="1">
        <f t="shared" si="24"/>
        <v>32</v>
      </c>
      <c r="I25" s="1">
        <f t="shared" si="24"/>
        <v>33</v>
      </c>
      <c r="J25" s="1">
        <f t="shared" si="24"/>
        <v>34</v>
      </c>
      <c r="K25" s="1">
        <f t="shared" si="24"/>
        <v>35</v>
      </c>
      <c r="L25" s="1">
        <f t="shared" si="24"/>
        <v>36</v>
      </c>
      <c r="M25" s="1">
        <f t="shared" si="24"/>
        <v>37</v>
      </c>
      <c r="N25" s="1">
        <f t="shared" si="24"/>
        <v>38</v>
      </c>
      <c r="O25" s="1">
        <f t="shared" si="24"/>
        <v>39</v>
      </c>
      <c r="P25" s="1">
        <f t="shared" si="24"/>
        <v>40</v>
      </c>
      <c r="Q25" s="1">
        <f t="shared" si="24"/>
        <v>41</v>
      </c>
      <c r="R25" s="1">
        <f t="shared" si="24"/>
        <v>42</v>
      </c>
      <c r="S25" s="1">
        <f t="shared" si="24"/>
        <v>43</v>
      </c>
      <c r="T25" s="1">
        <f t="shared" si="24"/>
        <v>44</v>
      </c>
      <c r="U25" s="1">
        <f t="shared" si="24"/>
        <v>45</v>
      </c>
      <c r="V25" s="1">
        <f t="shared" si="24"/>
        <v>46</v>
      </c>
      <c r="W25" s="1">
        <f t="shared" si="24"/>
        <v>47</v>
      </c>
      <c r="X25" s="1">
        <f t="shared" si="24"/>
        <v>49</v>
      </c>
      <c r="Y25" s="1">
        <f t="shared" si="24"/>
        <v>50</v>
      </c>
      <c r="Z25" s="1">
        <f t="shared" si="24"/>
        <v>51</v>
      </c>
      <c r="AA25" s="1">
        <f t="shared" si="24"/>
        <v>53</v>
      </c>
      <c r="AB25" s="1">
        <f t="shared" si="24"/>
        <v>55</v>
      </c>
      <c r="AC25" s="1">
        <f t="shared" si="24"/>
        <v>57</v>
      </c>
      <c r="AD25" s="1">
        <f t="shared" si="24"/>
        <v>58</v>
      </c>
      <c r="AE25" s="1">
        <f t="shared" si="24"/>
        <v>59</v>
      </c>
      <c r="AF25" s="1">
        <f t="shared" si="24"/>
        <v>61</v>
      </c>
      <c r="AG25" s="1">
        <f t="shared" si="24"/>
        <v>63</v>
      </c>
      <c r="AH25" s="1">
        <f t="shared" si="24"/>
        <v>64</v>
      </c>
      <c r="AI25" s="1">
        <f t="shared" si="24"/>
        <v>65</v>
      </c>
      <c r="AJ25" s="1">
        <f t="shared" si="24"/>
        <v>67</v>
      </c>
      <c r="AK25" s="1">
        <f t="shared" si="24"/>
        <v>70</v>
      </c>
      <c r="AL25" s="1">
        <f t="shared" si="24"/>
        <v>73</v>
      </c>
      <c r="AM25" s="1">
        <f t="shared" si="24"/>
        <v>75</v>
      </c>
      <c r="AN25" s="1">
        <f t="shared" si="24"/>
        <v>76</v>
      </c>
      <c r="AO25" s="1">
        <f t="shared" si="24"/>
        <v>79</v>
      </c>
      <c r="AP25" s="1">
        <f t="shared" si="24"/>
        <v>85</v>
      </c>
      <c r="AR25" s="1">
        <f>COUNTIFS('onmogelijke score 2 pijlen'!score2pijlen,A25)</f>
        <v>22</v>
      </c>
      <c r="AS25" s="1">
        <f>COUNTIFS('onmogelijke score 2 pijlen'!score2pijlen,AP25)</f>
        <v>7</v>
      </c>
    </row>
    <row r="26" ht="15.75" customHeight="1">
      <c r="A26" s="1">
        <v>26.0</v>
      </c>
      <c r="B26" s="1">
        <f t="shared" ref="B26:AP26" si="25">$A26+B$1</f>
        <v>27</v>
      </c>
      <c r="C26" s="1">
        <f t="shared" si="25"/>
        <v>28</v>
      </c>
      <c r="D26" s="1">
        <f t="shared" si="25"/>
        <v>29</v>
      </c>
      <c r="E26" s="1">
        <f t="shared" si="25"/>
        <v>30</v>
      </c>
      <c r="F26" s="1">
        <f t="shared" si="25"/>
        <v>31</v>
      </c>
      <c r="G26" s="1">
        <f t="shared" si="25"/>
        <v>32</v>
      </c>
      <c r="H26" s="1">
        <f t="shared" si="25"/>
        <v>33</v>
      </c>
      <c r="I26" s="1">
        <f t="shared" si="25"/>
        <v>34</v>
      </c>
      <c r="J26" s="1">
        <f t="shared" si="25"/>
        <v>35</v>
      </c>
      <c r="K26" s="1">
        <f t="shared" si="25"/>
        <v>36</v>
      </c>
      <c r="L26" s="1">
        <f t="shared" si="25"/>
        <v>37</v>
      </c>
      <c r="M26" s="1">
        <f t="shared" si="25"/>
        <v>38</v>
      </c>
      <c r="N26" s="1">
        <f t="shared" si="25"/>
        <v>39</v>
      </c>
      <c r="O26" s="1">
        <f t="shared" si="25"/>
        <v>40</v>
      </c>
      <c r="P26" s="1">
        <f t="shared" si="25"/>
        <v>41</v>
      </c>
      <c r="Q26" s="1">
        <f t="shared" si="25"/>
        <v>42</v>
      </c>
      <c r="R26" s="1">
        <f t="shared" si="25"/>
        <v>43</v>
      </c>
      <c r="S26" s="1">
        <f t="shared" si="25"/>
        <v>44</v>
      </c>
      <c r="T26" s="1">
        <f t="shared" si="25"/>
        <v>45</v>
      </c>
      <c r="U26" s="1">
        <f t="shared" si="25"/>
        <v>46</v>
      </c>
      <c r="V26" s="1">
        <f t="shared" si="25"/>
        <v>47</v>
      </c>
      <c r="W26" s="1">
        <f t="shared" si="25"/>
        <v>48</v>
      </c>
      <c r="X26" s="1">
        <f t="shared" si="25"/>
        <v>50</v>
      </c>
      <c r="Y26" s="1">
        <f t="shared" si="25"/>
        <v>51</v>
      </c>
      <c r="Z26" s="1">
        <f t="shared" si="25"/>
        <v>52</v>
      </c>
      <c r="AA26" s="1">
        <f t="shared" si="25"/>
        <v>54</v>
      </c>
      <c r="AB26" s="1">
        <f t="shared" si="25"/>
        <v>56</v>
      </c>
      <c r="AC26" s="1">
        <f t="shared" si="25"/>
        <v>58</v>
      </c>
      <c r="AD26" s="1">
        <f t="shared" si="25"/>
        <v>59</v>
      </c>
      <c r="AE26" s="1">
        <f t="shared" si="25"/>
        <v>60</v>
      </c>
      <c r="AF26" s="1">
        <f t="shared" si="25"/>
        <v>62</v>
      </c>
      <c r="AG26" s="1">
        <f t="shared" si="25"/>
        <v>64</v>
      </c>
      <c r="AH26" s="1">
        <f t="shared" si="25"/>
        <v>65</v>
      </c>
      <c r="AI26" s="1">
        <f t="shared" si="25"/>
        <v>66</v>
      </c>
      <c r="AJ26" s="1">
        <f t="shared" si="25"/>
        <v>68</v>
      </c>
      <c r="AK26" s="1">
        <f t="shared" si="25"/>
        <v>71</v>
      </c>
      <c r="AL26" s="1">
        <f t="shared" si="25"/>
        <v>74</v>
      </c>
      <c r="AM26" s="1">
        <f t="shared" si="25"/>
        <v>76</v>
      </c>
      <c r="AN26" s="1">
        <f t="shared" si="25"/>
        <v>77</v>
      </c>
      <c r="AO26" s="1">
        <f t="shared" si="25"/>
        <v>80</v>
      </c>
      <c r="AP26" s="1">
        <f t="shared" si="25"/>
        <v>86</v>
      </c>
      <c r="AR26" s="1">
        <f>COUNTIFS('onmogelijke score 2 pijlen'!score2pijlen,A26)</f>
        <v>23</v>
      </c>
      <c r="AS26" s="1">
        <f>COUNTIFS('onmogelijke score 2 pijlen'!score2pijlen,AP26)</f>
        <v>8</v>
      </c>
    </row>
    <row r="27" ht="15.75" customHeight="1">
      <c r="A27" s="1">
        <v>28.0</v>
      </c>
      <c r="B27" s="1">
        <f t="shared" ref="B27:AP27" si="26">$A27+B$1</f>
        <v>29</v>
      </c>
      <c r="C27" s="1">
        <f t="shared" si="26"/>
        <v>30</v>
      </c>
      <c r="D27" s="1">
        <f t="shared" si="26"/>
        <v>31</v>
      </c>
      <c r="E27" s="1">
        <f t="shared" si="26"/>
        <v>32</v>
      </c>
      <c r="F27" s="1">
        <f t="shared" si="26"/>
        <v>33</v>
      </c>
      <c r="G27" s="1">
        <f t="shared" si="26"/>
        <v>34</v>
      </c>
      <c r="H27" s="1">
        <f t="shared" si="26"/>
        <v>35</v>
      </c>
      <c r="I27" s="1">
        <f t="shared" si="26"/>
        <v>36</v>
      </c>
      <c r="J27" s="1">
        <f t="shared" si="26"/>
        <v>37</v>
      </c>
      <c r="K27" s="1">
        <f t="shared" si="26"/>
        <v>38</v>
      </c>
      <c r="L27" s="1">
        <f t="shared" si="26"/>
        <v>39</v>
      </c>
      <c r="M27" s="1">
        <f t="shared" si="26"/>
        <v>40</v>
      </c>
      <c r="N27" s="1">
        <f t="shared" si="26"/>
        <v>41</v>
      </c>
      <c r="O27" s="1">
        <f t="shared" si="26"/>
        <v>42</v>
      </c>
      <c r="P27" s="1">
        <f t="shared" si="26"/>
        <v>43</v>
      </c>
      <c r="Q27" s="1">
        <f t="shared" si="26"/>
        <v>44</v>
      </c>
      <c r="R27" s="1">
        <f t="shared" si="26"/>
        <v>45</v>
      </c>
      <c r="S27" s="1">
        <f t="shared" si="26"/>
        <v>46</v>
      </c>
      <c r="T27" s="1">
        <f t="shared" si="26"/>
        <v>47</v>
      </c>
      <c r="U27" s="1">
        <f t="shared" si="26"/>
        <v>48</v>
      </c>
      <c r="V27" s="1">
        <f t="shared" si="26"/>
        <v>49</v>
      </c>
      <c r="W27" s="1">
        <f t="shared" si="26"/>
        <v>50</v>
      </c>
      <c r="X27" s="1">
        <f t="shared" si="26"/>
        <v>52</v>
      </c>
      <c r="Y27" s="1">
        <f t="shared" si="26"/>
        <v>53</v>
      </c>
      <c r="Z27" s="1">
        <f t="shared" si="26"/>
        <v>54</v>
      </c>
      <c r="AA27" s="1">
        <f t="shared" si="26"/>
        <v>56</v>
      </c>
      <c r="AB27" s="1">
        <f t="shared" si="26"/>
        <v>58</v>
      </c>
      <c r="AC27" s="1">
        <f t="shared" si="26"/>
        <v>60</v>
      </c>
      <c r="AD27" s="1">
        <f t="shared" si="26"/>
        <v>61</v>
      </c>
      <c r="AE27" s="1">
        <f t="shared" si="26"/>
        <v>62</v>
      </c>
      <c r="AF27" s="1">
        <f t="shared" si="26"/>
        <v>64</v>
      </c>
      <c r="AG27" s="1">
        <f t="shared" si="26"/>
        <v>66</v>
      </c>
      <c r="AH27" s="1">
        <f t="shared" si="26"/>
        <v>67</v>
      </c>
      <c r="AI27" s="1">
        <f t="shared" si="26"/>
        <v>68</v>
      </c>
      <c r="AJ27" s="1">
        <f t="shared" si="26"/>
        <v>70</v>
      </c>
      <c r="AK27" s="1">
        <f t="shared" si="26"/>
        <v>73</v>
      </c>
      <c r="AL27" s="1">
        <f t="shared" si="26"/>
        <v>76</v>
      </c>
      <c r="AM27" s="1">
        <f t="shared" si="26"/>
        <v>78</v>
      </c>
      <c r="AN27" s="1">
        <f t="shared" si="26"/>
        <v>79</v>
      </c>
      <c r="AO27" s="1">
        <f t="shared" si="26"/>
        <v>82</v>
      </c>
      <c r="AP27" s="1">
        <f t="shared" si="26"/>
        <v>88</v>
      </c>
      <c r="AR27" s="1">
        <f>COUNTIFS('onmogelijke score 2 pijlen'!score2pijlen,A27)</f>
        <v>23</v>
      </c>
      <c r="AS27" s="1">
        <f>COUNTIFS('onmogelijke score 2 pijlen'!score2pijlen,AP27)</f>
        <v>8</v>
      </c>
    </row>
    <row r="28" ht="15.75" customHeight="1">
      <c r="A28" s="1">
        <v>30.0</v>
      </c>
      <c r="B28" s="1">
        <f t="shared" ref="B28:AP28" si="27">$A28+B$1</f>
        <v>31</v>
      </c>
      <c r="C28" s="1">
        <f t="shared" si="27"/>
        <v>32</v>
      </c>
      <c r="D28" s="1">
        <f t="shared" si="27"/>
        <v>33</v>
      </c>
      <c r="E28" s="1">
        <f t="shared" si="27"/>
        <v>34</v>
      </c>
      <c r="F28" s="1">
        <f t="shared" si="27"/>
        <v>35</v>
      </c>
      <c r="G28" s="1">
        <f t="shared" si="27"/>
        <v>36</v>
      </c>
      <c r="H28" s="1">
        <f t="shared" si="27"/>
        <v>37</v>
      </c>
      <c r="I28" s="1">
        <f t="shared" si="27"/>
        <v>38</v>
      </c>
      <c r="J28" s="1">
        <f t="shared" si="27"/>
        <v>39</v>
      </c>
      <c r="K28" s="1">
        <f t="shared" si="27"/>
        <v>40</v>
      </c>
      <c r="L28" s="1">
        <f t="shared" si="27"/>
        <v>41</v>
      </c>
      <c r="M28" s="1">
        <f t="shared" si="27"/>
        <v>42</v>
      </c>
      <c r="N28" s="1">
        <f t="shared" si="27"/>
        <v>43</v>
      </c>
      <c r="O28" s="1">
        <f t="shared" si="27"/>
        <v>44</v>
      </c>
      <c r="P28" s="1">
        <f t="shared" si="27"/>
        <v>45</v>
      </c>
      <c r="Q28" s="1">
        <f t="shared" si="27"/>
        <v>46</v>
      </c>
      <c r="R28" s="1">
        <f t="shared" si="27"/>
        <v>47</v>
      </c>
      <c r="S28" s="1">
        <f t="shared" si="27"/>
        <v>48</v>
      </c>
      <c r="T28" s="1">
        <f t="shared" si="27"/>
        <v>49</v>
      </c>
      <c r="U28" s="1">
        <f t="shared" si="27"/>
        <v>50</v>
      </c>
      <c r="V28" s="1">
        <f t="shared" si="27"/>
        <v>51</v>
      </c>
      <c r="W28" s="1">
        <f t="shared" si="27"/>
        <v>52</v>
      </c>
      <c r="X28" s="1">
        <f t="shared" si="27"/>
        <v>54</v>
      </c>
      <c r="Y28" s="1">
        <f t="shared" si="27"/>
        <v>55</v>
      </c>
      <c r="Z28" s="1">
        <f t="shared" si="27"/>
        <v>56</v>
      </c>
      <c r="AA28" s="1">
        <f t="shared" si="27"/>
        <v>58</v>
      </c>
      <c r="AB28" s="1">
        <f t="shared" si="27"/>
        <v>60</v>
      </c>
      <c r="AC28" s="1">
        <f t="shared" si="27"/>
        <v>62</v>
      </c>
      <c r="AD28" s="1">
        <f t="shared" si="27"/>
        <v>63</v>
      </c>
      <c r="AE28" s="1">
        <f t="shared" si="27"/>
        <v>64</v>
      </c>
      <c r="AF28" s="1">
        <f t="shared" si="27"/>
        <v>66</v>
      </c>
      <c r="AG28" s="1">
        <f t="shared" si="27"/>
        <v>68</v>
      </c>
      <c r="AH28" s="1">
        <f t="shared" si="27"/>
        <v>69</v>
      </c>
      <c r="AI28" s="1">
        <f t="shared" si="27"/>
        <v>70</v>
      </c>
      <c r="AJ28" s="1">
        <f t="shared" si="27"/>
        <v>72</v>
      </c>
      <c r="AK28" s="1">
        <f t="shared" si="27"/>
        <v>75</v>
      </c>
      <c r="AL28" s="1">
        <f t="shared" si="27"/>
        <v>78</v>
      </c>
      <c r="AM28" s="1">
        <f t="shared" si="27"/>
        <v>80</v>
      </c>
      <c r="AN28" s="1">
        <f t="shared" si="27"/>
        <v>81</v>
      </c>
      <c r="AO28" s="1">
        <f t="shared" si="27"/>
        <v>84</v>
      </c>
      <c r="AP28" s="1">
        <f t="shared" si="27"/>
        <v>90</v>
      </c>
      <c r="AR28" s="1">
        <f>COUNTIFS('onmogelijke score 2 pijlen'!score2pijlen,A28)</f>
        <v>23</v>
      </c>
      <c r="AS28" s="1">
        <f>COUNTIFS('onmogelijke score 2 pijlen'!score2pijlen,AP28)</f>
        <v>12</v>
      </c>
    </row>
    <row r="29" ht="15.75" customHeight="1">
      <c r="A29" s="1">
        <v>32.0</v>
      </c>
      <c r="B29" s="1">
        <f t="shared" ref="B29:AP29" si="28">$A29+B$1</f>
        <v>33</v>
      </c>
      <c r="C29" s="1">
        <f t="shared" si="28"/>
        <v>34</v>
      </c>
      <c r="D29" s="1">
        <f t="shared" si="28"/>
        <v>35</v>
      </c>
      <c r="E29" s="1">
        <f t="shared" si="28"/>
        <v>36</v>
      </c>
      <c r="F29" s="1">
        <f t="shared" si="28"/>
        <v>37</v>
      </c>
      <c r="G29" s="1">
        <f t="shared" si="28"/>
        <v>38</v>
      </c>
      <c r="H29" s="1">
        <f t="shared" si="28"/>
        <v>39</v>
      </c>
      <c r="I29" s="1">
        <f t="shared" si="28"/>
        <v>40</v>
      </c>
      <c r="J29" s="1">
        <f t="shared" si="28"/>
        <v>41</v>
      </c>
      <c r="K29" s="1">
        <f t="shared" si="28"/>
        <v>42</v>
      </c>
      <c r="L29" s="1">
        <f t="shared" si="28"/>
        <v>43</v>
      </c>
      <c r="M29" s="1">
        <f t="shared" si="28"/>
        <v>44</v>
      </c>
      <c r="N29" s="1">
        <f t="shared" si="28"/>
        <v>45</v>
      </c>
      <c r="O29" s="1">
        <f t="shared" si="28"/>
        <v>46</v>
      </c>
      <c r="P29" s="1">
        <f t="shared" si="28"/>
        <v>47</v>
      </c>
      <c r="Q29" s="1">
        <f t="shared" si="28"/>
        <v>48</v>
      </c>
      <c r="R29" s="1">
        <f t="shared" si="28"/>
        <v>49</v>
      </c>
      <c r="S29" s="1">
        <f t="shared" si="28"/>
        <v>50</v>
      </c>
      <c r="T29" s="1">
        <f t="shared" si="28"/>
        <v>51</v>
      </c>
      <c r="U29" s="1">
        <f t="shared" si="28"/>
        <v>52</v>
      </c>
      <c r="V29" s="1">
        <f t="shared" si="28"/>
        <v>53</v>
      </c>
      <c r="W29" s="1">
        <f t="shared" si="28"/>
        <v>54</v>
      </c>
      <c r="X29" s="1">
        <f t="shared" si="28"/>
        <v>56</v>
      </c>
      <c r="Y29" s="1">
        <f t="shared" si="28"/>
        <v>57</v>
      </c>
      <c r="Z29" s="1">
        <f t="shared" si="28"/>
        <v>58</v>
      </c>
      <c r="AA29" s="1">
        <f t="shared" si="28"/>
        <v>60</v>
      </c>
      <c r="AB29" s="1">
        <f t="shared" si="28"/>
        <v>62</v>
      </c>
      <c r="AC29" s="1">
        <f t="shared" si="28"/>
        <v>64</v>
      </c>
      <c r="AD29" s="1">
        <f t="shared" si="28"/>
        <v>65</v>
      </c>
      <c r="AE29" s="1">
        <f t="shared" si="28"/>
        <v>66</v>
      </c>
      <c r="AF29" s="1">
        <f t="shared" si="28"/>
        <v>68</v>
      </c>
      <c r="AG29" s="1">
        <f t="shared" si="28"/>
        <v>70</v>
      </c>
      <c r="AH29" s="1">
        <f t="shared" si="28"/>
        <v>71</v>
      </c>
      <c r="AI29" s="1">
        <f t="shared" si="28"/>
        <v>72</v>
      </c>
      <c r="AJ29" s="1">
        <f t="shared" si="28"/>
        <v>74</v>
      </c>
      <c r="AK29" s="1">
        <f t="shared" si="28"/>
        <v>77</v>
      </c>
      <c r="AL29" s="1">
        <f t="shared" si="28"/>
        <v>80</v>
      </c>
      <c r="AM29" s="1">
        <f t="shared" si="28"/>
        <v>82</v>
      </c>
      <c r="AN29" s="1">
        <f t="shared" si="28"/>
        <v>83</v>
      </c>
      <c r="AO29" s="1">
        <f t="shared" si="28"/>
        <v>86</v>
      </c>
      <c r="AP29" s="1">
        <f t="shared" si="28"/>
        <v>92</v>
      </c>
      <c r="AR29" s="1">
        <f>COUNTIFS('onmogelijke score 2 pijlen'!score2pijlen,A29)</f>
        <v>23</v>
      </c>
      <c r="AS29" s="1">
        <f>COUNTIFS('onmogelijke score 2 pijlen'!score2pijlen,AP29)</f>
        <v>6</v>
      </c>
    </row>
    <row r="30" ht="15.75" customHeight="1">
      <c r="A30" s="1">
        <v>33.0</v>
      </c>
      <c r="B30" s="1">
        <f t="shared" ref="B30:AP30" si="29">$A30+B$1</f>
        <v>34</v>
      </c>
      <c r="C30" s="1">
        <f t="shared" si="29"/>
        <v>35</v>
      </c>
      <c r="D30" s="1">
        <f t="shared" si="29"/>
        <v>36</v>
      </c>
      <c r="E30" s="1">
        <f t="shared" si="29"/>
        <v>37</v>
      </c>
      <c r="F30" s="1">
        <f t="shared" si="29"/>
        <v>38</v>
      </c>
      <c r="G30" s="1">
        <f t="shared" si="29"/>
        <v>39</v>
      </c>
      <c r="H30" s="1">
        <f t="shared" si="29"/>
        <v>40</v>
      </c>
      <c r="I30" s="1">
        <f t="shared" si="29"/>
        <v>41</v>
      </c>
      <c r="J30" s="1">
        <f t="shared" si="29"/>
        <v>42</v>
      </c>
      <c r="K30" s="1">
        <f t="shared" si="29"/>
        <v>43</v>
      </c>
      <c r="L30" s="1">
        <f t="shared" si="29"/>
        <v>44</v>
      </c>
      <c r="M30" s="1">
        <f t="shared" si="29"/>
        <v>45</v>
      </c>
      <c r="N30" s="1">
        <f t="shared" si="29"/>
        <v>46</v>
      </c>
      <c r="O30" s="1">
        <f t="shared" si="29"/>
        <v>47</v>
      </c>
      <c r="P30" s="1">
        <f t="shared" si="29"/>
        <v>48</v>
      </c>
      <c r="Q30" s="1">
        <f t="shared" si="29"/>
        <v>49</v>
      </c>
      <c r="R30" s="1">
        <f t="shared" si="29"/>
        <v>50</v>
      </c>
      <c r="S30" s="1">
        <f t="shared" si="29"/>
        <v>51</v>
      </c>
      <c r="T30" s="1">
        <f t="shared" si="29"/>
        <v>52</v>
      </c>
      <c r="U30" s="1">
        <f t="shared" si="29"/>
        <v>53</v>
      </c>
      <c r="V30" s="1">
        <f t="shared" si="29"/>
        <v>54</v>
      </c>
      <c r="W30" s="1">
        <f t="shared" si="29"/>
        <v>55</v>
      </c>
      <c r="X30" s="1">
        <f t="shared" si="29"/>
        <v>57</v>
      </c>
      <c r="Y30" s="1">
        <f t="shared" si="29"/>
        <v>58</v>
      </c>
      <c r="Z30" s="1">
        <f t="shared" si="29"/>
        <v>59</v>
      </c>
      <c r="AA30" s="1">
        <f t="shared" si="29"/>
        <v>61</v>
      </c>
      <c r="AB30" s="1">
        <f t="shared" si="29"/>
        <v>63</v>
      </c>
      <c r="AC30" s="1">
        <f t="shared" si="29"/>
        <v>65</v>
      </c>
      <c r="AD30" s="1">
        <f t="shared" si="29"/>
        <v>66</v>
      </c>
      <c r="AE30" s="1">
        <f t="shared" si="29"/>
        <v>67</v>
      </c>
      <c r="AF30" s="1">
        <f t="shared" si="29"/>
        <v>69</v>
      </c>
      <c r="AG30" s="1">
        <f t="shared" si="29"/>
        <v>71</v>
      </c>
      <c r="AH30" s="1">
        <f t="shared" si="29"/>
        <v>72</v>
      </c>
      <c r="AI30" s="1">
        <f t="shared" si="29"/>
        <v>73</v>
      </c>
      <c r="AJ30" s="1">
        <f t="shared" si="29"/>
        <v>75</v>
      </c>
      <c r="AK30" s="1">
        <f t="shared" si="29"/>
        <v>78</v>
      </c>
      <c r="AL30" s="1">
        <f t="shared" si="29"/>
        <v>81</v>
      </c>
      <c r="AM30" s="1">
        <f t="shared" si="29"/>
        <v>83</v>
      </c>
      <c r="AN30" s="1">
        <f t="shared" si="29"/>
        <v>84</v>
      </c>
      <c r="AO30" s="1">
        <f t="shared" si="29"/>
        <v>87</v>
      </c>
      <c r="AP30" s="1">
        <f t="shared" si="29"/>
        <v>93</v>
      </c>
      <c r="AR30" s="1">
        <f>COUNTIFS('onmogelijke score 2 pijlen'!score2pijlen,A30)</f>
        <v>24</v>
      </c>
      <c r="AS30" s="1">
        <f>COUNTIFS('onmogelijke score 2 pijlen'!score2pijlen,AP30)</f>
        <v>9</v>
      </c>
    </row>
    <row r="31" ht="15.75" customHeight="1">
      <c r="A31" s="1">
        <v>34.0</v>
      </c>
      <c r="B31" s="1">
        <f t="shared" ref="B31:AP31" si="30">$A31+B$1</f>
        <v>35</v>
      </c>
      <c r="C31" s="1">
        <f t="shared" si="30"/>
        <v>36</v>
      </c>
      <c r="D31" s="1">
        <f t="shared" si="30"/>
        <v>37</v>
      </c>
      <c r="E31" s="1">
        <f t="shared" si="30"/>
        <v>38</v>
      </c>
      <c r="F31" s="1">
        <f t="shared" si="30"/>
        <v>39</v>
      </c>
      <c r="G31" s="1">
        <f t="shared" si="30"/>
        <v>40</v>
      </c>
      <c r="H31" s="1">
        <f t="shared" si="30"/>
        <v>41</v>
      </c>
      <c r="I31" s="1">
        <f t="shared" si="30"/>
        <v>42</v>
      </c>
      <c r="J31" s="1">
        <f t="shared" si="30"/>
        <v>43</v>
      </c>
      <c r="K31" s="1">
        <f t="shared" si="30"/>
        <v>44</v>
      </c>
      <c r="L31" s="1">
        <f t="shared" si="30"/>
        <v>45</v>
      </c>
      <c r="M31" s="1">
        <f t="shared" si="30"/>
        <v>46</v>
      </c>
      <c r="N31" s="1">
        <f t="shared" si="30"/>
        <v>47</v>
      </c>
      <c r="O31" s="1">
        <f t="shared" si="30"/>
        <v>48</v>
      </c>
      <c r="P31" s="1">
        <f t="shared" si="30"/>
        <v>49</v>
      </c>
      <c r="Q31" s="1">
        <f t="shared" si="30"/>
        <v>50</v>
      </c>
      <c r="R31" s="1">
        <f t="shared" si="30"/>
        <v>51</v>
      </c>
      <c r="S31" s="1">
        <f t="shared" si="30"/>
        <v>52</v>
      </c>
      <c r="T31" s="1">
        <f t="shared" si="30"/>
        <v>53</v>
      </c>
      <c r="U31" s="1">
        <f t="shared" si="30"/>
        <v>54</v>
      </c>
      <c r="V31" s="1">
        <f t="shared" si="30"/>
        <v>55</v>
      </c>
      <c r="W31" s="1">
        <f t="shared" si="30"/>
        <v>56</v>
      </c>
      <c r="X31" s="1">
        <f t="shared" si="30"/>
        <v>58</v>
      </c>
      <c r="Y31" s="1">
        <f t="shared" si="30"/>
        <v>59</v>
      </c>
      <c r="Z31" s="1">
        <f t="shared" si="30"/>
        <v>60</v>
      </c>
      <c r="AA31" s="1">
        <f t="shared" si="30"/>
        <v>62</v>
      </c>
      <c r="AB31" s="1">
        <f t="shared" si="30"/>
        <v>64</v>
      </c>
      <c r="AC31" s="1">
        <f t="shared" si="30"/>
        <v>66</v>
      </c>
      <c r="AD31" s="1">
        <f t="shared" si="30"/>
        <v>67</v>
      </c>
      <c r="AE31" s="1">
        <f t="shared" si="30"/>
        <v>68</v>
      </c>
      <c r="AF31" s="1">
        <f t="shared" si="30"/>
        <v>70</v>
      </c>
      <c r="AG31" s="1">
        <f t="shared" si="30"/>
        <v>72</v>
      </c>
      <c r="AH31" s="1">
        <f t="shared" si="30"/>
        <v>73</v>
      </c>
      <c r="AI31" s="1">
        <f t="shared" si="30"/>
        <v>74</v>
      </c>
      <c r="AJ31" s="1">
        <f t="shared" si="30"/>
        <v>76</v>
      </c>
      <c r="AK31" s="1">
        <f t="shared" si="30"/>
        <v>79</v>
      </c>
      <c r="AL31" s="1">
        <f t="shared" si="30"/>
        <v>82</v>
      </c>
      <c r="AM31" s="1">
        <f t="shared" si="30"/>
        <v>84</v>
      </c>
      <c r="AN31" s="1">
        <f t="shared" si="30"/>
        <v>85</v>
      </c>
      <c r="AO31" s="1">
        <f t="shared" si="30"/>
        <v>88</v>
      </c>
      <c r="AP31" s="1">
        <f t="shared" si="30"/>
        <v>94</v>
      </c>
      <c r="AR31" s="1">
        <f>COUNTIFS('onmogelijke score 2 pijlen'!score2pijlen,A31)</f>
        <v>25</v>
      </c>
      <c r="AS31" s="1">
        <f>COUNTIFS('onmogelijke score 2 pijlen'!score2pijlen,AP31)</f>
        <v>4</v>
      </c>
    </row>
    <row r="32" ht="15.75" customHeight="1">
      <c r="A32" s="1">
        <v>36.0</v>
      </c>
      <c r="B32" s="1">
        <f t="shared" ref="B32:AP32" si="31">$A32+B$1</f>
        <v>37</v>
      </c>
      <c r="C32" s="1">
        <f t="shared" si="31"/>
        <v>38</v>
      </c>
      <c r="D32" s="1">
        <f t="shared" si="31"/>
        <v>39</v>
      </c>
      <c r="E32" s="1">
        <f t="shared" si="31"/>
        <v>40</v>
      </c>
      <c r="F32" s="1">
        <f t="shared" si="31"/>
        <v>41</v>
      </c>
      <c r="G32" s="1">
        <f t="shared" si="31"/>
        <v>42</v>
      </c>
      <c r="H32" s="1">
        <f t="shared" si="31"/>
        <v>43</v>
      </c>
      <c r="I32" s="1">
        <f t="shared" si="31"/>
        <v>44</v>
      </c>
      <c r="J32" s="1">
        <f t="shared" si="31"/>
        <v>45</v>
      </c>
      <c r="K32" s="1">
        <f t="shared" si="31"/>
        <v>46</v>
      </c>
      <c r="L32" s="1">
        <f t="shared" si="31"/>
        <v>47</v>
      </c>
      <c r="M32" s="1">
        <f t="shared" si="31"/>
        <v>48</v>
      </c>
      <c r="N32" s="1">
        <f t="shared" si="31"/>
        <v>49</v>
      </c>
      <c r="O32" s="1">
        <f t="shared" si="31"/>
        <v>50</v>
      </c>
      <c r="P32" s="1">
        <f t="shared" si="31"/>
        <v>51</v>
      </c>
      <c r="Q32" s="1">
        <f t="shared" si="31"/>
        <v>52</v>
      </c>
      <c r="R32" s="1">
        <f t="shared" si="31"/>
        <v>53</v>
      </c>
      <c r="S32" s="1">
        <f t="shared" si="31"/>
        <v>54</v>
      </c>
      <c r="T32" s="1">
        <f t="shared" si="31"/>
        <v>55</v>
      </c>
      <c r="U32" s="1">
        <f t="shared" si="31"/>
        <v>56</v>
      </c>
      <c r="V32" s="1">
        <f t="shared" si="31"/>
        <v>57</v>
      </c>
      <c r="W32" s="1">
        <f t="shared" si="31"/>
        <v>58</v>
      </c>
      <c r="X32" s="1">
        <f t="shared" si="31"/>
        <v>60</v>
      </c>
      <c r="Y32" s="1">
        <f t="shared" si="31"/>
        <v>61</v>
      </c>
      <c r="Z32" s="1">
        <f t="shared" si="31"/>
        <v>62</v>
      </c>
      <c r="AA32" s="1">
        <f t="shared" si="31"/>
        <v>64</v>
      </c>
      <c r="AB32" s="1">
        <f t="shared" si="31"/>
        <v>66</v>
      </c>
      <c r="AC32" s="1">
        <f t="shared" si="31"/>
        <v>68</v>
      </c>
      <c r="AD32" s="1">
        <f t="shared" si="31"/>
        <v>69</v>
      </c>
      <c r="AE32" s="1">
        <f t="shared" si="31"/>
        <v>70</v>
      </c>
      <c r="AF32" s="1">
        <f t="shared" si="31"/>
        <v>72</v>
      </c>
      <c r="AG32" s="1">
        <f t="shared" si="31"/>
        <v>74</v>
      </c>
      <c r="AH32" s="1">
        <f t="shared" si="31"/>
        <v>75</v>
      </c>
      <c r="AI32" s="1">
        <f t="shared" si="31"/>
        <v>76</v>
      </c>
      <c r="AJ32" s="1">
        <f t="shared" si="31"/>
        <v>78</v>
      </c>
      <c r="AK32" s="1">
        <f t="shared" si="31"/>
        <v>81</v>
      </c>
      <c r="AL32" s="1">
        <f t="shared" si="31"/>
        <v>84</v>
      </c>
      <c r="AM32" s="1">
        <f t="shared" si="31"/>
        <v>86</v>
      </c>
      <c r="AN32" s="1">
        <f t="shared" si="31"/>
        <v>87</v>
      </c>
      <c r="AO32" s="1">
        <f t="shared" si="31"/>
        <v>90</v>
      </c>
      <c r="AP32" s="1">
        <f t="shared" si="31"/>
        <v>96</v>
      </c>
      <c r="AR32" s="1">
        <f>COUNTIFS('onmogelijke score 2 pijlen'!score2pijlen,A32)</f>
        <v>25</v>
      </c>
      <c r="AS32" s="1">
        <f>COUNTIFS('onmogelijke score 2 pijlen'!score2pijlen,AP32)</f>
        <v>8</v>
      </c>
    </row>
    <row r="33" ht="15.75" customHeight="1">
      <c r="A33" s="1">
        <v>38.0</v>
      </c>
      <c r="B33" s="1">
        <f t="shared" ref="B33:AP33" si="32">$A33+B$1</f>
        <v>39</v>
      </c>
      <c r="C33" s="1">
        <f t="shared" si="32"/>
        <v>40</v>
      </c>
      <c r="D33" s="1">
        <f t="shared" si="32"/>
        <v>41</v>
      </c>
      <c r="E33" s="1">
        <f t="shared" si="32"/>
        <v>42</v>
      </c>
      <c r="F33" s="1">
        <f t="shared" si="32"/>
        <v>43</v>
      </c>
      <c r="G33" s="1">
        <f t="shared" si="32"/>
        <v>44</v>
      </c>
      <c r="H33" s="1">
        <f t="shared" si="32"/>
        <v>45</v>
      </c>
      <c r="I33" s="1">
        <f t="shared" si="32"/>
        <v>46</v>
      </c>
      <c r="J33" s="1">
        <f t="shared" si="32"/>
        <v>47</v>
      </c>
      <c r="K33" s="1">
        <f t="shared" si="32"/>
        <v>48</v>
      </c>
      <c r="L33" s="1">
        <f t="shared" si="32"/>
        <v>49</v>
      </c>
      <c r="M33" s="1">
        <f t="shared" si="32"/>
        <v>50</v>
      </c>
      <c r="N33" s="1">
        <f t="shared" si="32"/>
        <v>51</v>
      </c>
      <c r="O33" s="1">
        <f t="shared" si="32"/>
        <v>52</v>
      </c>
      <c r="P33" s="1">
        <f t="shared" si="32"/>
        <v>53</v>
      </c>
      <c r="Q33" s="1">
        <f t="shared" si="32"/>
        <v>54</v>
      </c>
      <c r="R33" s="1">
        <f t="shared" si="32"/>
        <v>55</v>
      </c>
      <c r="S33" s="1">
        <f t="shared" si="32"/>
        <v>56</v>
      </c>
      <c r="T33" s="1">
        <f t="shared" si="32"/>
        <v>57</v>
      </c>
      <c r="U33" s="1">
        <f t="shared" si="32"/>
        <v>58</v>
      </c>
      <c r="V33" s="1">
        <f t="shared" si="32"/>
        <v>59</v>
      </c>
      <c r="W33" s="1">
        <f t="shared" si="32"/>
        <v>60</v>
      </c>
      <c r="X33" s="1">
        <f t="shared" si="32"/>
        <v>62</v>
      </c>
      <c r="Y33" s="1">
        <f t="shared" si="32"/>
        <v>63</v>
      </c>
      <c r="Z33" s="1">
        <f t="shared" si="32"/>
        <v>64</v>
      </c>
      <c r="AA33" s="1">
        <f t="shared" si="32"/>
        <v>66</v>
      </c>
      <c r="AB33" s="1">
        <f t="shared" si="32"/>
        <v>68</v>
      </c>
      <c r="AC33" s="1">
        <f t="shared" si="32"/>
        <v>70</v>
      </c>
      <c r="AD33" s="1">
        <f t="shared" si="32"/>
        <v>71</v>
      </c>
      <c r="AE33" s="1">
        <f t="shared" si="32"/>
        <v>72</v>
      </c>
      <c r="AF33" s="1">
        <f t="shared" si="32"/>
        <v>74</v>
      </c>
      <c r="AG33" s="1">
        <f t="shared" si="32"/>
        <v>76</v>
      </c>
      <c r="AH33" s="1">
        <f t="shared" si="32"/>
        <v>77</v>
      </c>
      <c r="AI33" s="1">
        <f t="shared" si="32"/>
        <v>78</v>
      </c>
      <c r="AJ33" s="1">
        <f t="shared" si="32"/>
        <v>80</v>
      </c>
      <c r="AK33" s="1">
        <f t="shared" si="32"/>
        <v>83</v>
      </c>
      <c r="AL33" s="1">
        <f t="shared" si="32"/>
        <v>86</v>
      </c>
      <c r="AM33" s="1">
        <f t="shared" si="32"/>
        <v>88</v>
      </c>
      <c r="AN33" s="1">
        <f t="shared" si="32"/>
        <v>89</v>
      </c>
      <c r="AO33" s="1">
        <f t="shared" si="32"/>
        <v>92</v>
      </c>
      <c r="AP33" s="1">
        <f t="shared" si="32"/>
        <v>98</v>
      </c>
      <c r="AR33" s="1">
        <f>COUNTIFS('onmogelijke score 2 pijlen'!score2pijlen,A33)</f>
        <v>25</v>
      </c>
      <c r="AS33" s="1">
        <f>COUNTIFS('onmogelijke score 2 pijlen'!score2pijlen,AP33)</f>
        <v>4</v>
      </c>
    </row>
    <row r="34" ht="15.75" customHeight="1">
      <c r="A34" s="1">
        <v>39.0</v>
      </c>
      <c r="B34" s="1">
        <f t="shared" ref="B34:AP34" si="33">$A34+B$1</f>
        <v>40</v>
      </c>
      <c r="C34" s="1">
        <f t="shared" si="33"/>
        <v>41</v>
      </c>
      <c r="D34" s="1">
        <f t="shared" si="33"/>
        <v>42</v>
      </c>
      <c r="E34" s="1">
        <f t="shared" si="33"/>
        <v>43</v>
      </c>
      <c r="F34" s="1">
        <f t="shared" si="33"/>
        <v>44</v>
      </c>
      <c r="G34" s="1">
        <f t="shared" si="33"/>
        <v>45</v>
      </c>
      <c r="H34" s="1">
        <f t="shared" si="33"/>
        <v>46</v>
      </c>
      <c r="I34" s="1">
        <f t="shared" si="33"/>
        <v>47</v>
      </c>
      <c r="J34" s="1">
        <f t="shared" si="33"/>
        <v>48</v>
      </c>
      <c r="K34" s="1">
        <f t="shared" si="33"/>
        <v>49</v>
      </c>
      <c r="L34" s="1">
        <f t="shared" si="33"/>
        <v>50</v>
      </c>
      <c r="M34" s="1">
        <f t="shared" si="33"/>
        <v>51</v>
      </c>
      <c r="N34" s="1">
        <f t="shared" si="33"/>
        <v>52</v>
      </c>
      <c r="O34" s="1">
        <f t="shared" si="33"/>
        <v>53</v>
      </c>
      <c r="P34" s="1">
        <f t="shared" si="33"/>
        <v>54</v>
      </c>
      <c r="Q34" s="1">
        <f t="shared" si="33"/>
        <v>55</v>
      </c>
      <c r="R34" s="1">
        <f t="shared" si="33"/>
        <v>56</v>
      </c>
      <c r="S34" s="1">
        <f t="shared" si="33"/>
        <v>57</v>
      </c>
      <c r="T34" s="1">
        <f t="shared" si="33"/>
        <v>58</v>
      </c>
      <c r="U34" s="1">
        <f t="shared" si="33"/>
        <v>59</v>
      </c>
      <c r="V34" s="1">
        <f t="shared" si="33"/>
        <v>60</v>
      </c>
      <c r="W34" s="1">
        <f t="shared" si="33"/>
        <v>61</v>
      </c>
      <c r="X34" s="1">
        <f t="shared" si="33"/>
        <v>63</v>
      </c>
      <c r="Y34" s="1">
        <f t="shared" si="33"/>
        <v>64</v>
      </c>
      <c r="Z34" s="1">
        <f t="shared" si="33"/>
        <v>65</v>
      </c>
      <c r="AA34" s="1">
        <f t="shared" si="33"/>
        <v>67</v>
      </c>
      <c r="AB34" s="1">
        <f t="shared" si="33"/>
        <v>69</v>
      </c>
      <c r="AC34" s="1">
        <f t="shared" si="33"/>
        <v>71</v>
      </c>
      <c r="AD34" s="1">
        <f t="shared" si="33"/>
        <v>72</v>
      </c>
      <c r="AE34" s="1">
        <f t="shared" si="33"/>
        <v>73</v>
      </c>
      <c r="AF34" s="1">
        <f t="shared" si="33"/>
        <v>75</v>
      </c>
      <c r="AG34" s="1">
        <f t="shared" si="33"/>
        <v>77</v>
      </c>
      <c r="AH34" s="1">
        <f t="shared" si="33"/>
        <v>78</v>
      </c>
      <c r="AI34" s="1">
        <f t="shared" si="33"/>
        <v>79</v>
      </c>
      <c r="AJ34" s="1">
        <f t="shared" si="33"/>
        <v>81</v>
      </c>
      <c r="AK34" s="1">
        <f t="shared" si="33"/>
        <v>84</v>
      </c>
      <c r="AL34" s="1">
        <f t="shared" si="33"/>
        <v>87</v>
      </c>
      <c r="AM34" s="1">
        <f t="shared" si="33"/>
        <v>89</v>
      </c>
      <c r="AN34" s="1">
        <f t="shared" si="33"/>
        <v>90</v>
      </c>
      <c r="AO34" s="1">
        <f t="shared" si="33"/>
        <v>93</v>
      </c>
      <c r="AP34" s="1">
        <f t="shared" si="33"/>
        <v>99</v>
      </c>
      <c r="AR34" s="1">
        <f>COUNTIFS('onmogelijke score 2 pijlen'!score2pijlen,A34)</f>
        <v>26</v>
      </c>
      <c r="AS34" s="1">
        <f>COUNTIFS('onmogelijke score 2 pijlen'!score2pijlen,AP34)</f>
        <v>7</v>
      </c>
    </row>
    <row r="35" ht="15.75" customHeight="1">
      <c r="A35" s="1">
        <v>40.0</v>
      </c>
      <c r="B35" s="1">
        <f t="shared" ref="B35:AP35" si="34">$A35+B$1</f>
        <v>41</v>
      </c>
      <c r="C35" s="1">
        <f t="shared" si="34"/>
        <v>42</v>
      </c>
      <c r="D35" s="1">
        <f t="shared" si="34"/>
        <v>43</v>
      </c>
      <c r="E35" s="1">
        <f t="shared" si="34"/>
        <v>44</v>
      </c>
      <c r="F35" s="1">
        <f t="shared" si="34"/>
        <v>45</v>
      </c>
      <c r="G35" s="1">
        <f t="shared" si="34"/>
        <v>46</v>
      </c>
      <c r="H35" s="1">
        <f t="shared" si="34"/>
        <v>47</v>
      </c>
      <c r="I35" s="1">
        <f t="shared" si="34"/>
        <v>48</v>
      </c>
      <c r="J35" s="1">
        <f t="shared" si="34"/>
        <v>49</v>
      </c>
      <c r="K35" s="1">
        <f t="shared" si="34"/>
        <v>50</v>
      </c>
      <c r="L35" s="1">
        <f t="shared" si="34"/>
        <v>51</v>
      </c>
      <c r="M35" s="1">
        <f t="shared" si="34"/>
        <v>52</v>
      </c>
      <c r="N35" s="1">
        <f t="shared" si="34"/>
        <v>53</v>
      </c>
      <c r="O35" s="1">
        <f t="shared" si="34"/>
        <v>54</v>
      </c>
      <c r="P35" s="1">
        <f t="shared" si="34"/>
        <v>55</v>
      </c>
      <c r="Q35" s="1">
        <f t="shared" si="34"/>
        <v>56</v>
      </c>
      <c r="R35" s="1">
        <f t="shared" si="34"/>
        <v>57</v>
      </c>
      <c r="S35" s="1">
        <f t="shared" si="34"/>
        <v>58</v>
      </c>
      <c r="T35" s="1">
        <f t="shared" si="34"/>
        <v>59</v>
      </c>
      <c r="U35" s="1">
        <f t="shared" si="34"/>
        <v>60</v>
      </c>
      <c r="V35" s="1">
        <f t="shared" si="34"/>
        <v>61</v>
      </c>
      <c r="W35" s="1">
        <f t="shared" si="34"/>
        <v>62</v>
      </c>
      <c r="X35" s="1">
        <f t="shared" si="34"/>
        <v>64</v>
      </c>
      <c r="Y35" s="1">
        <f t="shared" si="34"/>
        <v>65</v>
      </c>
      <c r="Z35" s="1">
        <f t="shared" si="34"/>
        <v>66</v>
      </c>
      <c r="AA35" s="1">
        <f t="shared" si="34"/>
        <v>68</v>
      </c>
      <c r="AB35" s="1">
        <f t="shared" si="34"/>
        <v>70</v>
      </c>
      <c r="AC35" s="1">
        <f t="shared" si="34"/>
        <v>72</v>
      </c>
      <c r="AD35" s="1">
        <f t="shared" si="34"/>
        <v>73</v>
      </c>
      <c r="AE35" s="1">
        <f t="shared" si="34"/>
        <v>74</v>
      </c>
      <c r="AF35" s="1">
        <f t="shared" si="34"/>
        <v>76</v>
      </c>
      <c r="AG35" s="1">
        <f t="shared" si="34"/>
        <v>78</v>
      </c>
      <c r="AH35" s="1">
        <f t="shared" si="34"/>
        <v>79</v>
      </c>
      <c r="AI35" s="1">
        <f t="shared" si="34"/>
        <v>80</v>
      </c>
      <c r="AJ35" s="1">
        <f t="shared" si="34"/>
        <v>82</v>
      </c>
      <c r="AK35" s="1">
        <f t="shared" si="34"/>
        <v>85</v>
      </c>
      <c r="AL35" s="1">
        <f t="shared" si="34"/>
        <v>88</v>
      </c>
      <c r="AM35" s="1">
        <f t="shared" si="34"/>
        <v>90</v>
      </c>
      <c r="AN35" s="1">
        <f t="shared" si="34"/>
        <v>91</v>
      </c>
      <c r="AO35" s="1">
        <f t="shared" si="34"/>
        <v>94</v>
      </c>
      <c r="AP35" s="1">
        <f t="shared" si="34"/>
        <v>100</v>
      </c>
      <c r="AR35" s="1">
        <f>COUNTIFS('onmogelijke score 2 pijlen'!score2pijlen,A35)</f>
        <v>27</v>
      </c>
      <c r="AS35" s="1">
        <f>COUNTIFS('onmogelijke score 2 pijlen'!score2pijlen,AP35)</f>
        <v>3</v>
      </c>
    </row>
    <row r="36" ht="15.75" customHeight="1">
      <c r="A36" s="1">
        <v>42.0</v>
      </c>
      <c r="B36" s="1">
        <f t="shared" ref="B36:AP36" si="35">$A36+B$1</f>
        <v>43</v>
      </c>
      <c r="C36" s="1">
        <f t="shared" si="35"/>
        <v>44</v>
      </c>
      <c r="D36" s="1">
        <f t="shared" si="35"/>
        <v>45</v>
      </c>
      <c r="E36" s="1">
        <f t="shared" si="35"/>
        <v>46</v>
      </c>
      <c r="F36" s="1">
        <f t="shared" si="35"/>
        <v>47</v>
      </c>
      <c r="G36" s="1">
        <f t="shared" si="35"/>
        <v>48</v>
      </c>
      <c r="H36" s="1">
        <f t="shared" si="35"/>
        <v>49</v>
      </c>
      <c r="I36" s="1">
        <f t="shared" si="35"/>
        <v>50</v>
      </c>
      <c r="J36" s="1">
        <f t="shared" si="35"/>
        <v>51</v>
      </c>
      <c r="K36" s="1">
        <f t="shared" si="35"/>
        <v>52</v>
      </c>
      <c r="L36" s="1">
        <f t="shared" si="35"/>
        <v>53</v>
      </c>
      <c r="M36" s="1">
        <f t="shared" si="35"/>
        <v>54</v>
      </c>
      <c r="N36" s="1">
        <f t="shared" si="35"/>
        <v>55</v>
      </c>
      <c r="O36" s="1">
        <f t="shared" si="35"/>
        <v>56</v>
      </c>
      <c r="P36" s="1">
        <f t="shared" si="35"/>
        <v>57</v>
      </c>
      <c r="Q36" s="1">
        <f t="shared" si="35"/>
        <v>58</v>
      </c>
      <c r="R36" s="1">
        <f t="shared" si="35"/>
        <v>59</v>
      </c>
      <c r="S36" s="1">
        <f t="shared" si="35"/>
        <v>60</v>
      </c>
      <c r="T36" s="1">
        <f t="shared" si="35"/>
        <v>61</v>
      </c>
      <c r="U36" s="1">
        <f t="shared" si="35"/>
        <v>62</v>
      </c>
      <c r="V36" s="1">
        <f t="shared" si="35"/>
        <v>63</v>
      </c>
      <c r="W36" s="1">
        <f t="shared" si="35"/>
        <v>64</v>
      </c>
      <c r="X36" s="1">
        <f t="shared" si="35"/>
        <v>66</v>
      </c>
      <c r="Y36" s="1">
        <f t="shared" si="35"/>
        <v>67</v>
      </c>
      <c r="Z36" s="1">
        <f t="shared" si="35"/>
        <v>68</v>
      </c>
      <c r="AA36" s="1">
        <f t="shared" si="35"/>
        <v>70</v>
      </c>
      <c r="AB36" s="1">
        <f t="shared" si="35"/>
        <v>72</v>
      </c>
      <c r="AC36" s="1">
        <f t="shared" si="35"/>
        <v>74</v>
      </c>
      <c r="AD36" s="1">
        <f t="shared" si="35"/>
        <v>75</v>
      </c>
      <c r="AE36" s="1">
        <f t="shared" si="35"/>
        <v>76</v>
      </c>
      <c r="AF36" s="1">
        <f t="shared" si="35"/>
        <v>78</v>
      </c>
      <c r="AG36" s="1">
        <f t="shared" si="35"/>
        <v>80</v>
      </c>
      <c r="AH36" s="1">
        <f t="shared" si="35"/>
        <v>81</v>
      </c>
      <c r="AI36" s="1">
        <f t="shared" si="35"/>
        <v>82</v>
      </c>
      <c r="AJ36" s="1">
        <f t="shared" si="35"/>
        <v>84</v>
      </c>
      <c r="AK36" s="1">
        <f t="shared" si="35"/>
        <v>87</v>
      </c>
      <c r="AL36" s="1">
        <f t="shared" si="35"/>
        <v>90</v>
      </c>
      <c r="AM36" s="1">
        <f t="shared" si="35"/>
        <v>92</v>
      </c>
      <c r="AN36" s="1">
        <f t="shared" si="35"/>
        <v>93</v>
      </c>
      <c r="AO36" s="1">
        <f t="shared" si="35"/>
        <v>96</v>
      </c>
      <c r="AP36" s="1">
        <f t="shared" si="35"/>
        <v>102</v>
      </c>
      <c r="AR36" s="1">
        <f>COUNTIFS('onmogelijke score 2 pijlen'!score2pijlen,A36)</f>
        <v>27</v>
      </c>
      <c r="AS36" s="1">
        <f>COUNTIFS('onmogelijke score 2 pijlen'!score2pijlen,AP36)</f>
        <v>6</v>
      </c>
    </row>
    <row r="37" ht="15.75" customHeight="1">
      <c r="A37" s="1">
        <v>45.0</v>
      </c>
      <c r="B37" s="1">
        <f t="shared" ref="B37:AP37" si="36">$A37+B$1</f>
        <v>46</v>
      </c>
      <c r="C37" s="1">
        <f t="shared" si="36"/>
        <v>47</v>
      </c>
      <c r="D37" s="1">
        <f t="shared" si="36"/>
        <v>48</v>
      </c>
      <c r="E37" s="1">
        <f t="shared" si="36"/>
        <v>49</v>
      </c>
      <c r="F37" s="1">
        <f t="shared" si="36"/>
        <v>50</v>
      </c>
      <c r="G37" s="1">
        <f t="shared" si="36"/>
        <v>51</v>
      </c>
      <c r="H37" s="1">
        <f t="shared" si="36"/>
        <v>52</v>
      </c>
      <c r="I37" s="1">
        <f t="shared" si="36"/>
        <v>53</v>
      </c>
      <c r="J37" s="1">
        <f t="shared" si="36"/>
        <v>54</v>
      </c>
      <c r="K37" s="1">
        <f t="shared" si="36"/>
        <v>55</v>
      </c>
      <c r="L37" s="1">
        <f t="shared" si="36"/>
        <v>56</v>
      </c>
      <c r="M37" s="1">
        <f t="shared" si="36"/>
        <v>57</v>
      </c>
      <c r="N37" s="1">
        <f t="shared" si="36"/>
        <v>58</v>
      </c>
      <c r="O37" s="1">
        <f t="shared" si="36"/>
        <v>59</v>
      </c>
      <c r="P37" s="1">
        <f t="shared" si="36"/>
        <v>60</v>
      </c>
      <c r="Q37" s="1">
        <f t="shared" si="36"/>
        <v>61</v>
      </c>
      <c r="R37" s="1">
        <f t="shared" si="36"/>
        <v>62</v>
      </c>
      <c r="S37" s="1">
        <f t="shared" si="36"/>
        <v>63</v>
      </c>
      <c r="T37" s="1">
        <f t="shared" si="36"/>
        <v>64</v>
      </c>
      <c r="U37" s="1">
        <f t="shared" si="36"/>
        <v>65</v>
      </c>
      <c r="V37" s="1">
        <f t="shared" si="36"/>
        <v>66</v>
      </c>
      <c r="W37" s="1">
        <f t="shared" si="36"/>
        <v>67</v>
      </c>
      <c r="X37" s="1">
        <f t="shared" si="36"/>
        <v>69</v>
      </c>
      <c r="Y37" s="1">
        <f t="shared" si="36"/>
        <v>70</v>
      </c>
      <c r="Z37" s="1">
        <f t="shared" si="36"/>
        <v>71</v>
      </c>
      <c r="AA37" s="1">
        <f t="shared" si="36"/>
        <v>73</v>
      </c>
      <c r="AB37" s="1">
        <f t="shared" si="36"/>
        <v>75</v>
      </c>
      <c r="AC37" s="1">
        <f t="shared" si="36"/>
        <v>77</v>
      </c>
      <c r="AD37" s="1">
        <f t="shared" si="36"/>
        <v>78</v>
      </c>
      <c r="AE37" s="1">
        <f t="shared" si="36"/>
        <v>79</v>
      </c>
      <c r="AF37" s="1">
        <f t="shared" si="36"/>
        <v>81</v>
      </c>
      <c r="AG37" s="1">
        <f t="shared" si="36"/>
        <v>83</v>
      </c>
      <c r="AH37" s="1">
        <f t="shared" si="36"/>
        <v>84</v>
      </c>
      <c r="AI37" s="1">
        <f t="shared" si="36"/>
        <v>85</v>
      </c>
      <c r="AJ37" s="1">
        <f t="shared" si="36"/>
        <v>87</v>
      </c>
      <c r="AK37" s="1">
        <f t="shared" si="36"/>
        <v>90</v>
      </c>
      <c r="AL37" s="1">
        <f t="shared" si="36"/>
        <v>93</v>
      </c>
      <c r="AM37" s="1">
        <f t="shared" si="36"/>
        <v>95</v>
      </c>
      <c r="AN37" s="1">
        <f t="shared" si="36"/>
        <v>96</v>
      </c>
      <c r="AO37" s="1">
        <f t="shared" si="36"/>
        <v>99</v>
      </c>
      <c r="AP37" s="1">
        <f t="shared" si="36"/>
        <v>105</v>
      </c>
      <c r="AR37" s="1">
        <f>COUNTIFS('onmogelijke score 2 pijlen'!score2pijlen,A37)</f>
        <v>26</v>
      </c>
      <c r="AS37" s="1">
        <f>COUNTIFS('onmogelijke score 2 pijlen'!score2pijlen,AP37)</f>
        <v>5</v>
      </c>
    </row>
    <row r="38" ht="15.75" customHeight="1">
      <c r="A38" s="1">
        <v>48.0</v>
      </c>
      <c r="B38" s="1">
        <f t="shared" ref="B38:AP38" si="37">$A38+B$1</f>
        <v>49</v>
      </c>
      <c r="C38" s="1">
        <f t="shared" si="37"/>
        <v>50</v>
      </c>
      <c r="D38" s="1">
        <f t="shared" si="37"/>
        <v>51</v>
      </c>
      <c r="E38" s="1">
        <f t="shared" si="37"/>
        <v>52</v>
      </c>
      <c r="F38" s="1">
        <f t="shared" si="37"/>
        <v>53</v>
      </c>
      <c r="G38" s="1">
        <f t="shared" si="37"/>
        <v>54</v>
      </c>
      <c r="H38" s="1">
        <f t="shared" si="37"/>
        <v>55</v>
      </c>
      <c r="I38" s="1">
        <f t="shared" si="37"/>
        <v>56</v>
      </c>
      <c r="J38" s="1">
        <f t="shared" si="37"/>
        <v>57</v>
      </c>
      <c r="K38" s="1">
        <f t="shared" si="37"/>
        <v>58</v>
      </c>
      <c r="L38" s="1">
        <f t="shared" si="37"/>
        <v>59</v>
      </c>
      <c r="M38" s="1">
        <f t="shared" si="37"/>
        <v>60</v>
      </c>
      <c r="N38" s="1">
        <f t="shared" si="37"/>
        <v>61</v>
      </c>
      <c r="O38" s="1">
        <f t="shared" si="37"/>
        <v>62</v>
      </c>
      <c r="P38" s="1">
        <f t="shared" si="37"/>
        <v>63</v>
      </c>
      <c r="Q38" s="1">
        <f t="shared" si="37"/>
        <v>64</v>
      </c>
      <c r="R38" s="1">
        <f t="shared" si="37"/>
        <v>65</v>
      </c>
      <c r="S38" s="1">
        <f t="shared" si="37"/>
        <v>66</v>
      </c>
      <c r="T38" s="1">
        <f t="shared" si="37"/>
        <v>67</v>
      </c>
      <c r="U38" s="1">
        <f t="shared" si="37"/>
        <v>68</v>
      </c>
      <c r="V38" s="1">
        <f t="shared" si="37"/>
        <v>69</v>
      </c>
      <c r="W38" s="1">
        <f t="shared" si="37"/>
        <v>70</v>
      </c>
      <c r="X38" s="1">
        <f t="shared" si="37"/>
        <v>72</v>
      </c>
      <c r="Y38" s="1">
        <f t="shared" si="37"/>
        <v>73</v>
      </c>
      <c r="Z38" s="1">
        <f t="shared" si="37"/>
        <v>74</v>
      </c>
      <c r="AA38" s="1">
        <f t="shared" si="37"/>
        <v>76</v>
      </c>
      <c r="AB38" s="1">
        <f t="shared" si="37"/>
        <v>78</v>
      </c>
      <c r="AC38" s="1">
        <f t="shared" si="37"/>
        <v>80</v>
      </c>
      <c r="AD38" s="1">
        <f t="shared" si="37"/>
        <v>81</v>
      </c>
      <c r="AE38" s="1">
        <f t="shared" si="37"/>
        <v>82</v>
      </c>
      <c r="AF38" s="1">
        <f t="shared" si="37"/>
        <v>84</v>
      </c>
      <c r="AG38" s="1">
        <f t="shared" si="37"/>
        <v>86</v>
      </c>
      <c r="AH38" s="1">
        <f t="shared" si="37"/>
        <v>87</v>
      </c>
      <c r="AI38" s="1">
        <f t="shared" si="37"/>
        <v>88</v>
      </c>
      <c r="AJ38" s="1">
        <f t="shared" si="37"/>
        <v>90</v>
      </c>
      <c r="AK38" s="1">
        <f t="shared" si="37"/>
        <v>93</v>
      </c>
      <c r="AL38" s="1">
        <f t="shared" si="37"/>
        <v>96</v>
      </c>
      <c r="AM38" s="1">
        <f t="shared" si="37"/>
        <v>98</v>
      </c>
      <c r="AN38" s="1">
        <f t="shared" si="37"/>
        <v>99</v>
      </c>
      <c r="AO38" s="1">
        <f t="shared" si="37"/>
        <v>102</v>
      </c>
      <c r="AP38" s="1">
        <f t="shared" si="37"/>
        <v>108</v>
      </c>
      <c r="AR38" s="1">
        <f>COUNTIFS('onmogelijke score 2 pijlen'!score2pijlen,A38)</f>
        <v>25</v>
      </c>
      <c r="AS38" s="1">
        <f>COUNTIFS('onmogelijke score 2 pijlen'!score2pijlen,AP38)</f>
        <v>4</v>
      </c>
    </row>
    <row r="39" ht="15.75" customHeight="1">
      <c r="A39" s="1">
        <v>50.0</v>
      </c>
      <c r="B39" s="1">
        <f t="shared" ref="B39:AP39" si="38">$A39+B$1</f>
        <v>51</v>
      </c>
      <c r="C39" s="1">
        <f t="shared" si="38"/>
        <v>52</v>
      </c>
      <c r="D39" s="1">
        <f t="shared" si="38"/>
        <v>53</v>
      </c>
      <c r="E39" s="1">
        <f t="shared" si="38"/>
        <v>54</v>
      </c>
      <c r="F39" s="1">
        <f t="shared" si="38"/>
        <v>55</v>
      </c>
      <c r="G39" s="1">
        <f t="shared" si="38"/>
        <v>56</v>
      </c>
      <c r="H39" s="1">
        <f t="shared" si="38"/>
        <v>57</v>
      </c>
      <c r="I39" s="1">
        <f t="shared" si="38"/>
        <v>58</v>
      </c>
      <c r="J39" s="1">
        <f t="shared" si="38"/>
        <v>59</v>
      </c>
      <c r="K39" s="1">
        <f t="shared" si="38"/>
        <v>60</v>
      </c>
      <c r="L39" s="1">
        <f t="shared" si="38"/>
        <v>61</v>
      </c>
      <c r="M39" s="1">
        <f t="shared" si="38"/>
        <v>62</v>
      </c>
      <c r="N39" s="1">
        <f t="shared" si="38"/>
        <v>63</v>
      </c>
      <c r="O39" s="1">
        <f t="shared" si="38"/>
        <v>64</v>
      </c>
      <c r="P39" s="1">
        <f t="shared" si="38"/>
        <v>65</v>
      </c>
      <c r="Q39" s="1">
        <f t="shared" si="38"/>
        <v>66</v>
      </c>
      <c r="R39" s="1">
        <f t="shared" si="38"/>
        <v>67</v>
      </c>
      <c r="S39" s="1">
        <f t="shared" si="38"/>
        <v>68</v>
      </c>
      <c r="T39" s="1">
        <f t="shared" si="38"/>
        <v>69</v>
      </c>
      <c r="U39" s="1">
        <f t="shared" si="38"/>
        <v>70</v>
      </c>
      <c r="V39" s="1">
        <f t="shared" si="38"/>
        <v>71</v>
      </c>
      <c r="W39" s="1">
        <f t="shared" si="38"/>
        <v>72</v>
      </c>
      <c r="X39" s="1">
        <f t="shared" si="38"/>
        <v>74</v>
      </c>
      <c r="Y39" s="1">
        <f t="shared" si="38"/>
        <v>75</v>
      </c>
      <c r="Z39" s="1">
        <f t="shared" si="38"/>
        <v>76</v>
      </c>
      <c r="AA39" s="1">
        <f t="shared" si="38"/>
        <v>78</v>
      </c>
      <c r="AB39" s="1">
        <f t="shared" si="38"/>
        <v>80</v>
      </c>
      <c r="AC39" s="1">
        <f t="shared" si="38"/>
        <v>82</v>
      </c>
      <c r="AD39" s="1">
        <f t="shared" si="38"/>
        <v>83</v>
      </c>
      <c r="AE39" s="1">
        <f t="shared" si="38"/>
        <v>84</v>
      </c>
      <c r="AF39" s="1">
        <f t="shared" si="38"/>
        <v>86</v>
      </c>
      <c r="AG39" s="1">
        <f t="shared" si="38"/>
        <v>88</v>
      </c>
      <c r="AH39" s="1">
        <f t="shared" si="38"/>
        <v>89</v>
      </c>
      <c r="AI39" s="1">
        <f t="shared" si="38"/>
        <v>90</v>
      </c>
      <c r="AJ39" s="1">
        <f t="shared" si="38"/>
        <v>92</v>
      </c>
      <c r="AK39" s="1">
        <f t="shared" si="38"/>
        <v>95</v>
      </c>
      <c r="AL39" s="1">
        <f t="shared" si="38"/>
        <v>98</v>
      </c>
      <c r="AM39" s="1">
        <f t="shared" si="38"/>
        <v>100</v>
      </c>
      <c r="AN39" s="1">
        <f t="shared" si="38"/>
        <v>101</v>
      </c>
      <c r="AO39" s="1">
        <f t="shared" si="38"/>
        <v>104</v>
      </c>
      <c r="AP39" s="1">
        <f t="shared" si="38"/>
        <v>110</v>
      </c>
      <c r="AR39" s="1">
        <f>COUNTIFS('onmogelijke score 2 pijlen'!score2pijlen,A39)</f>
        <v>27</v>
      </c>
      <c r="AS39" s="1">
        <f>COUNTIFS('onmogelijke score 2 pijlen'!score2pijlen,AP39)</f>
        <v>2</v>
      </c>
    </row>
    <row r="40" ht="15.75" customHeight="1">
      <c r="A40" s="1">
        <v>51.0</v>
      </c>
      <c r="B40" s="1">
        <f t="shared" ref="B40:AP40" si="39">$A40+B$1</f>
        <v>52</v>
      </c>
      <c r="C40" s="1">
        <f t="shared" si="39"/>
        <v>53</v>
      </c>
      <c r="D40" s="1">
        <f t="shared" si="39"/>
        <v>54</v>
      </c>
      <c r="E40" s="1">
        <f t="shared" si="39"/>
        <v>55</v>
      </c>
      <c r="F40" s="1">
        <f t="shared" si="39"/>
        <v>56</v>
      </c>
      <c r="G40" s="1">
        <f t="shared" si="39"/>
        <v>57</v>
      </c>
      <c r="H40" s="1">
        <f t="shared" si="39"/>
        <v>58</v>
      </c>
      <c r="I40" s="1">
        <f t="shared" si="39"/>
        <v>59</v>
      </c>
      <c r="J40" s="1">
        <f t="shared" si="39"/>
        <v>60</v>
      </c>
      <c r="K40" s="1">
        <f t="shared" si="39"/>
        <v>61</v>
      </c>
      <c r="L40" s="1">
        <f t="shared" si="39"/>
        <v>62</v>
      </c>
      <c r="M40" s="1">
        <f t="shared" si="39"/>
        <v>63</v>
      </c>
      <c r="N40" s="1">
        <f t="shared" si="39"/>
        <v>64</v>
      </c>
      <c r="O40" s="1">
        <f t="shared" si="39"/>
        <v>65</v>
      </c>
      <c r="P40" s="1">
        <f t="shared" si="39"/>
        <v>66</v>
      </c>
      <c r="Q40" s="1">
        <f t="shared" si="39"/>
        <v>67</v>
      </c>
      <c r="R40" s="1">
        <f t="shared" si="39"/>
        <v>68</v>
      </c>
      <c r="S40" s="1">
        <f t="shared" si="39"/>
        <v>69</v>
      </c>
      <c r="T40" s="1">
        <f t="shared" si="39"/>
        <v>70</v>
      </c>
      <c r="U40" s="1">
        <f t="shared" si="39"/>
        <v>71</v>
      </c>
      <c r="V40" s="1">
        <f t="shared" si="39"/>
        <v>72</v>
      </c>
      <c r="W40" s="1">
        <f t="shared" si="39"/>
        <v>73</v>
      </c>
      <c r="X40" s="1">
        <f t="shared" si="39"/>
        <v>75</v>
      </c>
      <c r="Y40" s="1">
        <f t="shared" si="39"/>
        <v>76</v>
      </c>
      <c r="Z40" s="1">
        <f t="shared" si="39"/>
        <v>77</v>
      </c>
      <c r="AA40" s="1">
        <f t="shared" si="39"/>
        <v>79</v>
      </c>
      <c r="AB40" s="1">
        <f t="shared" si="39"/>
        <v>81</v>
      </c>
      <c r="AC40" s="1">
        <f t="shared" si="39"/>
        <v>83</v>
      </c>
      <c r="AD40" s="1">
        <f t="shared" si="39"/>
        <v>84</v>
      </c>
      <c r="AE40" s="1">
        <f t="shared" si="39"/>
        <v>85</v>
      </c>
      <c r="AF40" s="1">
        <f t="shared" si="39"/>
        <v>87</v>
      </c>
      <c r="AG40" s="1">
        <f t="shared" si="39"/>
        <v>89</v>
      </c>
      <c r="AH40" s="1">
        <f t="shared" si="39"/>
        <v>90</v>
      </c>
      <c r="AI40" s="1">
        <f t="shared" si="39"/>
        <v>91</v>
      </c>
      <c r="AJ40" s="1">
        <f t="shared" si="39"/>
        <v>93</v>
      </c>
      <c r="AK40" s="1">
        <f t="shared" si="39"/>
        <v>96</v>
      </c>
      <c r="AL40" s="1">
        <f t="shared" si="39"/>
        <v>99</v>
      </c>
      <c r="AM40" s="1">
        <f t="shared" si="39"/>
        <v>101</v>
      </c>
      <c r="AN40" s="1">
        <f t="shared" si="39"/>
        <v>102</v>
      </c>
      <c r="AO40" s="1">
        <f t="shared" si="39"/>
        <v>105</v>
      </c>
      <c r="AP40" s="1">
        <f t="shared" si="39"/>
        <v>111</v>
      </c>
      <c r="AR40" s="1">
        <f>COUNTIFS('onmogelijke score 2 pijlen'!score2pijlen,A40)</f>
        <v>26</v>
      </c>
      <c r="AS40" s="1">
        <f>COUNTIFS('onmogelijke score 2 pijlen'!score2pijlen,AP40)</f>
        <v>3</v>
      </c>
    </row>
    <row r="41" ht="15.75" customHeight="1">
      <c r="A41" s="1">
        <v>54.0</v>
      </c>
      <c r="B41" s="1">
        <f t="shared" ref="B41:AP41" si="40">$A41+B$1</f>
        <v>55</v>
      </c>
      <c r="C41" s="1">
        <f t="shared" si="40"/>
        <v>56</v>
      </c>
      <c r="D41" s="1">
        <f t="shared" si="40"/>
        <v>57</v>
      </c>
      <c r="E41" s="1">
        <f t="shared" si="40"/>
        <v>58</v>
      </c>
      <c r="F41" s="1">
        <f t="shared" si="40"/>
        <v>59</v>
      </c>
      <c r="G41" s="1">
        <f t="shared" si="40"/>
        <v>60</v>
      </c>
      <c r="H41" s="1">
        <f t="shared" si="40"/>
        <v>61</v>
      </c>
      <c r="I41" s="1">
        <f t="shared" si="40"/>
        <v>62</v>
      </c>
      <c r="J41" s="1">
        <f t="shared" si="40"/>
        <v>63</v>
      </c>
      <c r="K41" s="1">
        <f t="shared" si="40"/>
        <v>64</v>
      </c>
      <c r="L41" s="1">
        <f t="shared" si="40"/>
        <v>65</v>
      </c>
      <c r="M41" s="1">
        <f t="shared" si="40"/>
        <v>66</v>
      </c>
      <c r="N41" s="1">
        <f t="shared" si="40"/>
        <v>67</v>
      </c>
      <c r="O41" s="1">
        <f t="shared" si="40"/>
        <v>68</v>
      </c>
      <c r="P41" s="1">
        <f t="shared" si="40"/>
        <v>69</v>
      </c>
      <c r="Q41" s="1">
        <f t="shared" si="40"/>
        <v>70</v>
      </c>
      <c r="R41" s="1">
        <f t="shared" si="40"/>
        <v>71</v>
      </c>
      <c r="S41" s="1">
        <f t="shared" si="40"/>
        <v>72</v>
      </c>
      <c r="T41" s="1">
        <f t="shared" si="40"/>
        <v>73</v>
      </c>
      <c r="U41" s="1">
        <f t="shared" si="40"/>
        <v>74</v>
      </c>
      <c r="V41" s="1">
        <f t="shared" si="40"/>
        <v>75</v>
      </c>
      <c r="W41" s="1">
        <f t="shared" si="40"/>
        <v>76</v>
      </c>
      <c r="X41" s="1">
        <f t="shared" si="40"/>
        <v>78</v>
      </c>
      <c r="Y41" s="1">
        <f t="shared" si="40"/>
        <v>79</v>
      </c>
      <c r="Z41" s="1">
        <f t="shared" si="40"/>
        <v>80</v>
      </c>
      <c r="AA41" s="1">
        <f t="shared" si="40"/>
        <v>82</v>
      </c>
      <c r="AB41" s="1">
        <f t="shared" si="40"/>
        <v>84</v>
      </c>
      <c r="AC41" s="1">
        <f t="shared" si="40"/>
        <v>86</v>
      </c>
      <c r="AD41" s="1">
        <f t="shared" si="40"/>
        <v>87</v>
      </c>
      <c r="AE41" s="1">
        <f t="shared" si="40"/>
        <v>88</v>
      </c>
      <c r="AF41" s="1">
        <f t="shared" si="40"/>
        <v>90</v>
      </c>
      <c r="AG41" s="1">
        <f t="shared" si="40"/>
        <v>92</v>
      </c>
      <c r="AH41" s="1">
        <f t="shared" si="40"/>
        <v>93</v>
      </c>
      <c r="AI41" s="1">
        <f t="shared" si="40"/>
        <v>94</v>
      </c>
      <c r="AJ41" s="1">
        <f t="shared" si="40"/>
        <v>96</v>
      </c>
      <c r="AK41" s="1">
        <f t="shared" si="40"/>
        <v>99</v>
      </c>
      <c r="AL41" s="1">
        <f t="shared" si="40"/>
        <v>102</v>
      </c>
      <c r="AM41" s="1">
        <f t="shared" si="40"/>
        <v>104</v>
      </c>
      <c r="AN41" s="1">
        <f t="shared" si="40"/>
        <v>105</v>
      </c>
      <c r="AO41" s="1">
        <f t="shared" si="40"/>
        <v>108</v>
      </c>
      <c r="AP41" s="1">
        <f t="shared" si="40"/>
        <v>114</v>
      </c>
      <c r="AR41" s="1">
        <f>COUNTIFS('onmogelijke score 2 pijlen'!score2pijlen,A41)</f>
        <v>28</v>
      </c>
      <c r="AS41" s="1">
        <f>COUNTIFS('onmogelijke score 2 pijlen'!score2pijlen,AP41)</f>
        <v>2</v>
      </c>
    </row>
    <row r="42" ht="15.75" customHeight="1">
      <c r="A42" s="1">
        <v>57.0</v>
      </c>
      <c r="B42" s="1">
        <f t="shared" ref="B42:AP42" si="41">$A42+B$1</f>
        <v>58</v>
      </c>
      <c r="C42" s="1">
        <f t="shared" si="41"/>
        <v>59</v>
      </c>
      <c r="D42" s="1">
        <f t="shared" si="41"/>
        <v>60</v>
      </c>
      <c r="E42" s="1">
        <f t="shared" si="41"/>
        <v>61</v>
      </c>
      <c r="F42" s="1">
        <f t="shared" si="41"/>
        <v>62</v>
      </c>
      <c r="G42" s="1">
        <f t="shared" si="41"/>
        <v>63</v>
      </c>
      <c r="H42" s="1">
        <f t="shared" si="41"/>
        <v>64</v>
      </c>
      <c r="I42" s="1">
        <f t="shared" si="41"/>
        <v>65</v>
      </c>
      <c r="J42" s="1">
        <f t="shared" si="41"/>
        <v>66</v>
      </c>
      <c r="K42" s="1">
        <f t="shared" si="41"/>
        <v>67</v>
      </c>
      <c r="L42" s="1">
        <f t="shared" si="41"/>
        <v>68</v>
      </c>
      <c r="M42" s="1">
        <f t="shared" si="41"/>
        <v>69</v>
      </c>
      <c r="N42" s="1">
        <f t="shared" si="41"/>
        <v>70</v>
      </c>
      <c r="O42" s="1">
        <f t="shared" si="41"/>
        <v>71</v>
      </c>
      <c r="P42" s="1">
        <f t="shared" si="41"/>
        <v>72</v>
      </c>
      <c r="Q42" s="1">
        <f t="shared" si="41"/>
        <v>73</v>
      </c>
      <c r="R42" s="1">
        <f t="shared" si="41"/>
        <v>74</v>
      </c>
      <c r="S42" s="1">
        <f t="shared" si="41"/>
        <v>75</v>
      </c>
      <c r="T42" s="1">
        <f t="shared" si="41"/>
        <v>76</v>
      </c>
      <c r="U42" s="1">
        <f t="shared" si="41"/>
        <v>77</v>
      </c>
      <c r="V42" s="1">
        <f t="shared" si="41"/>
        <v>78</v>
      </c>
      <c r="W42" s="1">
        <f t="shared" si="41"/>
        <v>79</v>
      </c>
      <c r="X42" s="1">
        <f t="shared" si="41"/>
        <v>81</v>
      </c>
      <c r="Y42" s="1">
        <f t="shared" si="41"/>
        <v>82</v>
      </c>
      <c r="Z42" s="1">
        <f t="shared" si="41"/>
        <v>83</v>
      </c>
      <c r="AA42" s="1">
        <f t="shared" si="41"/>
        <v>85</v>
      </c>
      <c r="AB42" s="1">
        <f t="shared" si="41"/>
        <v>87</v>
      </c>
      <c r="AC42" s="1">
        <f t="shared" si="41"/>
        <v>89</v>
      </c>
      <c r="AD42" s="1">
        <f t="shared" si="41"/>
        <v>90</v>
      </c>
      <c r="AE42" s="1">
        <f t="shared" si="41"/>
        <v>91</v>
      </c>
      <c r="AF42" s="1">
        <f t="shared" si="41"/>
        <v>93</v>
      </c>
      <c r="AG42" s="1">
        <f t="shared" si="41"/>
        <v>95</v>
      </c>
      <c r="AH42" s="1">
        <f t="shared" si="41"/>
        <v>96</v>
      </c>
      <c r="AI42" s="1">
        <f t="shared" si="41"/>
        <v>97</v>
      </c>
      <c r="AJ42" s="1">
        <f t="shared" si="41"/>
        <v>99</v>
      </c>
      <c r="AK42" s="1">
        <f t="shared" si="41"/>
        <v>102</v>
      </c>
      <c r="AL42" s="1">
        <f t="shared" si="41"/>
        <v>105</v>
      </c>
      <c r="AM42" s="1">
        <f t="shared" si="41"/>
        <v>107</v>
      </c>
      <c r="AN42" s="1">
        <f t="shared" si="41"/>
        <v>108</v>
      </c>
      <c r="AO42" s="1">
        <f t="shared" si="41"/>
        <v>111</v>
      </c>
      <c r="AP42" s="1">
        <f t="shared" si="41"/>
        <v>117</v>
      </c>
      <c r="AR42" s="1">
        <f>COUNTIFS('onmogelijke score 2 pijlen'!score2pijlen,A42)</f>
        <v>24</v>
      </c>
      <c r="AS42" s="1">
        <f>COUNTIFS('onmogelijke score 2 pijlen'!score2pijlen,AP42)</f>
        <v>1</v>
      </c>
    </row>
    <row r="43" ht="15.75" customHeight="1">
      <c r="A43" s="1">
        <v>60.0</v>
      </c>
      <c r="B43" s="1">
        <f t="shared" ref="B43:AP43" si="42">$A43+B$1</f>
        <v>61</v>
      </c>
      <c r="C43" s="1">
        <f t="shared" si="42"/>
        <v>62</v>
      </c>
      <c r="D43" s="1">
        <f t="shared" si="42"/>
        <v>63</v>
      </c>
      <c r="E43" s="1">
        <f t="shared" si="42"/>
        <v>64</v>
      </c>
      <c r="F43" s="1">
        <f t="shared" si="42"/>
        <v>65</v>
      </c>
      <c r="G43" s="1">
        <f t="shared" si="42"/>
        <v>66</v>
      </c>
      <c r="H43" s="1">
        <f t="shared" si="42"/>
        <v>67</v>
      </c>
      <c r="I43" s="1">
        <f t="shared" si="42"/>
        <v>68</v>
      </c>
      <c r="J43" s="1">
        <f t="shared" si="42"/>
        <v>69</v>
      </c>
      <c r="K43" s="1">
        <f t="shared" si="42"/>
        <v>70</v>
      </c>
      <c r="L43" s="1">
        <f t="shared" si="42"/>
        <v>71</v>
      </c>
      <c r="M43" s="1">
        <f t="shared" si="42"/>
        <v>72</v>
      </c>
      <c r="N43" s="1">
        <f t="shared" si="42"/>
        <v>73</v>
      </c>
      <c r="O43" s="1">
        <f t="shared" si="42"/>
        <v>74</v>
      </c>
      <c r="P43" s="1">
        <f t="shared" si="42"/>
        <v>75</v>
      </c>
      <c r="Q43" s="1">
        <f t="shared" si="42"/>
        <v>76</v>
      </c>
      <c r="R43" s="1">
        <f t="shared" si="42"/>
        <v>77</v>
      </c>
      <c r="S43" s="1">
        <f t="shared" si="42"/>
        <v>78</v>
      </c>
      <c r="T43" s="1">
        <f t="shared" si="42"/>
        <v>79</v>
      </c>
      <c r="U43" s="1">
        <f t="shared" si="42"/>
        <v>80</v>
      </c>
      <c r="V43" s="1">
        <f t="shared" si="42"/>
        <v>81</v>
      </c>
      <c r="W43" s="1">
        <f t="shared" si="42"/>
        <v>82</v>
      </c>
      <c r="X43" s="1">
        <f t="shared" si="42"/>
        <v>84</v>
      </c>
      <c r="Y43" s="1">
        <f t="shared" si="42"/>
        <v>85</v>
      </c>
      <c r="Z43" s="1">
        <f t="shared" si="42"/>
        <v>86</v>
      </c>
      <c r="AA43" s="1">
        <f t="shared" si="42"/>
        <v>88</v>
      </c>
      <c r="AB43" s="1">
        <f t="shared" si="42"/>
        <v>90</v>
      </c>
      <c r="AC43" s="1">
        <f t="shared" si="42"/>
        <v>92</v>
      </c>
      <c r="AD43" s="1">
        <f t="shared" si="42"/>
        <v>93</v>
      </c>
      <c r="AE43" s="1">
        <f t="shared" si="42"/>
        <v>94</v>
      </c>
      <c r="AF43" s="1">
        <f t="shared" si="42"/>
        <v>96</v>
      </c>
      <c r="AG43" s="1">
        <f t="shared" si="42"/>
        <v>98</v>
      </c>
      <c r="AH43" s="1">
        <f t="shared" si="42"/>
        <v>99</v>
      </c>
      <c r="AI43" s="1">
        <f t="shared" si="42"/>
        <v>100</v>
      </c>
      <c r="AJ43" s="1">
        <f t="shared" si="42"/>
        <v>102</v>
      </c>
      <c r="AK43" s="1">
        <f t="shared" si="42"/>
        <v>105</v>
      </c>
      <c r="AL43" s="1">
        <f t="shared" si="42"/>
        <v>108</v>
      </c>
      <c r="AM43" s="1">
        <f t="shared" si="42"/>
        <v>110</v>
      </c>
      <c r="AN43" s="1">
        <f t="shared" si="42"/>
        <v>111</v>
      </c>
      <c r="AO43" s="1">
        <f t="shared" si="42"/>
        <v>114</v>
      </c>
      <c r="AP43" s="1">
        <f t="shared" si="42"/>
        <v>120</v>
      </c>
      <c r="AR43" s="1">
        <f>COUNTIFS('onmogelijke score 2 pijlen'!score2pijlen,A43)</f>
        <v>26</v>
      </c>
      <c r="AS43" s="1">
        <f>COUNTIFS('onmogelijke score 2 pijlen'!score2pijlen,AP43)</f>
        <v>1</v>
      </c>
    </row>
    <row r="44" ht="15.75" customHeight="1">
      <c r="AR44" s="1">
        <f>COUNTIFS('onmogelijke score 2 pijlen'!score2pijlen,A44)</f>
        <v>0</v>
      </c>
    </row>
    <row r="45" ht="15.75" customHeight="1">
      <c r="AR45" s="1">
        <f>COUNTIFS('onmogelijke score 2 pijlen'!score2pijlen,A45)</f>
        <v>0</v>
      </c>
    </row>
    <row r="46" ht="15.75" customHeight="1">
      <c r="A46" s="2">
        <v>2.0</v>
      </c>
      <c r="AR46" s="1">
        <f>COUNTIFS('onmogelijke score 2 pijlen'!score2pijlen,A46)</f>
        <v>1</v>
      </c>
    </row>
    <row r="47" ht="15.75" customHeight="1">
      <c r="A47" s="2">
        <v>3.0</v>
      </c>
      <c r="AR47" s="1">
        <f>COUNTIFS('onmogelijke score 2 pijlen'!score2pijlen,A47)</f>
        <v>2</v>
      </c>
    </row>
    <row r="48" ht="15.75" customHeight="1">
      <c r="A48" s="2">
        <v>4.0</v>
      </c>
      <c r="AR48" s="1">
        <f>COUNTIFS('onmogelijke score 2 pijlen'!score2pijlen,A48)</f>
        <v>3</v>
      </c>
    </row>
    <row r="49" ht="15.75" customHeight="1">
      <c r="A49" s="2">
        <v>5.0</v>
      </c>
      <c r="AR49" s="1">
        <f>COUNTIFS('onmogelijke score 2 pijlen'!score2pijlen,A49)</f>
        <v>4</v>
      </c>
    </row>
    <row r="50" ht="15.75" customHeight="1">
      <c r="A50" s="2">
        <v>6.0</v>
      </c>
      <c r="AR50" s="1">
        <f>COUNTIFS('onmogelijke score 2 pijlen'!score2pijlen,A50)</f>
        <v>5</v>
      </c>
    </row>
    <row r="51" ht="15.75" customHeight="1">
      <c r="A51" s="2">
        <v>7.0</v>
      </c>
      <c r="AR51" s="1">
        <f>COUNTIFS('onmogelijke score 2 pijlen'!score2pijlen,A51)</f>
        <v>6</v>
      </c>
    </row>
    <row r="52" ht="15.75" customHeight="1">
      <c r="A52" s="2">
        <v>8.0</v>
      </c>
      <c r="AR52" s="1">
        <f>COUNTIFS('onmogelijke score 2 pijlen'!score2pijlen,A52)</f>
        <v>7</v>
      </c>
    </row>
    <row r="53" ht="15.75" customHeight="1">
      <c r="A53" s="2">
        <v>9.0</v>
      </c>
      <c r="AR53" s="1">
        <f>COUNTIFS('onmogelijke score 2 pijlen'!score2pijlen,A53)</f>
        <v>8</v>
      </c>
    </row>
    <row r="54" ht="15.75" customHeight="1">
      <c r="A54" s="2">
        <v>10.0</v>
      </c>
      <c r="AR54" s="1">
        <f>COUNTIFS('onmogelijke score 2 pijlen'!score2pijlen,A54)</f>
        <v>9</v>
      </c>
    </row>
    <row r="55" ht="15.75" customHeight="1">
      <c r="A55" s="2">
        <v>11.0</v>
      </c>
      <c r="AR55" s="1">
        <f>COUNTIFS('onmogelijke score 2 pijlen'!score2pijlen,A55)</f>
        <v>10</v>
      </c>
    </row>
    <row r="56" ht="15.75" customHeight="1">
      <c r="A56" s="2">
        <v>12.0</v>
      </c>
      <c r="AR56" s="1">
        <f>COUNTIFS('onmogelijke score 2 pijlen'!score2pijlen,A56)</f>
        <v>11</v>
      </c>
    </row>
    <row r="57" ht="15.75" customHeight="1">
      <c r="A57" s="2">
        <v>13.0</v>
      </c>
      <c r="AR57" s="1">
        <f>COUNTIFS('onmogelijke score 2 pijlen'!score2pijlen,A57)</f>
        <v>12</v>
      </c>
    </row>
    <row r="58" ht="15.75" customHeight="1">
      <c r="A58" s="2">
        <v>14.0</v>
      </c>
      <c r="AR58" s="1">
        <f>COUNTIFS('onmogelijke score 2 pijlen'!score2pijlen,A58)</f>
        <v>13</v>
      </c>
    </row>
    <row r="59" ht="15.75" customHeight="1">
      <c r="A59" s="2">
        <v>15.0</v>
      </c>
      <c r="AR59" s="1">
        <f>COUNTIFS('onmogelijke score 2 pijlen'!score2pijlen,A59)</f>
        <v>14</v>
      </c>
    </row>
    <row r="60" ht="15.75" customHeight="1">
      <c r="A60" s="2">
        <v>16.0</v>
      </c>
      <c r="AR60" s="1">
        <f>COUNTIFS('onmogelijke score 2 pijlen'!score2pijlen,A60)</f>
        <v>15</v>
      </c>
    </row>
    <row r="61" ht="15.75" customHeight="1">
      <c r="A61" s="2">
        <v>17.0</v>
      </c>
      <c r="AR61" s="1">
        <f>COUNTIFS('onmogelijke score 2 pijlen'!score2pijlen,A61)</f>
        <v>16</v>
      </c>
    </row>
    <row r="62" ht="15.75" customHeight="1">
      <c r="A62" s="2">
        <v>18.0</v>
      </c>
      <c r="AR62" s="1">
        <f>COUNTIFS('onmogelijke score 2 pijlen'!score2pijlen,A62)</f>
        <v>17</v>
      </c>
    </row>
    <row r="63" ht="15.75" customHeight="1">
      <c r="A63" s="2">
        <v>19.0</v>
      </c>
      <c r="AR63" s="1">
        <f>COUNTIFS('onmogelijke score 2 pijlen'!score2pijlen,A63)</f>
        <v>18</v>
      </c>
    </row>
    <row r="64" ht="15.75" customHeight="1">
      <c r="A64" s="2">
        <v>20.0</v>
      </c>
      <c r="AR64" s="1">
        <f>COUNTIFS('onmogelijke score 2 pijlen'!score2pijlen,A64)</f>
        <v>19</v>
      </c>
    </row>
    <row r="65" ht="15.75" customHeight="1">
      <c r="A65" s="2">
        <v>21.0</v>
      </c>
      <c r="AR65" s="1">
        <f>COUNTIFS('onmogelijke score 2 pijlen'!score2pijlen,A65)</f>
        <v>20</v>
      </c>
    </row>
    <row r="66" ht="15.75" customHeight="1">
      <c r="A66" s="2">
        <v>22.0</v>
      </c>
      <c r="AR66" s="1">
        <f>COUNTIFS('onmogelijke score 2 pijlen'!score2pijlen,A66)</f>
        <v>21</v>
      </c>
    </row>
    <row r="67" ht="15.75" customHeight="1">
      <c r="A67" s="2">
        <v>23.0</v>
      </c>
      <c r="AR67" s="1">
        <f>COUNTIFS('onmogelijke score 2 pijlen'!score2pijlen,A67)</f>
        <v>22</v>
      </c>
    </row>
    <row r="68" ht="15.75" customHeight="1">
      <c r="A68" s="2">
        <v>24.0</v>
      </c>
      <c r="AR68" s="1">
        <f>COUNTIFS('onmogelijke score 2 pijlen'!score2pijlen,A68)</f>
        <v>21</v>
      </c>
    </row>
    <row r="69" ht="15.75" customHeight="1">
      <c r="A69" s="2">
        <v>25.0</v>
      </c>
      <c r="AR69" s="1">
        <f>COUNTIFS('onmogelijke score 2 pijlen'!score2pijlen,A69)</f>
        <v>22</v>
      </c>
    </row>
    <row r="70" ht="15.75" customHeight="1">
      <c r="A70" s="2">
        <v>26.0</v>
      </c>
      <c r="AR70" s="1">
        <f>COUNTIFS('onmogelijke score 2 pijlen'!score2pijlen,A70)</f>
        <v>23</v>
      </c>
    </row>
    <row r="71" ht="15.75" customHeight="1">
      <c r="A71" s="2">
        <v>27.0</v>
      </c>
      <c r="AR71" s="1">
        <f>COUNTIFS('onmogelijke score 2 pijlen'!score2pijlen,A71)</f>
        <v>24</v>
      </c>
    </row>
    <row r="72" ht="15.75" customHeight="1">
      <c r="A72" s="2">
        <v>28.0</v>
      </c>
      <c r="AR72" s="1">
        <f>COUNTIFS('onmogelijke score 2 pijlen'!score2pijlen,A72)</f>
        <v>23</v>
      </c>
    </row>
    <row r="73" ht="15.75" customHeight="1">
      <c r="A73" s="2">
        <v>29.0</v>
      </c>
      <c r="AR73" s="1">
        <f>COUNTIFS('onmogelijke score 2 pijlen'!score2pijlen,A73)</f>
        <v>24</v>
      </c>
    </row>
    <row r="74" ht="15.75" customHeight="1">
      <c r="A74" s="2">
        <v>30.0</v>
      </c>
      <c r="AR74" s="1">
        <f>COUNTIFS('onmogelijke score 2 pijlen'!score2pijlen,A74)</f>
        <v>23</v>
      </c>
    </row>
    <row r="75" ht="15.75" customHeight="1">
      <c r="A75" s="2">
        <v>31.0</v>
      </c>
      <c r="AR75" s="1">
        <f>COUNTIFS('onmogelijke score 2 pijlen'!score2pijlen,A75)</f>
        <v>24</v>
      </c>
    </row>
    <row r="76" ht="15.75" customHeight="1">
      <c r="A76" s="2">
        <v>32.0</v>
      </c>
      <c r="AR76" s="1">
        <f>COUNTIFS('onmogelijke score 2 pijlen'!score2pijlen,A76)</f>
        <v>23</v>
      </c>
    </row>
    <row r="77" ht="15.75" customHeight="1">
      <c r="A77" s="2">
        <v>33.0</v>
      </c>
      <c r="AR77" s="1">
        <f>COUNTIFS('onmogelijke score 2 pijlen'!score2pijlen,A77)</f>
        <v>24</v>
      </c>
    </row>
    <row r="78" ht="15.75" customHeight="1">
      <c r="A78" s="2">
        <v>34.0</v>
      </c>
      <c r="AR78" s="1">
        <f>COUNTIFS('onmogelijke score 2 pijlen'!score2pijlen,A78)</f>
        <v>25</v>
      </c>
    </row>
    <row r="79" ht="15.75" customHeight="1">
      <c r="A79" s="2">
        <v>35.0</v>
      </c>
      <c r="AR79" s="1">
        <f>COUNTIFS('onmogelijke score 2 pijlen'!score2pijlen,A79)</f>
        <v>26</v>
      </c>
    </row>
    <row r="80" ht="15.75" customHeight="1">
      <c r="A80" s="2">
        <v>36.0</v>
      </c>
      <c r="AR80" s="1">
        <f>COUNTIFS('onmogelijke score 2 pijlen'!score2pijlen,A80)</f>
        <v>25</v>
      </c>
    </row>
    <row r="81" ht="15.75" customHeight="1">
      <c r="A81" s="2">
        <v>37.0</v>
      </c>
      <c r="AR81" s="1">
        <f>COUNTIFS('onmogelijke score 2 pijlen'!score2pijlen,A81)</f>
        <v>26</v>
      </c>
    </row>
    <row r="82" ht="15.75" customHeight="1">
      <c r="A82" s="2">
        <v>38.0</v>
      </c>
      <c r="AR82" s="1">
        <f>COUNTIFS('onmogelijke score 2 pijlen'!score2pijlen,A82)</f>
        <v>25</v>
      </c>
    </row>
    <row r="83" ht="15.75" customHeight="1">
      <c r="A83" s="2">
        <v>39.0</v>
      </c>
      <c r="AR83" s="1">
        <f>COUNTIFS('onmogelijke score 2 pijlen'!score2pijlen,A83)</f>
        <v>26</v>
      </c>
    </row>
    <row r="84" ht="15.75" customHeight="1">
      <c r="A84" s="2">
        <v>40.0</v>
      </c>
      <c r="AR84" s="1">
        <f>COUNTIFS('onmogelijke score 2 pijlen'!score2pijlen,A84)</f>
        <v>27</v>
      </c>
    </row>
    <row r="85" ht="15.75" customHeight="1">
      <c r="A85" s="2">
        <v>41.0</v>
      </c>
      <c r="AR85" s="1">
        <f>COUNTIFS('onmogelijke score 2 pijlen'!score2pijlen,A85)</f>
        <v>28</v>
      </c>
    </row>
    <row r="86" ht="15.75" customHeight="1">
      <c r="A86" s="2">
        <v>42.0</v>
      </c>
      <c r="AR86" s="1">
        <f>COUNTIFS('onmogelijke score 2 pijlen'!score2pijlen,A86)</f>
        <v>27</v>
      </c>
    </row>
    <row r="87" ht="15.75" customHeight="1">
      <c r="A87" s="2">
        <v>43.0</v>
      </c>
      <c r="AR87" s="1">
        <f>COUNTIFS('onmogelijke score 2 pijlen'!score2pijlen,A87)</f>
        <v>28</v>
      </c>
    </row>
    <row r="88" ht="15.75" customHeight="1">
      <c r="A88" s="2">
        <v>44.0</v>
      </c>
      <c r="AR88" s="1">
        <f>COUNTIFS('onmogelijke score 2 pijlen'!score2pijlen,A88)</f>
        <v>27</v>
      </c>
    </row>
    <row r="89" ht="15.75" customHeight="1">
      <c r="A89" s="2">
        <v>45.0</v>
      </c>
      <c r="AR89" s="1">
        <f>COUNTIFS('onmogelijke score 2 pijlen'!score2pijlen,A89)</f>
        <v>26</v>
      </c>
    </row>
    <row r="90" ht="15.75" customHeight="1">
      <c r="A90" s="2">
        <v>46.0</v>
      </c>
      <c r="AR90" s="1">
        <f>COUNTIFS('onmogelijke score 2 pijlen'!score2pijlen,A90)</f>
        <v>28</v>
      </c>
    </row>
    <row r="91" ht="15.75" customHeight="1">
      <c r="A91" s="2">
        <v>47.0</v>
      </c>
      <c r="AR91" s="1">
        <f>COUNTIFS('onmogelijke score 2 pijlen'!score2pijlen,A91)</f>
        <v>26</v>
      </c>
    </row>
    <row r="92" ht="15.75" customHeight="1">
      <c r="A92" s="2">
        <v>48.0</v>
      </c>
      <c r="AR92" s="1">
        <f>COUNTIFS('onmogelijke score 2 pijlen'!score2pijlen,A92)</f>
        <v>25</v>
      </c>
    </row>
    <row r="93" ht="15.75" customHeight="1">
      <c r="A93" s="2">
        <v>49.0</v>
      </c>
      <c r="AR93" s="1">
        <f>COUNTIFS('onmogelijke score 2 pijlen'!score2pijlen,A93)</f>
        <v>26</v>
      </c>
    </row>
    <row r="94" ht="15.75" customHeight="1">
      <c r="A94" s="2">
        <v>50.0</v>
      </c>
      <c r="AR94" s="1">
        <f>COUNTIFS('onmogelijke score 2 pijlen'!score2pijlen,A94)</f>
        <v>27</v>
      </c>
    </row>
    <row r="95" ht="15.75" customHeight="1">
      <c r="A95" s="2">
        <v>51.0</v>
      </c>
      <c r="AR95" s="1">
        <f>COUNTIFS('onmogelijke score 2 pijlen'!score2pijlen,A95)</f>
        <v>26</v>
      </c>
    </row>
    <row r="96" ht="15.75" customHeight="1">
      <c r="A96" s="2">
        <v>52.0</v>
      </c>
      <c r="AR96" s="1">
        <f>COUNTIFS('onmogelijke score 2 pijlen'!score2pijlen,A96)</f>
        <v>29</v>
      </c>
    </row>
    <row r="97" ht="15.75" customHeight="1">
      <c r="A97" s="2">
        <v>53.0</v>
      </c>
      <c r="AR97" s="1">
        <f>COUNTIFS('onmogelijke score 2 pijlen'!score2pijlen,A97)</f>
        <v>26</v>
      </c>
    </row>
    <row r="98" ht="15.75" customHeight="1">
      <c r="A98" s="2">
        <v>54.0</v>
      </c>
      <c r="AR98" s="1">
        <f>COUNTIFS('onmogelijke score 2 pijlen'!score2pijlen,A98)</f>
        <v>28</v>
      </c>
    </row>
    <row r="99" ht="15.75" customHeight="1">
      <c r="A99" s="2">
        <v>55.0</v>
      </c>
      <c r="AR99" s="1">
        <f>COUNTIFS('onmogelijke score 2 pijlen'!score2pijlen,A99)</f>
        <v>26</v>
      </c>
    </row>
    <row r="100" ht="15.75" customHeight="1">
      <c r="A100" s="2">
        <v>56.0</v>
      </c>
      <c r="AR100" s="1">
        <f>COUNTIFS('onmogelijke score 2 pijlen'!score2pijlen,A100)</f>
        <v>27</v>
      </c>
    </row>
    <row r="101" ht="15.75" customHeight="1">
      <c r="A101" s="2">
        <v>57.0</v>
      </c>
      <c r="AR101" s="1">
        <f>COUNTIFS('onmogelijke score 2 pijlen'!score2pijlen,A101)</f>
        <v>24</v>
      </c>
    </row>
    <row r="102" ht="15.75" customHeight="1">
      <c r="A102" s="2">
        <v>58.0</v>
      </c>
      <c r="AR102" s="1">
        <f>COUNTIFS('onmogelijke score 2 pijlen'!score2pijlen,A102)</f>
        <v>29</v>
      </c>
    </row>
    <row r="103" ht="15.75" customHeight="1">
      <c r="A103" s="2">
        <v>59.0</v>
      </c>
      <c r="AR103" s="1">
        <f>COUNTIFS('onmogelijke score 2 pijlen'!score2pijlen,A103)</f>
        <v>23</v>
      </c>
    </row>
    <row r="104" ht="15.75" customHeight="1">
      <c r="A104" s="2">
        <v>60.0</v>
      </c>
      <c r="AR104" s="1">
        <f>COUNTIFS('onmogelijke score 2 pijlen'!score2pijlen,A104)</f>
        <v>26</v>
      </c>
    </row>
    <row r="105" ht="15.75" customHeight="1">
      <c r="A105" s="2">
        <v>61.0</v>
      </c>
      <c r="AR105" s="1">
        <f>COUNTIFS('onmogelijke score 2 pijlen'!score2pijlen,A105)</f>
        <v>23</v>
      </c>
    </row>
    <row r="106" ht="15.75" customHeight="1">
      <c r="A106" s="2">
        <v>62.0</v>
      </c>
      <c r="AR106" s="1">
        <f>COUNTIFS('onmogelijke score 2 pijlen'!score2pijlen,A106)</f>
        <v>25</v>
      </c>
    </row>
    <row r="107" ht="15.75" customHeight="1">
      <c r="A107" s="2">
        <v>63.0</v>
      </c>
      <c r="AR107" s="1">
        <f>COUNTIFS('onmogelijke score 2 pijlen'!score2pijlen,A107)</f>
        <v>21</v>
      </c>
    </row>
    <row r="108" ht="15.75" customHeight="1">
      <c r="A108" s="2">
        <v>64.0</v>
      </c>
      <c r="AR108" s="1">
        <f>COUNTIFS('onmogelijke score 2 pijlen'!score2pijlen,A108)</f>
        <v>26</v>
      </c>
    </row>
    <row r="109" ht="15.75" customHeight="1">
      <c r="A109" s="2">
        <v>65.0</v>
      </c>
      <c r="AR109" s="1">
        <f>COUNTIFS('onmogelijke score 2 pijlen'!score2pijlen,A109)</f>
        <v>19</v>
      </c>
    </row>
    <row r="110" ht="15.75" customHeight="1">
      <c r="A110" s="2">
        <v>66.0</v>
      </c>
      <c r="AR110" s="1">
        <f>COUNTIFS('onmogelijke score 2 pijlen'!score2pijlen,A110)</f>
        <v>24</v>
      </c>
    </row>
    <row r="111" ht="15.75" customHeight="1">
      <c r="A111" s="2">
        <v>67.0</v>
      </c>
      <c r="AR111" s="1">
        <f>COUNTIFS('onmogelijke score 2 pijlen'!score2pijlen,A111)</f>
        <v>19</v>
      </c>
    </row>
    <row r="112" ht="15.75" customHeight="1">
      <c r="A112" s="2">
        <v>68.0</v>
      </c>
      <c r="AR112" s="1">
        <f>COUNTIFS('onmogelijke score 2 pijlen'!score2pijlen,A112)</f>
        <v>20</v>
      </c>
    </row>
    <row r="113" ht="15.75" customHeight="1">
      <c r="A113" s="2">
        <v>69.0</v>
      </c>
      <c r="AR113" s="1">
        <f>COUNTIFS('onmogelijke score 2 pijlen'!score2pijlen,A113)</f>
        <v>17</v>
      </c>
    </row>
    <row r="114" ht="15.75" customHeight="1">
      <c r="A114" s="2">
        <v>70.0</v>
      </c>
      <c r="AR114" s="1">
        <f>COUNTIFS('onmogelijke score 2 pijlen'!score2pijlen,A114)</f>
        <v>21</v>
      </c>
    </row>
    <row r="115" ht="15.75" customHeight="1">
      <c r="A115" s="2">
        <v>71.0</v>
      </c>
      <c r="AR115" s="1">
        <f>COUNTIFS('onmogelijke score 2 pijlen'!score2pijlen,A115)</f>
        <v>15</v>
      </c>
    </row>
    <row r="116" ht="15.75" customHeight="1">
      <c r="A116" s="2">
        <v>72.0</v>
      </c>
      <c r="AR116" s="1">
        <f>COUNTIFS('onmogelijke score 2 pijlen'!score2pijlen,A116)</f>
        <v>20</v>
      </c>
    </row>
    <row r="117" ht="15.75" customHeight="1">
      <c r="A117" s="2">
        <v>73.0</v>
      </c>
      <c r="AR117" s="1">
        <f>COUNTIFS('onmogelijke score 2 pijlen'!score2pijlen,A117)</f>
        <v>15</v>
      </c>
    </row>
    <row r="118" ht="15.75" customHeight="1">
      <c r="A118" s="2">
        <v>74.0</v>
      </c>
      <c r="AR118" s="1">
        <f>COUNTIFS('onmogelijke score 2 pijlen'!score2pijlen,A118)</f>
        <v>15</v>
      </c>
    </row>
    <row r="119" ht="15.75" customHeight="1">
      <c r="A119" s="2">
        <v>75.0</v>
      </c>
      <c r="AR119" s="1">
        <f>COUNTIFS('onmogelijke score 2 pijlen'!score2pijlen,A119)</f>
        <v>15</v>
      </c>
    </row>
    <row r="120" ht="15.75" customHeight="1">
      <c r="A120" s="2">
        <v>76.0</v>
      </c>
      <c r="AR120" s="1">
        <f>COUNTIFS('onmogelijke score 2 pijlen'!score2pijlen,A120)</f>
        <v>16</v>
      </c>
    </row>
    <row r="121" ht="15.75" customHeight="1">
      <c r="A121" s="2">
        <v>77.0</v>
      </c>
      <c r="AR121" s="1">
        <f>COUNTIFS('onmogelijke score 2 pijlen'!score2pijlen,A121)</f>
        <v>9</v>
      </c>
    </row>
    <row r="122" ht="15.75" customHeight="1">
      <c r="A122" s="2">
        <v>78.0</v>
      </c>
      <c r="AR122" s="1">
        <f>COUNTIFS('onmogelijke score 2 pijlen'!score2pijlen,A122)</f>
        <v>16</v>
      </c>
    </row>
    <row r="123" ht="15.75" customHeight="1">
      <c r="A123" s="2">
        <v>79.0</v>
      </c>
      <c r="AR123" s="1">
        <f>COUNTIFS('onmogelijke score 2 pijlen'!score2pijlen,A123)</f>
        <v>11</v>
      </c>
    </row>
    <row r="124" ht="15.75" customHeight="1">
      <c r="A124" s="2">
        <v>80.0</v>
      </c>
      <c r="AR124" s="1">
        <f>COUNTIFS('onmogelijke score 2 pijlen'!score2pijlen,A124)</f>
        <v>11</v>
      </c>
    </row>
    <row r="125" ht="15.75" customHeight="1">
      <c r="A125" s="2">
        <v>81.0</v>
      </c>
      <c r="AR125" s="1">
        <f>COUNTIFS('onmogelijke score 2 pijlen'!score2pijlen,A125)</f>
        <v>11</v>
      </c>
    </row>
    <row r="126" ht="15.75" customHeight="1">
      <c r="A126" s="2">
        <v>82.0</v>
      </c>
      <c r="AR126" s="1">
        <f>COUNTIFS('onmogelijke score 2 pijlen'!score2pijlen,A126)</f>
        <v>11</v>
      </c>
    </row>
    <row r="127" ht="15.75" customHeight="1">
      <c r="A127" s="2">
        <v>83.0</v>
      </c>
      <c r="AR127" s="1">
        <f>COUNTIFS('onmogelijke score 2 pijlen'!score2pijlen,A127)</f>
        <v>7</v>
      </c>
    </row>
    <row r="128" ht="15.75" customHeight="1">
      <c r="A128" s="2">
        <v>84.0</v>
      </c>
      <c r="AR128" s="1">
        <f>COUNTIFS('onmogelijke score 2 pijlen'!score2pijlen,A128)</f>
        <v>13</v>
      </c>
    </row>
    <row r="129" ht="15.75" customHeight="1">
      <c r="A129" s="2">
        <v>85.0</v>
      </c>
      <c r="AR129" s="1">
        <f>COUNTIFS('onmogelijke score 2 pijlen'!score2pijlen,A129)</f>
        <v>7</v>
      </c>
    </row>
    <row r="130" ht="15.75" customHeight="1">
      <c r="A130" s="2">
        <v>86.0</v>
      </c>
      <c r="AR130" s="1">
        <f>COUNTIFS('onmogelijke score 2 pijlen'!score2pijlen,A130)</f>
        <v>8</v>
      </c>
    </row>
    <row r="131" ht="15.75" customHeight="1">
      <c r="A131" s="2">
        <v>87.0</v>
      </c>
      <c r="AR131" s="1">
        <f>COUNTIFS('onmogelijke score 2 pijlen'!score2pijlen,A131)</f>
        <v>9</v>
      </c>
    </row>
    <row r="132" ht="15.75" customHeight="1">
      <c r="A132" s="2">
        <v>88.0</v>
      </c>
      <c r="AR132" s="1">
        <f>COUNTIFS('onmogelijke score 2 pijlen'!score2pijlen,A132)</f>
        <v>8</v>
      </c>
    </row>
    <row r="133" ht="15.75" customHeight="1">
      <c r="A133" s="2">
        <v>89.0</v>
      </c>
      <c r="AR133" s="1">
        <f>COUNTIFS('onmogelijke score 2 pijlen'!score2pijlen,A133)</f>
        <v>5</v>
      </c>
    </row>
    <row r="134" ht="15.75" customHeight="1">
      <c r="A134" s="2">
        <v>90.0</v>
      </c>
      <c r="AR134" s="1">
        <f>COUNTIFS('onmogelijke score 2 pijlen'!score2pijlen,A134)</f>
        <v>12</v>
      </c>
    </row>
    <row r="135" ht="15.75" customHeight="1">
      <c r="A135" s="2">
        <v>91.0</v>
      </c>
      <c r="AR135" s="1">
        <f>COUNTIFS('onmogelijke score 2 pijlen'!score2pijlen,A135)</f>
        <v>3</v>
      </c>
    </row>
    <row r="136" ht="15.75" customHeight="1">
      <c r="A136" s="2">
        <v>92.0</v>
      </c>
      <c r="AR136" s="1">
        <f>COUNTIFS('onmogelijke score 2 pijlen'!score2pijlen,A136)</f>
        <v>6</v>
      </c>
    </row>
    <row r="137" ht="15.75" customHeight="1">
      <c r="A137" s="2">
        <v>93.0</v>
      </c>
      <c r="AR137" s="1">
        <f>COUNTIFS('onmogelijke score 2 pijlen'!score2pijlen,A137)</f>
        <v>9</v>
      </c>
    </row>
    <row r="138" ht="15.75" customHeight="1">
      <c r="A138" s="2">
        <v>94.0</v>
      </c>
      <c r="AR138" s="1">
        <f>COUNTIFS('onmogelijke score 2 pijlen'!score2pijlen,A138)</f>
        <v>4</v>
      </c>
    </row>
    <row r="139" ht="15.75" customHeight="1">
      <c r="A139" s="2">
        <v>95.0</v>
      </c>
      <c r="AR139" s="1">
        <f>COUNTIFS('onmogelijke score 2 pijlen'!score2pijlen,A139)</f>
        <v>3</v>
      </c>
    </row>
    <row r="140" ht="15.75" customHeight="1">
      <c r="A140" s="2">
        <v>96.0</v>
      </c>
      <c r="AR140" s="1">
        <f>COUNTIFS('onmogelijke score 2 pijlen'!score2pijlen,A140)</f>
        <v>8</v>
      </c>
    </row>
    <row r="141" ht="15.75" customHeight="1">
      <c r="A141" s="2">
        <v>97.0</v>
      </c>
      <c r="AR141" s="1">
        <f>COUNTIFS('onmogelijke score 2 pijlen'!score2pijlen,A141)</f>
        <v>1</v>
      </c>
    </row>
    <row r="142" ht="15.75" customHeight="1">
      <c r="A142" s="2">
        <v>98.0</v>
      </c>
      <c r="AR142" s="1">
        <f>COUNTIFS('onmogelijke score 2 pijlen'!score2pijlen,A142)</f>
        <v>4</v>
      </c>
    </row>
    <row r="143" ht="15.75" customHeight="1">
      <c r="A143" s="2">
        <v>99.0</v>
      </c>
      <c r="AR143" s="1">
        <f>COUNTIFS('onmogelijke score 2 pijlen'!score2pijlen,A143)</f>
        <v>7</v>
      </c>
    </row>
    <row r="144" ht="15.75" customHeight="1">
      <c r="A144" s="2">
        <v>100.0</v>
      </c>
      <c r="AR144" s="1">
        <f>COUNTIFS('onmogelijke score 2 pijlen'!score2pijlen,A144)</f>
        <v>3</v>
      </c>
    </row>
    <row r="145" ht="15.75" customHeight="1">
      <c r="A145" s="2">
        <v>101.0</v>
      </c>
      <c r="AR145" s="1">
        <f>COUNTIFS('onmogelijke score 2 pijlen'!score2pijlen,A145)</f>
        <v>2</v>
      </c>
    </row>
    <row r="146" ht="15.75" customHeight="1">
      <c r="A146" s="2">
        <v>102.0</v>
      </c>
      <c r="AR146" s="1">
        <f>COUNTIFS('onmogelijke score 2 pijlen'!score2pijlen,A146)</f>
        <v>6</v>
      </c>
    </row>
    <row r="147" ht="15.75" customHeight="1">
      <c r="A147" s="7">
        <v>103.0</v>
      </c>
      <c r="AR147" s="1">
        <f>COUNTIFS('onmogelijke score 2 pijlen'!score2pijlen,A147)</f>
        <v>0</v>
      </c>
    </row>
    <row r="148" ht="15.75" customHeight="1">
      <c r="A148" s="2">
        <v>104.0</v>
      </c>
      <c r="AR148" s="1">
        <f>COUNTIFS('onmogelijke score 2 pijlen'!score2pijlen,A148)</f>
        <v>2</v>
      </c>
    </row>
    <row r="149" ht="15.75" customHeight="1">
      <c r="A149" s="2">
        <v>105.0</v>
      </c>
      <c r="AR149" s="1">
        <f>COUNTIFS('onmogelijke score 2 pijlen'!score2pijlen,A149)</f>
        <v>5</v>
      </c>
    </row>
    <row r="150" ht="15.75" customHeight="1">
      <c r="A150" s="7">
        <v>106.0</v>
      </c>
      <c r="AR150" s="1">
        <f>COUNTIFS('onmogelijke score 2 pijlen'!score2pijlen,A150)</f>
        <v>0</v>
      </c>
    </row>
    <row r="151" ht="15.75" customHeight="1">
      <c r="A151" s="2">
        <v>107.0</v>
      </c>
      <c r="AR151" s="1">
        <f>COUNTIFS('onmogelijke score 2 pijlen'!score2pijlen,A151)</f>
        <v>1</v>
      </c>
    </row>
    <row r="152" ht="15.75" customHeight="1">
      <c r="A152" s="2">
        <v>108.0</v>
      </c>
      <c r="AR152" s="1">
        <f>COUNTIFS('onmogelijke score 2 pijlen'!score2pijlen,A152)</f>
        <v>4</v>
      </c>
    </row>
    <row r="153" ht="15.75" customHeight="1">
      <c r="A153" s="7">
        <v>109.0</v>
      </c>
      <c r="AR153" s="1">
        <f>COUNTIFS('onmogelijke score 2 pijlen'!score2pijlen,A153)</f>
        <v>0</v>
      </c>
    </row>
    <row r="154" ht="15.75" customHeight="1">
      <c r="A154" s="2">
        <v>110.0</v>
      </c>
      <c r="AR154" s="1">
        <f>COUNTIFS('onmogelijke score 2 pijlen'!score2pijlen,A154)</f>
        <v>2</v>
      </c>
    </row>
    <row r="155" ht="15.75" customHeight="1">
      <c r="A155" s="2">
        <v>111.0</v>
      </c>
      <c r="AR155" s="1">
        <f>COUNTIFS('onmogelijke score 2 pijlen'!score2pijlen,A155)</f>
        <v>3</v>
      </c>
    </row>
    <row r="156" ht="15.75" customHeight="1">
      <c r="A156" s="7">
        <v>112.0</v>
      </c>
      <c r="AR156" s="1">
        <f>COUNTIFS('onmogelijke score 2 pijlen'!score2pijlen,A156)</f>
        <v>0</v>
      </c>
    </row>
    <row r="157" ht="15.75" customHeight="1">
      <c r="A157" s="7">
        <v>113.0</v>
      </c>
      <c r="AR157" s="1">
        <f>COUNTIFS('onmogelijke score 2 pijlen'!score2pijlen,A157)</f>
        <v>0</v>
      </c>
    </row>
    <row r="158" ht="15.75" customHeight="1">
      <c r="A158" s="2">
        <v>114.0</v>
      </c>
      <c r="AR158" s="1">
        <f>COUNTIFS('onmogelijke score 2 pijlen'!score2pijlen,A158)</f>
        <v>2</v>
      </c>
    </row>
    <row r="159" ht="15.75" customHeight="1">
      <c r="A159" s="7">
        <v>115.0</v>
      </c>
      <c r="AR159" s="1">
        <f>COUNTIFS('onmogelijke score 2 pijlen'!score2pijlen,A159)</f>
        <v>0</v>
      </c>
    </row>
    <row r="160" ht="15.75" customHeight="1">
      <c r="A160" s="7">
        <v>116.0</v>
      </c>
      <c r="AR160" s="1">
        <f>COUNTIFS('onmogelijke score 2 pijlen'!score2pijlen,A160)</f>
        <v>0</v>
      </c>
    </row>
    <row r="161" ht="15.75" customHeight="1">
      <c r="A161" s="2">
        <v>117.0</v>
      </c>
      <c r="AR161" s="1">
        <f>COUNTIFS('onmogelijke score 2 pijlen'!score2pijlen,A161)</f>
        <v>1</v>
      </c>
    </row>
    <row r="162" ht="15.75" customHeight="1">
      <c r="A162" s="7">
        <v>118.0</v>
      </c>
      <c r="AR162" s="1">
        <f>COUNTIFS('onmogelijke score 2 pijlen'!score2pijlen,A162)</f>
        <v>0</v>
      </c>
    </row>
    <row r="163" ht="15.75" customHeight="1">
      <c r="A163" s="7">
        <v>119.0</v>
      </c>
      <c r="AR163" s="1">
        <f>COUNTIFS('onmogelijke score 2 pijlen'!score2pijlen,A163)</f>
        <v>0</v>
      </c>
    </row>
    <row r="164" ht="15.75" customHeight="1">
      <c r="A164" s="2">
        <v>120.0</v>
      </c>
      <c r="AR164" s="1">
        <f>COUNTIFS('onmogelijke score 2 pijlen'!score2pijlen,A164)</f>
        <v>1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90695445-C167-4A02-B293-0C05CE0DFBD1}" filter="1" showAutoFilter="1">
      <autoFilter ref="$AR$1:$AR$999">
        <filterColumn colId="0">
          <filters>
            <filter val="0"/>
          </filters>
        </filterColumn>
      </autoFilter>
      <extLst>
        <ext uri="GoogleSheetsCustomDataVersion1">
          <go:sheetsCustomData xmlns:go="http://customooxmlschemas.google.com/" filterViewId="2048147238"/>
        </ext>
      </extLst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57"/>
    <col customWidth="1" min="2" max="2" width="4.29"/>
    <col customWidth="1" min="3" max="10" width="2.14"/>
    <col customWidth="1" min="11" max="44" width="3.29"/>
  </cols>
  <sheetData>
    <row r="1">
      <c r="A1" s="2" t="s">
        <v>50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24.0</v>
      </c>
      <c r="Y1" s="1">
        <v>25.0</v>
      </c>
      <c r="Z1" s="1">
        <v>26.0</v>
      </c>
      <c r="AA1" s="1">
        <v>28.0</v>
      </c>
      <c r="AB1" s="1">
        <v>30.0</v>
      </c>
      <c r="AC1" s="1">
        <v>32.0</v>
      </c>
      <c r="AD1" s="1">
        <v>33.0</v>
      </c>
      <c r="AE1" s="1">
        <v>34.0</v>
      </c>
      <c r="AF1" s="1">
        <v>36.0</v>
      </c>
      <c r="AG1" s="1">
        <v>38.0</v>
      </c>
      <c r="AH1" s="1">
        <v>39.0</v>
      </c>
      <c r="AI1" s="1">
        <v>40.0</v>
      </c>
      <c r="AJ1" s="1">
        <v>42.0</v>
      </c>
      <c r="AK1" s="1">
        <v>45.0</v>
      </c>
      <c r="AL1" s="1">
        <v>48.0</v>
      </c>
      <c r="AM1" s="1">
        <v>50.0</v>
      </c>
      <c r="AN1" s="1">
        <v>51.0</v>
      </c>
      <c r="AO1" s="1">
        <v>54.0</v>
      </c>
      <c r="AP1" s="1">
        <v>60.0</v>
      </c>
      <c r="AR1" s="8">
        <f>COUNTIFS(score3pijlen,AP1)</f>
        <v>40</v>
      </c>
    </row>
    <row r="2">
      <c r="A2" s="2">
        <v>2.0</v>
      </c>
      <c r="B2" s="1">
        <f t="shared" ref="B2:B111" si="2">$B$1+$A2</f>
        <v>3</v>
      </c>
      <c r="C2" s="1">
        <f t="shared" ref="C2:AP2" si="1">C$1+$A2</f>
        <v>4</v>
      </c>
      <c r="D2" s="1">
        <f t="shared" si="1"/>
        <v>5</v>
      </c>
      <c r="E2" s="1">
        <f t="shared" si="1"/>
        <v>6</v>
      </c>
      <c r="F2" s="1">
        <f t="shared" si="1"/>
        <v>7</v>
      </c>
      <c r="G2" s="1">
        <f t="shared" si="1"/>
        <v>8</v>
      </c>
      <c r="H2" s="1">
        <f t="shared" si="1"/>
        <v>9</v>
      </c>
      <c r="I2" s="1">
        <f t="shared" si="1"/>
        <v>10</v>
      </c>
      <c r="J2" s="1">
        <f t="shared" si="1"/>
        <v>11</v>
      </c>
      <c r="K2" s="1">
        <f t="shared" si="1"/>
        <v>12</v>
      </c>
      <c r="L2" s="1">
        <f t="shared" si="1"/>
        <v>13</v>
      </c>
      <c r="M2" s="1">
        <f t="shared" si="1"/>
        <v>14</v>
      </c>
      <c r="N2" s="1">
        <f t="shared" si="1"/>
        <v>15</v>
      </c>
      <c r="O2" s="1">
        <f t="shared" si="1"/>
        <v>16</v>
      </c>
      <c r="P2" s="1">
        <f t="shared" si="1"/>
        <v>17</v>
      </c>
      <c r="Q2" s="1">
        <f t="shared" si="1"/>
        <v>18</v>
      </c>
      <c r="R2" s="1">
        <f t="shared" si="1"/>
        <v>19</v>
      </c>
      <c r="S2" s="1">
        <f t="shared" si="1"/>
        <v>20</v>
      </c>
      <c r="T2" s="1">
        <f t="shared" si="1"/>
        <v>21</v>
      </c>
      <c r="U2" s="1">
        <f t="shared" si="1"/>
        <v>22</v>
      </c>
      <c r="V2" s="1">
        <f t="shared" si="1"/>
        <v>23</v>
      </c>
      <c r="W2" s="1">
        <f t="shared" si="1"/>
        <v>24</v>
      </c>
      <c r="X2" s="1">
        <f t="shared" si="1"/>
        <v>26</v>
      </c>
      <c r="Y2" s="1">
        <f t="shared" si="1"/>
        <v>27</v>
      </c>
      <c r="Z2" s="1">
        <f t="shared" si="1"/>
        <v>28</v>
      </c>
      <c r="AA2" s="1">
        <f t="shared" si="1"/>
        <v>30</v>
      </c>
      <c r="AB2" s="1">
        <f t="shared" si="1"/>
        <v>32</v>
      </c>
      <c r="AC2" s="1">
        <f t="shared" si="1"/>
        <v>34</v>
      </c>
      <c r="AD2" s="1">
        <f t="shared" si="1"/>
        <v>35</v>
      </c>
      <c r="AE2" s="1">
        <f t="shared" si="1"/>
        <v>36</v>
      </c>
      <c r="AF2" s="1">
        <f t="shared" si="1"/>
        <v>38</v>
      </c>
      <c r="AG2" s="1">
        <f t="shared" si="1"/>
        <v>40</v>
      </c>
      <c r="AH2" s="1">
        <f t="shared" si="1"/>
        <v>41</v>
      </c>
      <c r="AI2" s="1">
        <f t="shared" si="1"/>
        <v>42</v>
      </c>
      <c r="AJ2" s="1">
        <f t="shared" si="1"/>
        <v>44</v>
      </c>
      <c r="AK2" s="1">
        <f t="shared" si="1"/>
        <v>47</v>
      </c>
      <c r="AL2" s="1">
        <f t="shared" si="1"/>
        <v>50</v>
      </c>
      <c r="AM2" s="1">
        <f t="shared" si="1"/>
        <v>52</v>
      </c>
      <c r="AN2" s="1">
        <f t="shared" si="1"/>
        <v>53</v>
      </c>
      <c r="AO2" s="1">
        <f t="shared" si="1"/>
        <v>56</v>
      </c>
      <c r="AP2" s="1">
        <f t="shared" si="1"/>
        <v>62</v>
      </c>
      <c r="AR2" s="8">
        <f>COUNTIFS(score3pijlen,AP2)</f>
        <v>41</v>
      </c>
    </row>
    <row r="3">
      <c r="A3" s="2">
        <v>3.0</v>
      </c>
      <c r="B3" s="1">
        <f t="shared" si="2"/>
        <v>4</v>
      </c>
      <c r="C3" s="1">
        <f t="shared" ref="C3:AP3" si="3">C$1+$A3</f>
        <v>5</v>
      </c>
      <c r="D3" s="1">
        <f t="shared" si="3"/>
        <v>6</v>
      </c>
      <c r="E3" s="1">
        <f t="shared" si="3"/>
        <v>7</v>
      </c>
      <c r="F3" s="1">
        <f t="shared" si="3"/>
        <v>8</v>
      </c>
      <c r="G3" s="1">
        <f t="shared" si="3"/>
        <v>9</v>
      </c>
      <c r="H3" s="1">
        <f t="shared" si="3"/>
        <v>10</v>
      </c>
      <c r="I3" s="1">
        <f t="shared" si="3"/>
        <v>11</v>
      </c>
      <c r="J3" s="1">
        <f t="shared" si="3"/>
        <v>12</v>
      </c>
      <c r="K3" s="1">
        <f t="shared" si="3"/>
        <v>13</v>
      </c>
      <c r="L3" s="1">
        <f t="shared" si="3"/>
        <v>14</v>
      </c>
      <c r="M3" s="1">
        <f t="shared" si="3"/>
        <v>15</v>
      </c>
      <c r="N3" s="1">
        <f t="shared" si="3"/>
        <v>16</v>
      </c>
      <c r="O3" s="1">
        <f t="shared" si="3"/>
        <v>17</v>
      </c>
      <c r="P3" s="1">
        <f t="shared" si="3"/>
        <v>18</v>
      </c>
      <c r="Q3" s="1">
        <f t="shared" si="3"/>
        <v>19</v>
      </c>
      <c r="R3" s="1">
        <f t="shared" si="3"/>
        <v>20</v>
      </c>
      <c r="S3" s="1">
        <f t="shared" si="3"/>
        <v>21</v>
      </c>
      <c r="T3" s="1">
        <f t="shared" si="3"/>
        <v>22</v>
      </c>
      <c r="U3" s="1">
        <f t="shared" si="3"/>
        <v>23</v>
      </c>
      <c r="V3" s="1">
        <f t="shared" si="3"/>
        <v>24</v>
      </c>
      <c r="W3" s="1">
        <f t="shared" si="3"/>
        <v>25</v>
      </c>
      <c r="X3" s="1">
        <f t="shared" si="3"/>
        <v>27</v>
      </c>
      <c r="Y3" s="1">
        <f t="shared" si="3"/>
        <v>28</v>
      </c>
      <c r="Z3" s="1">
        <f t="shared" si="3"/>
        <v>29</v>
      </c>
      <c r="AA3" s="1">
        <f t="shared" si="3"/>
        <v>31</v>
      </c>
      <c r="AB3" s="1">
        <f t="shared" si="3"/>
        <v>33</v>
      </c>
      <c r="AC3" s="1">
        <f t="shared" si="3"/>
        <v>35</v>
      </c>
      <c r="AD3" s="1">
        <f t="shared" si="3"/>
        <v>36</v>
      </c>
      <c r="AE3" s="1">
        <f t="shared" si="3"/>
        <v>37</v>
      </c>
      <c r="AF3" s="1">
        <f t="shared" si="3"/>
        <v>39</v>
      </c>
      <c r="AG3" s="1">
        <f t="shared" si="3"/>
        <v>41</v>
      </c>
      <c r="AH3" s="1">
        <f t="shared" si="3"/>
        <v>42</v>
      </c>
      <c r="AI3" s="1">
        <f t="shared" si="3"/>
        <v>43</v>
      </c>
      <c r="AJ3" s="1">
        <f t="shared" si="3"/>
        <v>45</v>
      </c>
      <c r="AK3" s="1">
        <f t="shared" si="3"/>
        <v>48</v>
      </c>
      <c r="AL3" s="1">
        <f t="shared" si="3"/>
        <v>51</v>
      </c>
      <c r="AM3" s="1">
        <f t="shared" si="3"/>
        <v>53</v>
      </c>
      <c r="AN3" s="1">
        <f t="shared" si="3"/>
        <v>54</v>
      </c>
      <c r="AO3" s="1">
        <f t="shared" si="3"/>
        <v>57</v>
      </c>
      <c r="AP3" s="1">
        <f t="shared" si="3"/>
        <v>63</v>
      </c>
      <c r="AR3" s="8">
        <f>COUNTIFS(score3pijlen,AP3)</f>
        <v>41</v>
      </c>
    </row>
    <row r="4">
      <c r="A4" s="2">
        <v>4.0</v>
      </c>
      <c r="B4" s="1">
        <f t="shared" si="2"/>
        <v>5</v>
      </c>
      <c r="C4" s="1">
        <f t="shared" ref="C4:AP4" si="4">C$1+$A4</f>
        <v>6</v>
      </c>
      <c r="D4" s="1">
        <f t="shared" si="4"/>
        <v>7</v>
      </c>
      <c r="E4" s="1">
        <f t="shared" si="4"/>
        <v>8</v>
      </c>
      <c r="F4" s="1">
        <f t="shared" si="4"/>
        <v>9</v>
      </c>
      <c r="G4" s="1">
        <f t="shared" si="4"/>
        <v>10</v>
      </c>
      <c r="H4" s="1">
        <f t="shared" si="4"/>
        <v>11</v>
      </c>
      <c r="I4" s="1">
        <f t="shared" si="4"/>
        <v>12</v>
      </c>
      <c r="J4" s="1">
        <f t="shared" si="4"/>
        <v>13</v>
      </c>
      <c r="K4" s="1">
        <f t="shared" si="4"/>
        <v>14</v>
      </c>
      <c r="L4" s="1">
        <f t="shared" si="4"/>
        <v>15</v>
      </c>
      <c r="M4" s="1">
        <f t="shared" si="4"/>
        <v>16</v>
      </c>
      <c r="N4" s="1">
        <f t="shared" si="4"/>
        <v>17</v>
      </c>
      <c r="O4" s="1">
        <f t="shared" si="4"/>
        <v>18</v>
      </c>
      <c r="P4" s="1">
        <f t="shared" si="4"/>
        <v>19</v>
      </c>
      <c r="Q4" s="1">
        <f t="shared" si="4"/>
        <v>20</v>
      </c>
      <c r="R4" s="1">
        <f t="shared" si="4"/>
        <v>21</v>
      </c>
      <c r="S4" s="1">
        <f t="shared" si="4"/>
        <v>22</v>
      </c>
      <c r="T4" s="1">
        <f t="shared" si="4"/>
        <v>23</v>
      </c>
      <c r="U4" s="1">
        <f t="shared" si="4"/>
        <v>24</v>
      </c>
      <c r="V4" s="1">
        <f t="shared" si="4"/>
        <v>25</v>
      </c>
      <c r="W4" s="1">
        <f t="shared" si="4"/>
        <v>26</v>
      </c>
      <c r="X4" s="1">
        <f t="shared" si="4"/>
        <v>28</v>
      </c>
      <c r="Y4" s="1">
        <f t="shared" si="4"/>
        <v>29</v>
      </c>
      <c r="Z4" s="1">
        <f t="shared" si="4"/>
        <v>30</v>
      </c>
      <c r="AA4" s="1">
        <f t="shared" si="4"/>
        <v>32</v>
      </c>
      <c r="AB4" s="1">
        <f t="shared" si="4"/>
        <v>34</v>
      </c>
      <c r="AC4" s="1">
        <f t="shared" si="4"/>
        <v>36</v>
      </c>
      <c r="AD4" s="1">
        <f t="shared" si="4"/>
        <v>37</v>
      </c>
      <c r="AE4" s="1">
        <f t="shared" si="4"/>
        <v>38</v>
      </c>
      <c r="AF4" s="1">
        <f t="shared" si="4"/>
        <v>40</v>
      </c>
      <c r="AG4" s="1">
        <f t="shared" si="4"/>
        <v>42</v>
      </c>
      <c r="AH4" s="1">
        <f t="shared" si="4"/>
        <v>43</v>
      </c>
      <c r="AI4" s="1">
        <f t="shared" si="4"/>
        <v>44</v>
      </c>
      <c r="AJ4" s="1">
        <f t="shared" si="4"/>
        <v>46</v>
      </c>
      <c r="AK4" s="1">
        <f t="shared" si="4"/>
        <v>49</v>
      </c>
      <c r="AL4" s="1">
        <f t="shared" si="4"/>
        <v>52</v>
      </c>
      <c r="AM4" s="1">
        <f t="shared" si="4"/>
        <v>54</v>
      </c>
      <c r="AN4" s="1">
        <f t="shared" si="4"/>
        <v>55</v>
      </c>
      <c r="AO4" s="1">
        <f t="shared" si="4"/>
        <v>58</v>
      </c>
      <c r="AP4" s="1">
        <f t="shared" si="4"/>
        <v>64</v>
      </c>
      <c r="AR4" s="8">
        <f>COUNTIFS(score3pijlen,AP4)</f>
        <v>41</v>
      </c>
    </row>
    <row r="5">
      <c r="A5" s="2">
        <v>5.0</v>
      </c>
      <c r="B5" s="1">
        <f t="shared" si="2"/>
        <v>6</v>
      </c>
      <c r="C5" s="1">
        <f t="shared" ref="C5:AP5" si="5">C$1+$A5</f>
        <v>7</v>
      </c>
      <c r="D5" s="1">
        <f t="shared" si="5"/>
        <v>8</v>
      </c>
      <c r="E5" s="1">
        <f t="shared" si="5"/>
        <v>9</v>
      </c>
      <c r="F5" s="1">
        <f t="shared" si="5"/>
        <v>10</v>
      </c>
      <c r="G5" s="1">
        <f t="shared" si="5"/>
        <v>11</v>
      </c>
      <c r="H5" s="1">
        <f t="shared" si="5"/>
        <v>12</v>
      </c>
      <c r="I5" s="1">
        <f t="shared" si="5"/>
        <v>13</v>
      </c>
      <c r="J5" s="1">
        <f t="shared" si="5"/>
        <v>14</v>
      </c>
      <c r="K5" s="1">
        <f t="shared" si="5"/>
        <v>15</v>
      </c>
      <c r="L5" s="1">
        <f t="shared" si="5"/>
        <v>16</v>
      </c>
      <c r="M5" s="1">
        <f t="shared" si="5"/>
        <v>17</v>
      </c>
      <c r="N5" s="1">
        <f t="shared" si="5"/>
        <v>18</v>
      </c>
      <c r="O5" s="1">
        <f t="shared" si="5"/>
        <v>19</v>
      </c>
      <c r="P5" s="1">
        <f t="shared" si="5"/>
        <v>20</v>
      </c>
      <c r="Q5" s="1">
        <f t="shared" si="5"/>
        <v>21</v>
      </c>
      <c r="R5" s="1">
        <f t="shared" si="5"/>
        <v>22</v>
      </c>
      <c r="S5" s="1">
        <f t="shared" si="5"/>
        <v>23</v>
      </c>
      <c r="T5" s="1">
        <f t="shared" si="5"/>
        <v>24</v>
      </c>
      <c r="U5" s="1">
        <f t="shared" si="5"/>
        <v>25</v>
      </c>
      <c r="V5" s="1">
        <f t="shared" si="5"/>
        <v>26</v>
      </c>
      <c r="W5" s="1">
        <f t="shared" si="5"/>
        <v>27</v>
      </c>
      <c r="X5" s="1">
        <f t="shared" si="5"/>
        <v>29</v>
      </c>
      <c r="Y5" s="1">
        <f t="shared" si="5"/>
        <v>30</v>
      </c>
      <c r="Z5" s="1">
        <f t="shared" si="5"/>
        <v>31</v>
      </c>
      <c r="AA5" s="1">
        <f t="shared" si="5"/>
        <v>33</v>
      </c>
      <c r="AB5" s="1">
        <f t="shared" si="5"/>
        <v>35</v>
      </c>
      <c r="AC5" s="1">
        <f t="shared" si="5"/>
        <v>37</v>
      </c>
      <c r="AD5" s="1">
        <f t="shared" si="5"/>
        <v>38</v>
      </c>
      <c r="AE5" s="1">
        <f t="shared" si="5"/>
        <v>39</v>
      </c>
      <c r="AF5" s="1">
        <f t="shared" si="5"/>
        <v>41</v>
      </c>
      <c r="AG5" s="1">
        <f t="shared" si="5"/>
        <v>43</v>
      </c>
      <c r="AH5" s="1">
        <f t="shared" si="5"/>
        <v>44</v>
      </c>
      <c r="AI5" s="1">
        <f t="shared" si="5"/>
        <v>45</v>
      </c>
      <c r="AJ5" s="1">
        <f t="shared" si="5"/>
        <v>47</v>
      </c>
      <c r="AK5" s="1">
        <f t="shared" si="5"/>
        <v>50</v>
      </c>
      <c r="AL5" s="1">
        <f t="shared" si="5"/>
        <v>53</v>
      </c>
      <c r="AM5" s="1">
        <f t="shared" si="5"/>
        <v>55</v>
      </c>
      <c r="AN5" s="1">
        <f t="shared" si="5"/>
        <v>56</v>
      </c>
      <c r="AO5" s="1">
        <f t="shared" si="5"/>
        <v>59</v>
      </c>
      <c r="AP5" s="1">
        <f t="shared" si="5"/>
        <v>65</v>
      </c>
      <c r="AR5" s="8">
        <f>COUNTIFS(score3pijlen,AP5)</f>
        <v>41</v>
      </c>
    </row>
    <row r="6">
      <c r="A6" s="2">
        <v>6.0</v>
      </c>
      <c r="B6" s="1">
        <f t="shared" si="2"/>
        <v>7</v>
      </c>
      <c r="C6" s="1">
        <f t="shared" ref="C6:AP6" si="6">C$1+$A6</f>
        <v>8</v>
      </c>
      <c r="D6" s="1">
        <f t="shared" si="6"/>
        <v>9</v>
      </c>
      <c r="E6" s="1">
        <f t="shared" si="6"/>
        <v>10</v>
      </c>
      <c r="F6" s="1">
        <f t="shared" si="6"/>
        <v>11</v>
      </c>
      <c r="G6" s="1">
        <f t="shared" si="6"/>
        <v>12</v>
      </c>
      <c r="H6" s="1">
        <f t="shared" si="6"/>
        <v>13</v>
      </c>
      <c r="I6" s="1">
        <f t="shared" si="6"/>
        <v>14</v>
      </c>
      <c r="J6" s="1">
        <f t="shared" si="6"/>
        <v>15</v>
      </c>
      <c r="K6" s="1">
        <f t="shared" si="6"/>
        <v>16</v>
      </c>
      <c r="L6" s="1">
        <f t="shared" si="6"/>
        <v>17</v>
      </c>
      <c r="M6" s="1">
        <f t="shared" si="6"/>
        <v>18</v>
      </c>
      <c r="N6" s="1">
        <f t="shared" si="6"/>
        <v>19</v>
      </c>
      <c r="O6" s="1">
        <f t="shared" si="6"/>
        <v>20</v>
      </c>
      <c r="P6" s="1">
        <f t="shared" si="6"/>
        <v>21</v>
      </c>
      <c r="Q6" s="1">
        <f t="shared" si="6"/>
        <v>22</v>
      </c>
      <c r="R6" s="1">
        <f t="shared" si="6"/>
        <v>23</v>
      </c>
      <c r="S6" s="1">
        <f t="shared" si="6"/>
        <v>24</v>
      </c>
      <c r="T6" s="1">
        <f t="shared" si="6"/>
        <v>25</v>
      </c>
      <c r="U6" s="1">
        <f t="shared" si="6"/>
        <v>26</v>
      </c>
      <c r="V6" s="1">
        <f t="shared" si="6"/>
        <v>27</v>
      </c>
      <c r="W6" s="1">
        <f t="shared" si="6"/>
        <v>28</v>
      </c>
      <c r="X6" s="1">
        <f t="shared" si="6"/>
        <v>30</v>
      </c>
      <c r="Y6" s="1">
        <f t="shared" si="6"/>
        <v>31</v>
      </c>
      <c r="Z6" s="1">
        <f t="shared" si="6"/>
        <v>32</v>
      </c>
      <c r="AA6" s="1">
        <f t="shared" si="6"/>
        <v>34</v>
      </c>
      <c r="AB6" s="1">
        <f t="shared" si="6"/>
        <v>36</v>
      </c>
      <c r="AC6" s="1">
        <f t="shared" si="6"/>
        <v>38</v>
      </c>
      <c r="AD6" s="1">
        <f t="shared" si="6"/>
        <v>39</v>
      </c>
      <c r="AE6" s="1">
        <f t="shared" si="6"/>
        <v>40</v>
      </c>
      <c r="AF6" s="1">
        <f t="shared" si="6"/>
        <v>42</v>
      </c>
      <c r="AG6" s="1">
        <f t="shared" si="6"/>
        <v>44</v>
      </c>
      <c r="AH6" s="1">
        <f t="shared" si="6"/>
        <v>45</v>
      </c>
      <c r="AI6" s="1">
        <f t="shared" si="6"/>
        <v>46</v>
      </c>
      <c r="AJ6" s="1">
        <f t="shared" si="6"/>
        <v>48</v>
      </c>
      <c r="AK6" s="1">
        <f t="shared" si="6"/>
        <v>51</v>
      </c>
      <c r="AL6" s="1">
        <f t="shared" si="6"/>
        <v>54</v>
      </c>
      <c r="AM6" s="1">
        <f t="shared" si="6"/>
        <v>56</v>
      </c>
      <c r="AN6" s="1">
        <f t="shared" si="6"/>
        <v>57</v>
      </c>
      <c r="AO6" s="1">
        <f t="shared" si="6"/>
        <v>60</v>
      </c>
      <c r="AP6" s="1">
        <f t="shared" si="6"/>
        <v>66</v>
      </c>
      <c r="AR6" s="8">
        <f>COUNTIFS(score3pijlen,AP6)</f>
        <v>41</v>
      </c>
    </row>
    <row r="7">
      <c r="A7" s="2">
        <v>7.0</v>
      </c>
      <c r="B7" s="1">
        <f t="shared" si="2"/>
        <v>8</v>
      </c>
      <c r="C7" s="1">
        <f t="shared" ref="C7:AP7" si="7">C$1+$A7</f>
        <v>9</v>
      </c>
      <c r="D7" s="1">
        <f t="shared" si="7"/>
        <v>10</v>
      </c>
      <c r="E7" s="1">
        <f t="shared" si="7"/>
        <v>11</v>
      </c>
      <c r="F7" s="1">
        <f t="shared" si="7"/>
        <v>12</v>
      </c>
      <c r="G7" s="1">
        <f t="shared" si="7"/>
        <v>13</v>
      </c>
      <c r="H7" s="1">
        <f t="shared" si="7"/>
        <v>14</v>
      </c>
      <c r="I7" s="1">
        <f t="shared" si="7"/>
        <v>15</v>
      </c>
      <c r="J7" s="1">
        <f t="shared" si="7"/>
        <v>16</v>
      </c>
      <c r="K7" s="1">
        <f t="shared" si="7"/>
        <v>17</v>
      </c>
      <c r="L7" s="1">
        <f t="shared" si="7"/>
        <v>18</v>
      </c>
      <c r="M7" s="1">
        <f t="shared" si="7"/>
        <v>19</v>
      </c>
      <c r="N7" s="1">
        <f t="shared" si="7"/>
        <v>20</v>
      </c>
      <c r="O7" s="1">
        <f t="shared" si="7"/>
        <v>21</v>
      </c>
      <c r="P7" s="1">
        <f t="shared" si="7"/>
        <v>22</v>
      </c>
      <c r="Q7" s="1">
        <f t="shared" si="7"/>
        <v>23</v>
      </c>
      <c r="R7" s="1">
        <f t="shared" si="7"/>
        <v>24</v>
      </c>
      <c r="S7" s="1">
        <f t="shared" si="7"/>
        <v>25</v>
      </c>
      <c r="T7" s="1">
        <f t="shared" si="7"/>
        <v>26</v>
      </c>
      <c r="U7" s="1">
        <f t="shared" si="7"/>
        <v>27</v>
      </c>
      <c r="V7" s="1">
        <f t="shared" si="7"/>
        <v>28</v>
      </c>
      <c r="W7" s="1">
        <f t="shared" si="7"/>
        <v>29</v>
      </c>
      <c r="X7" s="1">
        <f t="shared" si="7"/>
        <v>31</v>
      </c>
      <c r="Y7" s="1">
        <f t="shared" si="7"/>
        <v>32</v>
      </c>
      <c r="Z7" s="1">
        <f t="shared" si="7"/>
        <v>33</v>
      </c>
      <c r="AA7" s="1">
        <f t="shared" si="7"/>
        <v>35</v>
      </c>
      <c r="AB7" s="1">
        <f t="shared" si="7"/>
        <v>37</v>
      </c>
      <c r="AC7" s="1">
        <f t="shared" si="7"/>
        <v>39</v>
      </c>
      <c r="AD7" s="1">
        <f t="shared" si="7"/>
        <v>40</v>
      </c>
      <c r="AE7" s="1">
        <f t="shared" si="7"/>
        <v>41</v>
      </c>
      <c r="AF7" s="1">
        <f t="shared" si="7"/>
        <v>43</v>
      </c>
      <c r="AG7" s="1">
        <f t="shared" si="7"/>
        <v>45</v>
      </c>
      <c r="AH7" s="1">
        <f t="shared" si="7"/>
        <v>46</v>
      </c>
      <c r="AI7" s="1">
        <f t="shared" si="7"/>
        <v>47</v>
      </c>
      <c r="AJ7" s="1">
        <f t="shared" si="7"/>
        <v>49</v>
      </c>
      <c r="AK7" s="1">
        <f t="shared" si="7"/>
        <v>52</v>
      </c>
      <c r="AL7" s="1">
        <f t="shared" si="7"/>
        <v>55</v>
      </c>
      <c r="AM7" s="1">
        <f t="shared" si="7"/>
        <v>57</v>
      </c>
      <c r="AN7" s="1">
        <f t="shared" si="7"/>
        <v>58</v>
      </c>
      <c r="AO7" s="1">
        <f t="shared" si="7"/>
        <v>61</v>
      </c>
      <c r="AP7" s="1">
        <f t="shared" si="7"/>
        <v>67</v>
      </c>
      <c r="AR7" s="8">
        <f>COUNTIFS(score3pijlen,AP7)</f>
        <v>41</v>
      </c>
    </row>
    <row r="8">
      <c r="A8" s="2">
        <v>8.0</v>
      </c>
      <c r="B8" s="1">
        <f t="shared" si="2"/>
        <v>9</v>
      </c>
      <c r="C8" s="1">
        <f t="shared" ref="C8:AP8" si="8">C$1+$A8</f>
        <v>10</v>
      </c>
      <c r="D8" s="1">
        <f t="shared" si="8"/>
        <v>11</v>
      </c>
      <c r="E8" s="1">
        <f t="shared" si="8"/>
        <v>12</v>
      </c>
      <c r="F8" s="1">
        <f t="shared" si="8"/>
        <v>13</v>
      </c>
      <c r="G8" s="1">
        <f t="shared" si="8"/>
        <v>14</v>
      </c>
      <c r="H8" s="1">
        <f t="shared" si="8"/>
        <v>15</v>
      </c>
      <c r="I8" s="1">
        <f t="shared" si="8"/>
        <v>16</v>
      </c>
      <c r="J8" s="1">
        <f t="shared" si="8"/>
        <v>17</v>
      </c>
      <c r="K8" s="1">
        <f t="shared" si="8"/>
        <v>18</v>
      </c>
      <c r="L8" s="1">
        <f t="shared" si="8"/>
        <v>19</v>
      </c>
      <c r="M8" s="1">
        <f t="shared" si="8"/>
        <v>20</v>
      </c>
      <c r="N8" s="1">
        <f t="shared" si="8"/>
        <v>21</v>
      </c>
      <c r="O8" s="1">
        <f t="shared" si="8"/>
        <v>22</v>
      </c>
      <c r="P8" s="1">
        <f t="shared" si="8"/>
        <v>23</v>
      </c>
      <c r="Q8" s="1">
        <f t="shared" si="8"/>
        <v>24</v>
      </c>
      <c r="R8" s="1">
        <f t="shared" si="8"/>
        <v>25</v>
      </c>
      <c r="S8" s="1">
        <f t="shared" si="8"/>
        <v>26</v>
      </c>
      <c r="T8" s="1">
        <f t="shared" si="8"/>
        <v>27</v>
      </c>
      <c r="U8" s="1">
        <f t="shared" si="8"/>
        <v>28</v>
      </c>
      <c r="V8" s="1">
        <f t="shared" si="8"/>
        <v>29</v>
      </c>
      <c r="W8" s="1">
        <f t="shared" si="8"/>
        <v>30</v>
      </c>
      <c r="X8" s="1">
        <f t="shared" si="8"/>
        <v>32</v>
      </c>
      <c r="Y8" s="1">
        <f t="shared" si="8"/>
        <v>33</v>
      </c>
      <c r="Z8" s="1">
        <f t="shared" si="8"/>
        <v>34</v>
      </c>
      <c r="AA8" s="1">
        <f t="shared" si="8"/>
        <v>36</v>
      </c>
      <c r="AB8" s="1">
        <f t="shared" si="8"/>
        <v>38</v>
      </c>
      <c r="AC8" s="1">
        <f t="shared" si="8"/>
        <v>40</v>
      </c>
      <c r="AD8" s="1">
        <f t="shared" si="8"/>
        <v>41</v>
      </c>
      <c r="AE8" s="1">
        <f t="shared" si="8"/>
        <v>42</v>
      </c>
      <c r="AF8" s="1">
        <f t="shared" si="8"/>
        <v>44</v>
      </c>
      <c r="AG8" s="1">
        <f t="shared" si="8"/>
        <v>46</v>
      </c>
      <c r="AH8" s="1">
        <f t="shared" si="8"/>
        <v>47</v>
      </c>
      <c r="AI8" s="1">
        <f t="shared" si="8"/>
        <v>48</v>
      </c>
      <c r="AJ8" s="1">
        <f t="shared" si="8"/>
        <v>50</v>
      </c>
      <c r="AK8" s="1">
        <f t="shared" si="8"/>
        <v>53</v>
      </c>
      <c r="AL8" s="1">
        <f t="shared" si="8"/>
        <v>56</v>
      </c>
      <c r="AM8" s="1">
        <f t="shared" si="8"/>
        <v>58</v>
      </c>
      <c r="AN8" s="1">
        <f t="shared" si="8"/>
        <v>59</v>
      </c>
      <c r="AO8" s="1">
        <f t="shared" si="8"/>
        <v>62</v>
      </c>
      <c r="AP8" s="1">
        <f t="shared" si="8"/>
        <v>68</v>
      </c>
      <c r="AR8" s="8">
        <f>COUNTIFS(score3pijlen,AP8)</f>
        <v>41</v>
      </c>
    </row>
    <row r="9">
      <c r="A9" s="2">
        <v>9.0</v>
      </c>
      <c r="B9" s="1">
        <f t="shared" si="2"/>
        <v>10</v>
      </c>
      <c r="C9" s="1">
        <f t="shared" ref="C9:AP9" si="9">C$1+$A9</f>
        <v>11</v>
      </c>
      <c r="D9" s="1">
        <f t="shared" si="9"/>
        <v>12</v>
      </c>
      <c r="E9" s="1">
        <f t="shared" si="9"/>
        <v>13</v>
      </c>
      <c r="F9" s="1">
        <f t="shared" si="9"/>
        <v>14</v>
      </c>
      <c r="G9" s="1">
        <f t="shared" si="9"/>
        <v>15</v>
      </c>
      <c r="H9" s="1">
        <f t="shared" si="9"/>
        <v>16</v>
      </c>
      <c r="I9" s="1">
        <f t="shared" si="9"/>
        <v>17</v>
      </c>
      <c r="J9" s="1">
        <f t="shared" si="9"/>
        <v>18</v>
      </c>
      <c r="K9" s="1">
        <f t="shared" si="9"/>
        <v>19</v>
      </c>
      <c r="L9" s="1">
        <f t="shared" si="9"/>
        <v>20</v>
      </c>
      <c r="M9" s="1">
        <f t="shared" si="9"/>
        <v>21</v>
      </c>
      <c r="N9" s="1">
        <f t="shared" si="9"/>
        <v>22</v>
      </c>
      <c r="O9" s="1">
        <f t="shared" si="9"/>
        <v>23</v>
      </c>
      <c r="P9" s="1">
        <f t="shared" si="9"/>
        <v>24</v>
      </c>
      <c r="Q9" s="1">
        <f t="shared" si="9"/>
        <v>25</v>
      </c>
      <c r="R9" s="1">
        <f t="shared" si="9"/>
        <v>26</v>
      </c>
      <c r="S9" s="1">
        <f t="shared" si="9"/>
        <v>27</v>
      </c>
      <c r="T9" s="1">
        <f t="shared" si="9"/>
        <v>28</v>
      </c>
      <c r="U9" s="1">
        <f t="shared" si="9"/>
        <v>29</v>
      </c>
      <c r="V9" s="1">
        <f t="shared" si="9"/>
        <v>30</v>
      </c>
      <c r="W9" s="1">
        <f t="shared" si="9"/>
        <v>31</v>
      </c>
      <c r="X9" s="1">
        <f t="shared" si="9"/>
        <v>33</v>
      </c>
      <c r="Y9" s="1">
        <f t="shared" si="9"/>
        <v>34</v>
      </c>
      <c r="Z9" s="1">
        <f t="shared" si="9"/>
        <v>35</v>
      </c>
      <c r="AA9" s="1">
        <f t="shared" si="9"/>
        <v>37</v>
      </c>
      <c r="AB9" s="1">
        <f t="shared" si="9"/>
        <v>39</v>
      </c>
      <c r="AC9" s="1">
        <f t="shared" si="9"/>
        <v>41</v>
      </c>
      <c r="AD9" s="1">
        <f t="shared" si="9"/>
        <v>42</v>
      </c>
      <c r="AE9" s="1">
        <f t="shared" si="9"/>
        <v>43</v>
      </c>
      <c r="AF9" s="1">
        <f t="shared" si="9"/>
        <v>45</v>
      </c>
      <c r="AG9" s="1">
        <f t="shared" si="9"/>
        <v>47</v>
      </c>
      <c r="AH9" s="1">
        <f t="shared" si="9"/>
        <v>48</v>
      </c>
      <c r="AI9" s="1">
        <f t="shared" si="9"/>
        <v>49</v>
      </c>
      <c r="AJ9" s="1">
        <f t="shared" si="9"/>
        <v>51</v>
      </c>
      <c r="AK9" s="1">
        <f t="shared" si="9"/>
        <v>54</v>
      </c>
      <c r="AL9" s="1">
        <f t="shared" si="9"/>
        <v>57</v>
      </c>
      <c r="AM9" s="1">
        <f t="shared" si="9"/>
        <v>59</v>
      </c>
      <c r="AN9" s="1">
        <f t="shared" si="9"/>
        <v>60</v>
      </c>
      <c r="AO9" s="1">
        <f t="shared" si="9"/>
        <v>63</v>
      </c>
      <c r="AP9" s="1">
        <f t="shared" si="9"/>
        <v>69</v>
      </c>
      <c r="AR9" s="8">
        <f>COUNTIFS(score3pijlen,AP9)</f>
        <v>41</v>
      </c>
    </row>
    <row r="10">
      <c r="A10" s="2">
        <v>10.0</v>
      </c>
      <c r="B10" s="1">
        <f t="shared" si="2"/>
        <v>11</v>
      </c>
      <c r="C10" s="1">
        <f t="shared" ref="C10:AP10" si="10">C$1+$A10</f>
        <v>12</v>
      </c>
      <c r="D10" s="1">
        <f t="shared" si="10"/>
        <v>13</v>
      </c>
      <c r="E10" s="1">
        <f t="shared" si="10"/>
        <v>14</v>
      </c>
      <c r="F10" s="1">
        <f t="shared" si="10"/>
        <v>15</v>
      </c>
      <c r="G10" s="1">
        <f t="shared" si="10"/>
        <v>16</v>
      </c>
      <c r="H10" s="1">
        <f t="shared" si="10"/>
        <v>17</v>
      </c>
      <c r="I10" s="1">
        <f t="shared" si="10"/>
        <v>18</v>
      </c>
      <c r="J10" s="1">
        <f t="shared" si="10"/>
        <v>19</v>
      </c>
      <c r="K10" s="1">
        <f t="shared" si="10"/>
        <v>20</v>
      </c>
      <c r="L10" s="1">
        <f t="shared" si="10"/>
        <v>21</v>
      </c>
      <c r="M10" s="1">
        <f t="shared" si="10"/>
        <v>22</v>
      </c>
      <c r="N10" s="1">
        <f t="shared" si="10"/>
        <v>23</v>
      </c>
      <c r="O10" s="1">
        <f t="shared" si="10"/>
        <v>24</v>
      </c>
      <c r="P10" s="1">
        <f t="shared" si="10"/>
        <v>25</v>
      </c>
      <c r="Q10" s="1">
        <f t="shared" si="10"/>
        <v>26</v>
      </c>
      <c r="R10" s="1">
        <f t="shared" si="10"/>
        <v>27</v>
      </c>
      <c r="S10" s="1">
        <f t="shared" si="10"/>
        <v>28</v>
      </c>
      <c r="T10" s="1">
        <f t="shared" si="10"/>
        <v>29</v>
      </c>
      <c r="U10" s="1">
        <f t="shared" si="10"/>
        <v>30</v>
      </c>
      <c r="V10" s="1">
        <f t="shared" si="10"/>
        <v>31</v>
      </c>
      <c r="W10" s="1">
        <f t="shared" si="10"/>
        <v>32</v>
      </c>
      <c r="X10" s="1">
        <f t="shared" si="10"/>
        <v>34</v>
      </c>
      <c r="Y10" s="1">
        <f t="shared" si="10"/>
        <v>35</v>
      </c>
      <c r="Z10" s="1">
        <f t="shared" si="10"/>
        <v>36</v>
      </c>
      <c r="AA10" s="1">
        <f t="shared" si="10"/>
        <v>38</v>
      </c>
      <c r="AB10" s="1">
        <f t="shared" si="10"/>
        <v>40</v>
      </c>
      <c r="AC10" s="1">
        <f t="shared" si="10"/>
        <v>42</v>
      </c>
      <c r="AD10" s="1">
        <f t="shared" si="10"/>
        <v>43</v>
      </c>
      <c r="AE10" s="1">
        <f t="shared" si="10"/>
        <v>44</v>
      </c>
      <c r="AF10" s="1">
        <f t="shared" si="10"/>
        <v>46</v>
      </c>
      <c r="AG10" s="1">
        <f t="shared" si="10"/>
        <v>48</v>
      </c>
      <c r="AH10" s="1">
        <f t="shared" si="10"/>
        <v>49</v>
      </c>
      <c r="AI10" s="1">
        <f t="shared" si="10"/>
        <v>50</v>
      </c>
      <c r="AJ10" s="1">
        <f t="shared" si="10"/>
        <v>52</v>
      </c>
      <c r="AK10" s="1">
        <f t="shared" si="10"/>
        <v>55</v>
      </c>
      <c r="AL10" s="1">
        <f t="shared" si="10"/>
        <v>58</v>
      </c>
      <c r="AM10" s="1">
        <f t="shared" si="10"/>
        <v>60</v>
      </c>
      <c r="AN10" s="1">
        <f t="shared" si="10"/>
        <v>61</v>
      </c>
      <c r="AO10" s="1">
        <f t="shared" si="10"/>
        <v>64</v>
      </c>
      <c r="AP10" s="1">
        <f t="shared" si="10"/>
        <v>70</v>
      </c>
      <c r="AR10" s="8">
        <f>COUNTIFS(score3pijlen,AP10)</f>
        <v>41</v>
      </c>
    </row>
    <row r="11">
      <c r="A11" s="2">
        <v>11.0</v>
      </c>
      <c r="B11" s="1">
        <f t="shared" si="2"/>
        <v>12</v>
      </c>
      <c r="C11" s="1">
        <f t="shared" ref="C11:AP11" si="11">C$1+$A11</f>
        <v>13</v>
      </c>
      <c r="D11" s="1">
        <f t="shared" si="11"/>
        <v>14</v>
      </c>
      <c r="E11" s="1">
        <f t="shared" si="11"/>
        <v>15</v>
      </c>
      <c r="F11" s="1">
        <f t="shared" si="11"/>
        <v>16</v>
      </c>
      <c r="G11" s="1">
        <f t="shared" si="11"/>
        <v>17</v>
      </c>
      <c r="H11" s="1">
        <f t="shared" si="11"/>
        <v>18</v>
      </c>
      <c r="I11" s="1">
        <f t="shared" si="11"/>
        <v>19</v>
      </c>
      <c r="J11" s="1">
        <f t="shared" si="11"/>
        <v>20</v>
      </c>
      <c r="K11" s="1">
        <f t="shared" si="11"/>
        <v>21</v>
      </c>
      <c r="L11" s="1">
        <f t="shared" si="11"/>
        <v>22</v>
      </c>
      <c r="M11" s="1">
        <f t="shared" si="11"/>
        <v>23</v>
      </c>
      <c r="N11" s="1">
        <f t="shared" si="11"/>
        <v>24</v>
      </c>
      <c r="O11" s="1">
        <f t="shared" si="11"/>
        <v>25</v>
      </c>
      <c r="P11" s="1">
        <f t="shared" si="11"/>
        <v>26</v>
      </c>
      <c r="Q11" s="1">
        <f t="shared" si="11"/>
        <v>27</v>
      </c>
      <c r="R11" s="1">
        <f t="shared" si="11"/>
        <v>28</v>
      </c>
      <c r="S11" s="1">
        <f t="shared" si="11"/>
        <v>29</v>
      </c>
      <c r="T11" s="1">
        <f t="shared" si="11"/>
        <v>30</v>
      </c>
      <c r="U11" s="1">
        <f t="shared" si="11"/>
        <v>31</v>
      </c>
      <c r="V11" s="1">
        <f t="shared" si="11"/>
        <v>32</v>
      </c>
      <c r="W11" s="1">
        <f t="shared" si="11"/>
        <v>33</v>
      </c>
      <c r="X11" s="1">
        <f t="shared" si="11"/>
        <v>35</v>
      </c>
      <c r="Y11" s="1">
        <f t="shared" si="11"/>
        <v>36</v>
      </c>
      <c r="Z11" s="1">
        <f t="shared" si="11"/>
        <v>37</v>
      </c>
      <c r="AA11" s="1">
        <f t="shared" si="11"/>
        <v>39</v>
      </c>
      <c r="AB11" s="1">
        <f t="shared" si="11"/>
        <v>41</v>
      </c>
      <c r="AC11" s="1">
        <f t="shared" si="11"/>
        <v>43</v>
      </c>
      <c r="AD11" s="1">
        <f t="shared" si="11"/>
        <v>44</v>
      </c>
      <c r="AE11" s="1">
        <f t="shared" si="11"/>
        <v>45</v>
      </c>
      <c r="AF11" s="1">
        <f t="shared" si="11"/>
        <v>47</v>
      </c>
      <c r="AG11" s="1">
        <f t="shared" si="11"/>
        <v>49</v>
      </c>
      <c r="AH11" s="1">
        <f t="shared" si="11"/>
        <v>50</v>
      </c>
      <c r="AI11" s="1">
        <f t="shared" si="11"/>
        <v>51</v>
      </c>
      <c r="AJ11" s="1">
        <f t="shared" si="11"/>
        <v>53</v>
      </c>
      <c r="AK11" s="1">
        <f t="shared" si="11"/>
        <v>56</v>
      </c>
      <c r="AL11" s="1">
        <f t="shared" si="11"/>
        <v>59</v>
      </c>
      <c r="AM11" s="1">
        <f t="shared" si="11"/>
        <v>61</v>
      </c>
      <c r="AN11" s="1">
        <f t="shared" si="11"/>
        <v>62</v>
      </c>
      <c r="AO11" s="1">
        <f t="shared" si="11"/>
        <v>65</v>
      </c>
      <c r="AP11" s="1">
        <f t="shared" si="11"/>
        <v>71</v>
      </c>
      <c r="AR11" s="8">
        <f>COUNTIFS(score3pijlen,AP11)</f>
        <v>41</v>
      </c>
    </row>
    <row r="12">
      <c r="A12" s="2">
        <v>12.0</v>
      </c>
      <c r="B12" s="1">
        <f t="shared" si="2"/>
        <v>13</v>
      </c>
      <c r="C12" s="1">
        <f t="shared" ref="C12:AP12" si="12">C$1+$A12</f>
        <v>14</v>
      </c>
      <c r="D12" s="1">
        <f t="shared" si="12"/>
        <v>15</v>
      </c>
      <c r="E12" s="1">
        <f t="shared" si="12"/>
        <v>16</v>
      </c>
      <c r="F12" s="1">
        <f t="shared" si="12"/>
        <v>17</v>
      </c>
      <c r="G12" s="1">
        <f t="shared" si="12"/>
        <v>18</v>
      </c>
      <c r="H12" s="1">
        <f t="shared" si="12"/>
        <v>19</v>
      </c>
      <c r="I12" s="1">
        <f t="shared" si="12"/>
        <v>20</v>
      </c>
      <c r="J12" s="1">
        <f t="shared" si="12"/>
        <v>21</v>
      </c>
      <c r="K12" s="1">
        <f t="shared" si="12"/>
        <v>22</v>
      </c>
      <c r="L12" s="1">
        <f t="shared" si="12"/>
        <v>23</v>
      </c>
      <c r="M12" s="1">
        <f t="shared" si="12"/>
        <v>24</v>
      </c>
      <c r="N12" s="1">
        <f t="shared" si="12"/>
        <v>25</v>
      </c>
      <c r="O12" s="1">
        <f t="shared" si="12"/>
        <v>26</v>
      </c>
      <c r="P12" s="1">
        <f t="shared" si="12"/>
        <v>27</v>
      </c>
      <c r="Q12" s="1">
        <f t="shared" si="12"/>
        <v>28</v>
      </c>
      <c r="R12" s="1">
        <f t="shared" si="12"/>
        <v>29</v>
      </c>
      <c r="S12" s="1">
        <f t="shared" si="12"/>
        <v>30</v>
      </c>
      <c r="T12" s="1">
        <f t="shared" si="12"/>
        <v>31</v>
      </c>
      <c r="U12" s="1">
        <f t="shared" si="12"/>
        <v>32</v>
      </c>
      <c r="V12" s="1">
        <f t="shared" si="12"/>
        <v>33</v>
      </c>
      <c r="W12" s="1">
        <f t="shared" si="12"/>
        <v>34</v>
      </c>
      <c r="X12" s="1">
        <f t="shared" si="12"/>
        <v>36</v>
      </c>
      <c r="Y12" s="1">
        <f t="shared" si="12"/>
        <v>37</v>
      </c>
      <c r="Z12" s="1">
        <f t="shared" si="12"/>
        <v>38</v>
      </c>
      <c r="AA12" s="1">
        <f t="shared" si="12"/>
        <v>40</v>
      </c>
      <c r="AB12" s="1">
        <f t="shared" si="12"/>
        <v>42</v>
      </c>
      <c r="AC12" s="1">
        <f t="shared" si="12"/>
        <v>44</v>
      </c>
      <c r="AD12" s="1">
        <f t="shared" si="12"/>
        <v>45</v>
      </c>
      <c r="AE12" s="1">
        <f t="shared" si="12"/>
        <v>46</v>
      </c>
      <c r="AF12" s="1">
        <f t="shared" si="12"/>
        <v>48</v>
      </c>
      <c r="AG12" s="1">
        <f t="shared" si="12"/>
        <v>50</v>
      </c>
      <c r="AH12" s="1">
        <f t="shared" si="12"/>
        <v>51</v>
      </c>
      <c r="AI12" s="1">
        <f t="shared" si="12"/>
        <v>52</v>
      </c>
      <c r="AJ12" s="1">
        <f t="shared" si="12"/>
        <v>54</v>
      </c>
      <c r="AK12" s="1">
        <f t="shared" si="12"/>
        <v>57</v>
      </c>
      <c r="AL12" s="1">
        <f t="shared" si="12"/>
        <v>60</v>
      </c>
      <c r="AM12" s="1">
        <f t="shared" si="12"/>
        <v>62</v>
      </c>
      <c r="AN12" s="1">
        <f t="shared" si="12"/>
        <v>63</v>
      </c>
      <c r="AO12" s="1">
        <f t="shared" si="12"/>
        <v>66</v>
      </c>
      <c r="AP12" s="1">
        <f t="shared" si="12"/>
        <v>72</v>
      </c>
      <c r="AR12" s="8">
        <f>COUNTIFS(score3pijlen,AP12)</f>
        <v>41</v>
      </c>
    </row>
    <row r="13">
      <c r="A13" s="2">
        <v>13.0</v>
      </c>
      <c r="B13" s="1">
        <f t="shared" si="2"/>
        <v>14</v>
      </c>
      <c r="C13" s="1">
        <f t="shared" ref="C13:AP13" si="13">C$1+$A13</f>
        <v>15</v>
      </c>
      <c r="D13" s="1">
        <f t="shared" si="13"/>
        <v>16</v>
      </c>
      <c r="E13" s="1">
        <f t="shared" si="13"/>
        <v>17</v>
      </c>
      <c r="F13" s="1">
        <f t="shared" si="13"/>
        <v>18</v>
      </c>
      <c r="G13" s="1">
        <f t="shared" si="13"/>
        <v>19</v>
      </c>
      <c r="H13" s="1">
        <f t="shared" si="13"/>
        <v>20</v>
      </c>
      <c r="I13" s="1">
        <f t="shared" si="13"/>
        <v>21</v>
      </c>
      <c r="J13" s="1">
        <f t="shared" si="13"/>
        <v>22</v>
      </c>
      <c r="K13" s="1">
        <f t="shared" si="13"/>
        <v>23</v>
      </c>
      <c r="L13" s="1">
        <f t="shared" si="13"/>
        <v>24</v>
      </c>
      <c r="M13" s="1">
        <f t="shared" si="13"/>
        <v>25</v>
      </c>
      <c r="N13" s="1">
        <f t="shared" si="13"/>
        <v>26</v>
      </c>
      <c r="O13" s="1">
        <f t="shared" si="13"/>
        <v>27</v>
      </c>
      <c r="P13" s="1">
        <f t="shared" si="13"/>
        <v>28</v>
      </c>
      <c r="Q13" s="1">
        <f t="shared" si="13"/>
        <v>29</v>
      </c>
      <c r="R13" s="1">
        <f t="shared" si="13"/>
        <v>30</v>
      </c>
      <c r="S13" s="1">
        <f t="shared" si="13"/>
        <v>31</v>
      </c>
      <c r="T13" s="1">
        <f t="shared" si="13"/>
        <v>32</v>
      </c>
      <c r="U13" s="1">
        <f t="shared" si="13"/>
        <v>33</v>
      </c>
      <c r="V13" s="1">
        <f t="shared" si="13"/>
        <v>34</v>
      </c>
      <c r="W13" s="1">
        <f t="shared" si="13"/>
        <v>35</v>
      </c>
      <c r="X13" s="1">
        <f t="shared" si="13"/>
        <v>37</v>
      </c>
      <c r="Y13" s="1">
        <f t="shared" si="13"/>
        <v>38</v>
      </c>
      <c r="Z13" s="1">
        <f t="shared" si="13"/>
        <v>39</v>
      </c>
      <c r="AA13" s="1">
        <f t="shared" si="13"/>
        <v>41</v>
      </c>
      <c r="AB13" s="1">
        <f t="shared" si="13"/>
        <v>43</v>
      </c>
      <c r="AC13" s="1">
        <f t="shared" si="13"/>
        <v>45</v>
      </c>
      <c r="AD13" s="1">
        <f t="shared" si="13"/>
        <v>46</v>
      </c>
      <c r="AE13" s="1">
        <f t="shared" si="13"/>
        <v>47</v>
      </c>
      <c r="AF13" s="1">
        <f t="shared" si="13"/>
        <v>49</v>
      </c>
      <c r="AG13" s="1">
        <f t="shared" si="13"/>
        <v>51</v>
      </c>
      <c r="AH13" s="1">
        <f t="shared" si="13"/>
        <v>52</v>
      </c>
      <c r="AI13" s="1">
        <f t="shared" si="13"/>
        <v>53</v>
      </c>
      <c r="AJ13" s="1">
        <f t="shared" si="13"/>
        <v>55</v>
      </c>
      <c r="AK13" s="1">
        <f t="shared" si="13"/>
        <v>58</v>
      </c>
      <c r="AL13" s="1">
        <f t="shared" si="13"/>
        <v>61</v>
      </c>
      <c r="AM13" s="1">
        <f t="shared" si="13"/>
        <v>63</v>
      </c>
      <c r="AN13" s="1">
        <f t="shared" si="13"/>
        <v>64</v>
      </c>
      <c r="AO13" s="1">
        <f t="shared" si="13"/>
        <v>67</v>
      </c>
      <c r="AP13" s="1">
        <f t="shared" si="13"/>
        <v>73</v>
      </c>
      <c r="AR13" s="8">
        <f>COUNTIFS(score3pijlen,AP13)</f>
        <v>41</v>
      </c>
    </row>
    <row r="14">
      <c r="A14" s="2">
        <v>14.0</v>
      </c>
      <c r="B14" s="1">
        <f t="shared" si="2"/>
        <v>15</v>
      </c>
      <c r="C14" s="1">
        <f t="shared" ref="C14:AP14" si="14">C$1+$A14</f>
        <v>16</v>
      </c>
      <c r="D14" s="1">
        <f t="shared" si="14"/>
        <v>17</v>
      </c>
      <c r="E14" s="1">
        <f t="shared" si="14"/>
        <v>18</v>
      </c>
      <c r="F14" s="1">
        <f t="shared" si="14"/>
        <v>19</v>
      </c>
      <c r="G14" s="1">
        <f t="shared" si="14"/>
        <v>20</v>
      </c>
      <c r="H14" s="1">
        <f t="shared" si="14"/>
        <v>21</v>
      </c>
      <c r="I14" s="1">
        <f t="shared" si="14"/>
        <v>22</v>
      </c>
      <c r="J14" s="1">
        <f t="shared" si="14"/>
        <v>23</v>
      </c>
      <c r="K14" s="1">
        <f t="shared" si="14"/>
        <v>24</v>
      </c>
      <c r="L14" s="1">
        <f t="shared" si="14"/>
        <v>25</v>
      </c>
      <c r="M14" s="1">
        <f t="shared" si="14"/>
        <v>26</v>
      </c>
      <c r="N14" s="1">
        <f t="shared" si="14"/>
        <v>27</v>
      </c>
      <c r="O14" s="1">
        <f t="shared" si="14"/>
        <v>28</v>
      </c>
      <c r="P14" s="1">
        <f t="shared" si="14"/>
        <v>29</v>
      </c>
      <c r="Q14" s="1">
        <f t="shared" si="14"/>
        <v>30</v>
      </c>
      <c r="R14" s="1">
        <f t="shared" si="14"/>
        <v>31</v>
      </c>
      <c r="S14" s="1">
        <f t="shared" si="14"/>
        <v>32</v>
      </c>
      <c r="T14" s="1">
        <f t="shared" si="14"/>
        <v>33</v>
      </c>
      <c r="U14" s="1">
        <f t="shared" si="14"/>
        <v>34</v>
      </c>
      <c r="V14" s="1">
        <f t="shared" si="14"/>
        <v>35</v>
      </c>
      <c r="W14" s="1">
        <f t="shared" si="14"/>
        <v>36</v>
      </c>
      <c r="X14" s="1">
        <f t="shared" si="14"/>
        <v>38</v>
      </c>
      <c r="Y14" s="1">
        <f t="shared" si="14"/>
        <v>39</v>
      </c>
      <c r="Z14" s="1">
        <f t="shared" si="14"/>
        <v>40</v>
      </c>
      <c r="AA14" s="1">
        <f t="shared" si="14"/>
        <v>42</v>
      </c>
      <c r="AB14" s="1">
        <f t="shared" si="14"/>
        <v>44</v>
      </c>
      <c r="AC14" s="1">
        <f t="shared" si="14"/>
        <v>46</v>
      </c>
      <c r="AD14" s="1">
        <f t="shared" si="14"/>
        <v>47</v>
      </c>
      <c r="AE14" s="1">
        <f t="shared" si="14"/>
        <v>48</v>
      </c>
      <c r="AF14" s="1">
        <f t="shared" si="14"/>
        <v>50</v>
      </c>
      <c r="AG14" s="1">
        <f t="shared" si="14"/>
        <v>52</v>
      </c>
      <c r="AH14" s="1">
        <f t="shared" si="14"/>
        <v>53</v>
      </c>
      <c r="AI14" s="1">
        <f t="shared" si="14"/>
        <v>54</v>
      </c>
      <c r="AJ14" s="1">
        <f t="shared" si="14"/>
        <v>56</v>
      </c>
      <c r="AK14" s="1">
        <f t="shared" si="14"/>
        <v>59</v>
      </c>
      <c r="AL14" s="1">
        <f t="shared" si="14"/>
        <v>62</v>
      </c>
      <c r="AM14" s="1">
        <f t="shared" si="14"/>
        <v>64</v>
      </c>
      <c r="AN14" s="1">
        <f t="shared" si="14"/>
        <v>65</v>
      </c>
      <c r="AO14" s="1">
        <f t="shared" si="14"/>
        <v>68</v>
      </c>
      <c r="AP14" s="1">
        <f t="shared" si="14"/>
        <v>74</v>
      </c>
      <c r="AR14" s="8">
        <f>COUNTIFS(score3pijlen,AP14)</f>
        <v>41</v>
      </c>
    </row>
    <row r="15">
      <c r="A15" s="2">
        <v>15.0</v>
      </c>
      <c r="B15" s="1">
        <f t="shared" si="2"/>
        <v>16</v>
      </c>
      <c r="C15" s="1">
        <f t="shared" ref="C15:AP15" si="15">C$1+$A15</f>
        <v>17</v>
      </c>
      <c r="D15" s="1">
        <f t="shared" si="15"/>
        <v>18</v>
      </c>
      <c r="E15" s="1">
        <f t="shared" si="15"/>
        <v>19</v>
      </c>
      <c r="F15" s="1">
        <f t="shared" si="15"/>
        <v>20</v>
      </c>
      <c r="G15" s="1">
        <f t="shared" si="15"/>
        <v>21</v>
      </c>
      <c r="H15" s="1">
        <f t="shared" si="15"/>
        <v>22</v>
      </c>
      <c r="I15" s="1">
        <f t="shared" si="15"/>
        <v>23</v>
      </c>
      <c r="J15" s="1">
        <f t="shared" si="15"/>
        <v>24</v>
      </c>
      <c r="K15" s="1">
        <f t="shared" si="15"/>
        <v>25</v>
      </c>
      <c r="L15" s="1">
        <f t="shared" si="15"/>
        <v>26</v>
      </c>
      <c r="M15" s="1">
        <f t="shared" si="15"/>
        <v>27</v>
      </c>
      <c r="N15" s="1">
        <f t="shared" si="15"/>
        <v>28</v>
      </c>
      <c r="O15" s="1">
        <f t="shared" si="15"/>
        <v>29</v>
      </c>
      <c r="P15" s="1">
        <f t="shared" si="15"/>
        <v>30</v>
      </c>
      <c r="Q15" s="1">
        <f t="shared" si="15"/>
        <v>31</v>
      </c>
      <c r="R15" s="1">
        <f t="shared" si="15"/>
        <v>32</v>
      </c>
      <c r="S15" s="1">
        <f t="shared" si="15"/>
        <v>33</v>
      </c>
      <c r="T15" s="1">
        <f t="shared" si="15"/>
        <v>34</v>
      </c>
      <c r="U15" s="1">
        <f t="shared" si="15"/>
        <v>35</v>
      </c>
      <c r="V15" s="1">
        <f t="shared" si="15"/>
        <v>36</v>
      </c>
      <c r="W15" s="1">
        <f t="shared" si="15"/>
        <v>37</v>
      </c>
      <c r="X15" s="1">
        <f t="shared" si="15"/>
        <v>39</v>
      </c>
      <c r="Y15" s="1">
        <f t="shared" si="15"/>
        <v>40</v>
      </c>
      <c r="Z15" s="1">
        <f t="shared" si="15"/>
        <v>41</v>
      </c>
      <c r="AA15" s="1">
        <f t="shared" si="15"/>
        <v>43</v>
      </c>
      <c r="AB15" s="1">
        <f t="shared" si="15"/>
        <v>45</v>
      </c>
      <c r="AC15" s="1">
        <f t="shared" si="15"/>
        <v>47</v>
      </c>
      <c r="AD15" s="1">
        <f t="shared" si="15"/>
        <v>48</v>
      </c>
      <c r="AE15" s="1">
        <f t="shared" si="15"/>
        <v>49</v>
      </c>
      <c r="AF15" s="1">
        <f t="shared" si="15"/>
        <v>51</v>
      </c>
      <c r="AG15" s="1">
        <f t="shared" si="15"/>
        <v>53</v>
      </c>
      <c r="AH15" s="1">
        <f t="shared" si="15"/>
        <v>54</v>
      </c>
      <c r="AI15" s="1">
        <f t="shared" si="15"/>
        <v>55</v>
      </c>
      <c r="AJ15" s="1">
        <f t="shared" si="15"/>
        <v>57</v>
      </c>
      <c r="AK15" s="1">
        <f t="shared" si="15"/>
        <v>60</v>
      </c>
      <c r="AL15" s="1">
        <f t="shared" si="15"/>
        <v>63</v>
      </c>
      <c r="AM15" s="1">
        <f t="shared" si="15"/>
        <v>65</v>
      </c>
      <c r="AN15" s="1">
        <f t="shared" si="15"/>
        <v>66</v>
      </c>
      <c r="AO15" s="1">
        <f t="shared" si="15"/>
        <v>69</v>
      </c>
      <c r="AP15" s="1">
        <f t="shared" si="15"/>
        <v>75</v>
      </c>
      <c r="AR15" s="8">
        <f>COUNTIFS(score3pijlen,AP15)</f>
        <v>41</v>
      </c>
    </row>
    <row r="16">
      <c r="A16" s="2">
        <v>16.0</v>
      </c>
      <c r="B16" s="1">
        <f t="shared" si="2"/>
        <v>17</v>
      </c>
      <c r="C16" s="1">
        <f t="shared" ref="C16:AP16" si="16">C$1+$A16</f>
        <v>18</v>
      </c>
      <c r="D16" s="1">
        <f t="shared" si="16"/>
        <v>19</v>
      </c>
      <c r="E16" s="1">
        <f t="shared" si="16"/>
        <v>20</v>
      </c>
      <c r="F16" s="1">
        <f t="shared" si="16"/>
        <v>21</v>
      </c>
      <c r="G16" s="1">
        <f t="shared" si="16"/>
        <v>22</v>
      </c>
      <c r="H16" s="1">
        <f t="shared" si="16"/>
        <v>23</v>
      </c>
      <c r="I16" s="1">
        <f t="shared" si="16"/>
        <v>24</v>
      </c>
      <c r="J16" s="1">
        <f t="shared" si="16"/>
        <v>25</v>
      </c>
      <c r="K16" s="1">
        <f t="shared" si="16"/>
        <v>26</v>
      </c>
      <c r="L16" s="1">
        <f t="shared" si="16"/>
        <v>27</v>
      </c>
      <c r="M16" s="1">
        <f t="shared" si="16"/>
        <v>28</v>
      </c>
      <c r="N16" s="1">
        <f t="shared" si="16"/>
        <v>29</v>
      </c>
      <c r="O16" s="1">
        <f t="shared" si="16"/>
        <v>30</v>
      </c>
      <c r="P16" s="1">
        <f t="shared" si="16"/>
        <v>31</v>
      </c>
      <c r="Q16" s="1">
        <f t="shared" si="16"/>
        <v>32</v>
      </c>
      <c r="R16" s="1">
        <f t="shared" si="16"/>
        <v>33</v>
      </c>
      <c r="S16" s="1">
        <f t="shared" si="16"/>
        <v>34</v>
      </c>
      <c r="T16" s="1">
        <f t="shared" si="16"/>
        <v>35</v>
      </c>
      <c r="U16" s="1">
        <f t="shared" si="16"/>
        <v>36</v>
      </c>
      <c r="V16" s="1">
        <f t="shared" si="16"/>
        <v>37</v>
      </c>
      <c r="W16" s="1">
        <f t="shared" si="16"/>
        <v>38</v>
      </c>
      <c r="X16" s="1">
        <f t="shared" si="16"/>
        <v>40</v>
      </c>
      <c r="Y16" s="1">
        <f t="shared" si="16"/>
        <v>41</v>
      </c>
      <c r="Z16" s="1">
        <f t="shared" si="16"/>
        <v>42</v>
      </c>
      <c r="AA16" s="1">
        <f t="shared" si="16"/>
        <v>44</v>
      </c>
      <c r="AB16" s="1">
        <f t="shared" si="16"/>
        <v>46</v>
      </c>
      <c r="AC16" s="1">
        <f t="shared" si="16"/>
        <v>48</v>
      </c>
      <c r="AD16" s="1">
        <f t="shared" si="16"/>
        <v>49</v>
      </c>
      <c r="AE16" s="1">
        <f t="shared" si="16"/>
        <v>50</v>
      </c>
      <c r="AF16" s="1">
        <f t="shared" si="16"/>
        <v>52</v>
      </c>
      <c r="AG16" s="1">
        <f t="shared" si="16"/>
        <v>54</v>
      </c>
      <c r="AH16" s="1">
        <f t="shared" si="16"/>
        <v>55</v>
      </c>
      <c r="AI16" s="1">
        <f t="shared" si="16"/>
        <v>56</v>
      </c>
      <c r="AJ16" s="1">
        <f t="shared" si="16"/>
        <v>58</v>
      </c>
      <c r="AK16" s="1">
        <f t="shared" si="16"/>
        <v>61</v>
      </c>
      <c r="AL16" s="1">
        <f t="shared" si="16"/>
        <v>64</v>
      </c>
      <c r="AM16" s="1">
        <f t="shared" si="16"/>
        <v>66</v>
      </c>
      <c r="AN16" s="1">
        <f t="shared" si="16"/>
        <v>67</v>
      </c>
      <c r="AO16" s="1">
        <f t="shared" si="16"/>
        <v>70</v>
      </c>
      <c r="AP16" s="1">
        <f t="shared" si="16"/>
        <v>76</v>
      </c>
      <c r="AR16" s="8">
        <f>COUNTIFS(score3pijlen,AP16)</f>
        <v>41</v>
      </c>
    </row>
    <row r="17">
      <c r="A17" s="2">
        <v>17.0</v>
      </c>
      <c r="B17" s="1">
        <f t="shared" si="2"/>
        <v>18</v>
      </c>
      <c r="C17" s="1">
        <f t="shared" ref="C17:AP17" si="17">C$1+$A17</f>
        <v>19</v>
      </c>
      <c r="D17" s="1">
        <f t="shared" si="17"/>
        <v>20</v>
      </c>
      <c r="E17" s="1">
        <f t="shared" si="17"/>
        <v>21</v>
      </c>
      <c r="F17" s="1">
        <f t="shared" si="17"/>
        <v>22</v>
      </c>
      <c r="G17" s="1">
        <f t="shared" si="17"/>
        <v>23</v>
      </c>
      <c r="H17" s="1">
        <f t="shared" si="17"/>
        <v>24</v>
      </c>
      <c r="I17" s="1">
        <f t="shared" si="17"/>
        <v>25</v>
      </c>
      <c r="J17" s="1">
        <f t="shared" si="17"/>
        <v>26</v>
      </c>
      <c r="K17" s="1">
        <f t="shared" si="17"/>
        <v>27</v>
      </c>
      <c r="L17" s="1">
        <f t="shared" si="17"/>
        <v>28</v>
      </c>
      <c r="M17" s="1">
        <f t="shared" si="17"/>
        <v>29</v>
      </c>
      <c r="N17" s="1">
        <f t="shared" si="17"/>
        <v>30</v>
      </c>
      <c r="O17" s="1">
        <f t="shared" si="17"/>
        <v>31</v>
      </c>
      <c r="P17" s="1">
        <f t="shared" si="17"/>
        <v>32</v>
      </c>
      <c r="Q17" s="1">
        <f t="shared" si="17"/>
        <v>33</v>
      </c>
      <c r="R17" s="1">
        <f t="shared" si="17"/>
        <v>34</v>
      </c>
      <c r="S17" s="1">
        <f t="shared" si="17"/>
        <v>35</v>
      </c>
      <c r="T17" s="1">
        <f t="shared" si="17"/>
        <v>36</v>
      </c>
      <c r="U17" s="1">
        <f t="shared" si="17"/>
        <v>37</v>
      </c>
      <c r="V17" s="1">
        <f t="shared" si="17"/>
        <v>38</v>
      </c>
      <c r="W17" s="1">
        <f t="shared" si="17"/>
        <v>39</v>
      </c>
      <c r="X17" s="1">
        <f t="shared" si="17"/>
        <v>41</v>
      </c>
      <c r="Y17" s="1">
        <f t="shared" si="17"/>
        <v>42</v>
      </c>
      <c r="Z17" s="1">
        <f t="shared" si="17"/>
        <v>43</v>
      </c>
      <c r="AA17" s="1">
        <f t="shared" si="17"/>
        <v>45</v>
      </c>
      <c r="AB17" s="1">
        <f t="shared" si="17"/>
        <v>47</v>
      </c>
      <c r="AC17" s="1">
        <f t="shared" si="17"/>
        <v>49</v>
      </c>
      <c r="AD17" s="1">
        <f t="shared" si="17"/>
        <v>50</v>
      </c>
      <c r="AE17" s="1">
        <f t="shared" si="17"/>
        <v>51</v>
      </c>
      <c r="AF17" s="1">
        <f t="shared" si="17"/>
        <v>53</v>
      </c>
      <c r="AG17" s="1">
        <f t="shared" si="17"/>
        <v>55</v>
      </c>
      <c r="AH17" s="1">
        <f t="shared" si="17"/>
        <v>56</v>
      </c>
      <c r="AI17" s="1">
        <f t="shared" si="17"/>
        <v>57</v>
      </c>
      <c r="AJ17" s="1">
        <f t="shared" si="17"/>
        <v>59</v>
      </c>
      <c r="AK17" s="1">
        <f t="shared" si="17"/>
        <v>62</v>
      </c>
      <c r="AL17" s="1">
        <f t="shared" si="17"/>
        <v>65</v>
      </c>
      <c r="AM17" s="1">
        <f t="shared" si="17"/>
        <v>67</v>
      </c>
      <c r="AN17" s="1">
        <f t="shared" si="17"/>
        <v>68</v>
      </c>
      <c r="AO17" s="1">
        <f t="shared" si="17"/>
        <v>71</v>
      </c>
      <c r="AP17" s="1">
        <f t="shared" si="17"/>
        <v>77</v>
      </c>
      <c r="AR17" s="8">
        <f>COUNTIFS(score3pijlen,AP17)</f>
        <v>41</v>
      </c>
    </row>
    <row r="18">
      <c r="A18" s="2">
        <v>18.0</v>
      </c>
      <c r="B18" s="1">
        <f t="shared" si="2"/>
        <v>19</v>
      </c>
      <c r="C18" s="1">
        <f t="shared" ref="C18:AP18" si="18">C$1+$A18</f>
        <v>20</v>
      </c>
      <c r="D18" s="1">
        <f t="shared" si="18"/>
        <v>21</v>
      </c>
      <c r="E18" s="1">
        <f t="shared" si="18"/>
        <v>22</v>
      </c>
      <c r="F18" s="1">
        <f t="shared" si="18"/>
        <v>23</v>
      </c>
      <c r="G18" s="1">
        <f t="shared" si="18"/>
        <v>24</v>
      </c>
      <c r="H18" s="1">
        <f t="shared" si="18"/>
        <v>25</v>
      </c>
      <c r="I18" s="1">
        <f t="shared" si="18"/>
        <v>26</v>
      </c>
      <c r="J18" s="1">
        <f t="shared" si="18"/>
        <v>27</v>
      </c>
      <c r="K18" s="1">
        <f t="shared" si="18"/>
        <v>28</v>
      </c>
      <c r="L18" s="1">
        <f t="shared" si="18"/>
        <v>29</v>
      </c>
      <c r="M18" s="1">
        <f t="shared" si="18"/>
        <v>30</v>
      </c>
      <c r="N18" s="1">
        <f t="shared" si="18"/>
        <v>31</v>
      </c>
      <c r="O18" s="1">
        <f t="shared" si="18"/>
        <v>32</v>
      </c>
      <c r="P18" s="1">
        <f t="shared" si="18"/>
        <v>33</v>
      </c>
      <c r="Q18" s="1">
        <f t="shared" si="18"/>
        <v>34</v>
      </c>
      <c r="R18" s="1">
        <f t="shared" si="18"/>
        <v>35</v>
      </c>
      <c r="S18" s="1">
        <f t="shared" si="18"/>
        <v>36</v>
      </c>
      <c r="T18" s="1">
        <f t="shared" si="18"/>
        <v>37</v>
      </c>
      <c r="U18" s="1">
        <f t="shared" si="18"/>
        <v>38</v>
      </c>
      <c r="V18" s="1">
        <f t="shared" si="18"/>
        <v>39</v>
      </c>
      <c r="W18" s="1">
        <f t="shared" si="18"/>
        <v>40</v>
      </c>
      <c r="X18" s="1">
        <f t="shared" si="18"/>
        <v>42</v>
      </c>
      <c r="Y18" s="1">
        <f t="shared" si="18"/>
        <v>43</v>
      </c>
      <c r="Z18" s="1">
        <f t="shared" si="18"/>
        <v>44</v>
      </c>
      <c r="AA18" s="1">
        <f t="shared" si="18"/>
        <v>46</v>
      </c>
      <c r="AB18" s="1">
        <f t="shared" si="18"/>
        <v>48</v>
      </c>
      <c r="AC18" s="1">
        <f t="shared" si="18"/>
        <v>50</v>
      </c>
      <c r="AD18" s="1">
        <f t="shared" si="18"/>
        <v>51</v>
      </c>
      <c r="AE18" s="1">
        <f t="shared" si="18"/>
        <v>52</v>
      </c>
      <c r="AF18" s="1">
        <f t="shared" si="18"/>
        <v>54</v>
      </c>
      <c r="AG18" s="1">
        <f t="shared" si="18"/>
        <v>56</v>
      </c>
      <c r="AH18" s="1">
        <f t="shared" si="18"/>
        <v>57</v>
      </c>
      <c r="AI18" s="1">
        <f t="shared" si="18"/>
        <v>58</v>
      </c>
      <c r="AJ18" s="1">
        <f t="shared" si="18"/>
        <v>60</v>
      </c>
      <c r="AK18" s="1">
        <f t="shared" si="18"/>
        <v>63</v>
      </c>
      <c r="AL18" s="1">
        <f t="shared" si="18"/>
        <v>66</v>
      </c>
      <c r="AM18" s="1">
        <f t="shared" si="18"/>
        <v>68</v>
      </c>
      <c r="AN18" s="1">
        <f t="shared" si="18"/>
        <v>69</v>
      </c>
      <c r="AO18" s="1">
        <f t="shared" si="18"/>
        <v>72</v>
      </c>
      <c r="AP18" s="1">
        <f t="shared" si="18"/>
        <v>78</v>
      </c>
      <c r="AR18" s="8">
        <f>COUNTIFS(score3pijlen,AP18)</f>
        <v>41</v>
      </c>
    </row>
    <row r="19">
      <c r="A19" s="2">
        <v>19.0</v>
      </c>
      <c r="B19" s="1">
        <f t="shared" si="2"/>
        <v>20</v>
      </c>
      <c r="C19" s="1">
        <f t="shared" ref="C19:AP19" si="19">C$1+$A19</f>
        <v>21</v>
      </c>
      <c r="D19" s="1">
        <f t="shared" si="19"/>
        <v>22</v>
      </c>
      <c r="E19" s="1">
        <f t="shared" si="19"/>
        <v>23</v>
      </c>
      <c r="F19" s="1">
        <f t="shared" si="19"/>
        <v>24</v>
      </c>
      <c r="G19" s="1">
        <f t="shared" si="19"/>
        <v>25</v>
      </c>
      <c r="H19" s="1">
        <f t="shared" si="19"/>
        <v>26</v>
      </c>
      <c r="I19" s="1">
        <f t="shared" si="19"/>
        <v>27</v>
      </c>
      <c r="J19" s="1">
        <f t="shared" si="19"/>
        <v>28</v>
      </c>
      <c r="K19" s="1">
        <f t="shared" si="19"/>
        <v>29</v>
      </c>
      <c r="L19" s="1">
        <f t="shared" si="19"/>
        <v>30</v>
      </c>
      <c r="M19" s="1">
        <f t="shared" si="19"/>
        <v>31</v>
      </c>
      <c r="N19" s="1">
        <f t="shared" si="19"/>
        <v>32</v>
      </c>
      <c r="O19" s="1">
        <f t="shared" si="19"/>
        <v>33</v>
      </c>
      <c r="P19" s="1">
        <f t="shared" si="19"/>
        <v>34</v>
      </c>
      <c r="Q19" s="1">
        <f t="shared" si="19"/>
        <v>35</v>
      </c>
      <c r="R19" s="1">
        <f t="shared" si="19"/>
        <v>36</v>
      </c>
      <c r="S19" s="1">
        <f t="shared" si="19"/>
        <v>37</v>
      </c>
      <c r="T19" s="1">
        <f t="shared" si="19"/>
        <v>38</v>
      </c>
      <c r="U19" s="1">
        <f t="shared" si="19"/>
        <v>39</v>
      </c>
      <c r="V19" s="1">
        <f t="shared" si="19"/>
        <v>40</v>
      </c>
      <c r="W19" s="1">
        <f t="shared" si="19"/>
        <v>41</v>
      </c>
      <c r="X19" s="1">
        <f t="shared" si="19"/>
        <v>43</v>
      </c>
      <c r="Y19" s="1">
        <f t="shared" si="19"/>
        <v>44</v>
      </c>
      <c r="Z19" s="1">
        <f t="shared" si="19"/>
        <v>45</v>
      </c>
      <c r="AA19" s="1">
        <f t="shared" si="19"/>
        <v>47</v>
      </c>
      <c r="AB19" s="1">
        <f t="shared" si="19"/>
        <v>49</v>
      </c>
      <c r="AC19" s="1">
        <f t="shared" si="19"/>
        <v>51</v>
      </c>
      <c r="AD19" s="1">
        <f t="shared" si="19"/>
        <v>52</v>
      </c>
      <c r="AE19" s="1">
        <f t="shared" si="19"/>
        <v>53</v>
      </c>
      <c r="AF19" s="1">
        <f t="shared" si="19"/>
        <v>55</v>
      </c>
      <c r="AG19" s="1">
        <f t="shared" si="19"/>
        <v>57</v>
      </c>
      <c r="AH19" s="1">
        <f t="shared" si="19"/>
        <v>58</v>
      </c>
      <c r="AI19" s="1">
        <f t="shared" si="19"/>
        <v>59</v>
      </c>
      <c r="AJ19" s="1">
        <f t="shared" si="19"/>
        <v>61</v>
      </c>
      <c r="AK19" s="1">
        <f t="shared" si="19"/>
        <v>64</v>
      </c>
      <c r="AL19" s="1">
        <f t="shared" si="19"/>
        <v>67</v>
      </c>
      <c r="AM19" s="1">
        <f t="shared" si="19"/>
        <v>69</v>
      </c>
      <c r="AN19" s="1">
        <f t="shared" si="19"/>
        <v>70</v>
      </c>
      <c r="AO19" s="1">
        <f t="shared" si="19"/>
        <v>73</v>
      </c>
      <c r="AP19" s="1">
        <f t="shared" si="19"/>
        <v>79</v>
      </c>
      <c r="AR19" s="8">
        <f>COUNTIFS(score3pijlen,AP19)</f>
        <v>41</v>
      </c>
    </row>
    <row r="20">
      <c r="A20" s="2">
        <v>20.0</v>
      </c>
      <c r="B20" s="1">
        <f t="shared" si="2"/>
        <v>21</v>
      </c>
      <c r="C20" s="1">
        <f t="shared" ref="C20:AP20" si="20">C$1+$A20</f>
        <v>22</v>
      </c>
      <c r="D20" s="1">
        <f t="shared" si="20"/>
        <v>23</v>
      </c>
      <c r="E20" s="1">
        <f t="shared" si="20"/>
        <v>24</v>
      </c>
      <c r="F20" s="1">
        <f t="shared" si="20"/>
        <v>25</v>
      </c>
      <c r="G20" s="1">
        <f t="shared" si="20"/>
        <v>26</v>
      </c>
      <c r="H20" s="1">
        <f t="shared" si="20"/>
        <v>27</v>
      </c>
      <c r="I20" s="1">
        <f t="shared" si="20"/>
        <v>28</v>
      </c>
      <c r="J20" s="1">
        <f t="shared" si="20"/>
        <v>29</v>
      </c>
      <c r="K20" s="1">
        <f t="shared" si="20"/>
        <v>30</v>
      </c>
      <c r="L20" s="1">
        <f t="shared" si="20"/>
        <v>31</v>
      </c>
      <c r="M20" s="1">
        <f t="shared" si="20"/>
        <v>32</v>
      </c>
      <c r="N20" s="1">
        <f t="shared" si="20"/>
        <v>33</v>
      </c>
      <c r="O20" s="1">
        <f t="shared" si="20"/>
        <v>34</v>
      </c>
      <c r="P20" s="1">
        <f t="shared" si="20"/>
        <v>35</v>
      </c>
      <c r="Q20" s="1">
        <f t="shared" si="20"/>
        <v>36</v>
      </c>
      <c r="R20" s="1">
        <f t="shared" si="20"/>
        <v>37</v>
      </c>
      <c r="S20" s="1">
        <f t="shared" si="20"/>
        <v>38</v>
      </c>
      <c r="T20" s="1">
        <f t="shared" si="20"/>
        <v>39</v>
      </c>
      <c r="U20" s="1">
        <f t="shared" si="20"/>
        <v>40</v>
      </c>
      <c r="V20" s="1">
        <f t="shared" si="20"/>
        <v>41</v>
      </c>
      <c r="W20" s="1">
        <f t="shared" si="20"/>
        <v>42</v>
      </c>
      <c r="X20" s="1">
        <f t="shared" si="20"/>
        <v>44</v>
      </c>
      <c r="Y20" s="1">
        <f t="shared" si="20"/>
        <v>45</v>
      </c>
      <c r="Z20" s="1">
        <f t="shared" si="20"/>
        <v>46</v>
      </c>
      <c r="AA20" s="1">
        <f t="shared" si="20"/>
        <v>48</v>
      </c>
      <c r="AB20" s="1">
        <f t="shared" si="20"/>
        <v>50</v>
      </c>
      <c r="AC20" s="1">
        <f t="shared" si="20"/>
        <v>52</v>
      </c>
      <c r="AD20" s="1">
        <f t="shared" si="20"/>
        <v>53</v>
      </c>
      <c r="AE20" s="1">
        <f t="shared" si="20"/>
        <v>54</v>
      </c>
      <c r="AF20" s="1">
        <f t="shared" si="20"/>
        <v>56</v>
      </c>
      <c r="AG20" s="1">
        <f t="shared" si="20"/>
        <v>58</v>
      </c>
      <c r="AH20" s="1">
        <f t="shared" si="20"/>
        <v>59</v>
      </c>
      <c r="AI20" s="1">
        <f t="shared" si="20"/>
        <v>60</v>
      </c>
      <c r="AJ20" s="1">
        <f t="shared" si="20"/>
        <v>62</v>
      </c>
      <c r="AK20" s="1">
        <f t="shared" si="20"/>
        <v>65</v>
      </c>
      <c r="AL20" s="1">
        <f t="shared" si="20"/>
        <v>68</v>
      </c>
      <c r="AM20" s="1">
        <f t="shared" si="20"/>
        <v>70</v>
      </c>
      <c r="AN20" s="1">
        <f t="shared" si="20"/>
        <v>71</v>
      </c>
      <c r="AO20" s="1">
        <f t="shared" si="20"/>
        <v>74</v>
      </c>
      <c r="AP20" s="1">
        <f t="shared" si="20"/>
        <v>80</v>
      </c>
      <c r="AR20" s="8">
        <f>COUNTIFS(score3pijlen,AP20)</f>
        <v>41</v>
      </c>
    </row>
    <row r="21">
      <c r="A21" s="2">
        <v>21.0</v>
      </c>
      <c r="B21" s="1">
        <f t="shared" si="2"/>
        <v>22</v>
      </c>
      <c r="C21" s="1">
        <f t="shared" ref="C21:AP21" si="21">C$1+$A21</f>
        <v>23</v>
      </c>
      <c r="D21" s="1">
        <f t="shared" si="21"/>
        <v>24</v>
      </c>
      <c r="E21" s="1">
        <f t="shared" si="21"/>
        <v>25</v>
      </c>
      <c r="F21" s="1">
        <f t="shared" si="21"/>
        <v>26</v>
      </c>
      <c r="G21" s="1">
        <f t="shared" si="21"/>
        <v>27</v>
      </c>
      <c r="H21" s="1">
        <f t="shared" si="21"/>
        <v>28</v>
      </c>
      <c r="I21" s="1">
        <f t="shared" si="21"/>
        <v>29</v>
      </c>
      <c r="J21" s="1">
        <f t="shared" si="21"/>
        <v>30</v>
      </c>
      <c r="K21" s="1">
        <f t="shared" si="21"/>
        <v>31</v>
      </c>
      <c r="L21" s="1">
        <f t="shared" si="21"/>
        <v>32</v>
      </c>
      <c r="M21" s="1">
        <f t="shared" si="21"/>
        <v>33</v>
      </c>
      <c r="N21" s="1">
        <f t="shared" si="21"/>
        <v>34</v>
      </c>
      <c r="O21" s="1">
        <f t="shared" si="21"/>
        <v>35</v>
      </c>
      <c r="P21" s="1">
        <f t="shared" si="21"/>
        <v>36</v>
      </c>
      <c r="Q21" s="1">
        <f t="shared" si="21"/>
        <v>37</v>
      </c>
      <c r="R21" s="1">
        <f t="shared" si="21"/>
        <v>38</v>
      </c>
      <c r="S21" s="1">
        <f t="shared" si="21"/>
        <v>39</v>
      </c>
      <c r="T21" s="1">
        <f t="shared" si="21"/>
        <v>40</v>
      </c>
      <c r="U21" s="1">
        <f t="shared" si="21"/>
        <v>41</v>
      </c>
      <c r="V21" s="1">
        <f t="shared" si="21"/>
        <v>42</v>
      </c>
      <c r="W21" s="1">
        <f t="shared" si="21"/>
        <v>43</v>
      </c>
      <c r="X21" s="1">
        <f t="shared" si="21"/>
        <v>45</v>
      </c>
      <c r="Y21" s="1">
        <f t="shared" si="21"/>
        <v>46</v>
      </c>
      <c r="Z21" s="1">
        <f t="shared" si="21"/>
        <v>47</v>
      </c>
      <c r="AA21" s="1">
        <f t="shared" si="21"/>
        <v>49</v>
      </c>
      <c r="AB21" s="1">
        <f t="shared" si="21"/>
        <v>51</v>
      </c>
      <c r="AC21" s="1">
        <f t="shared" si="21"/>
        <v>53</v>
      </c>
      <c r="AD21" s="1">
        <f t="shared" si="21"/>
        <v>54</v>
      </c>
      <c r="AE21" s="1">
        <f t="shared" si="21"/>
        <v>55</v>
      </c>
      <c r="AF21" s="1">
        <f t="shared" si="21"/>
        <v>57</v>
      </c>
      <c r="AG21" s="1">
        <f t="shared" si="21"/>
        <v>59</v>
      </c>
      <c r="AH21" s="1">
        <f t="shared" si="21"/>
        <v>60</v>
      </c>
      <c r="AI21" s="1">
        <f t="shared" si="21"/>
        <v>61</v>
      </c>
      <c r="AJ21" s="1">
        <f t="shared" si="21"/>
        <v>63</v>
      </c>
      <c r="AK21" s="1">
        <f t="shared" si="21"/>
        <v>66</v>
      </c>
      <c r="AL21" s="1">
        <f t="shared" si="21"/>
        <v>69</v>
      </c>
      <c r="AM21" s="1">
        <f t="shared" si="21"/>
        <v>71</v>
      </c>
      <c r="AN21" s="1">
        <f t="shared" si="21"/>
        <v>72</v>
      </c>
      <c r="AO21" s="1">
        <f t="shared" si="21"/>
        <v>75</v>
      </c>
      <c r="AP21" s="1">
        <f t="shared" si="21"/>
        <v>81</v>
      </c>
      <c r="AR21" s="8">
        <f>COUNTIFS(score3pijlen,AP21)</f>
        <v>41</v>
      </c>
    </row>
    <row r="22">
      <c r="A22" s="2">
        <v>22.0</v>
      </c>
      <c r="B22" s="1">
        <f t="shared" si="2"/>
        <v>23</v>
      </c>
      <c r="C22" s="1">
        <f t="shared" ref="C22:AP22" si="22">C$1+$A22</f>
        <v>24</v>
      </c>
      <c r="D22" s="1">
        <f t="shared" si="22"/>
        <v>25</v>
      </c>
      <c r="E22" s="1">
        <f t="shared" si="22"/>
        <v>26</v>
      </c>
      <c r="F22" s="1">
        <f t="shared" si="22"/>
        <v>27</v>
      </c>
      <c r="G22" s="1">
        <f t="shared" si="22"/>
        <v>28</v>
      </c>
      <c r="H22" s="1">
        <f t="shared" si="22"/>
        <v>29</v>
      </c>
      <c r="I22" s="1">
        <f t="shared" si="22"/>
        <v>30</v>
      </c>
      <c r="J22" s="1">
        <f t="shared" si="22"/>
        <v>31</v>
      </c>
      <c r="K22" s="1">
        <f t="shared" si="22"/>
        <v>32</v>
      </c>
      <c r="L22" s="1">
        <f t="shared" si="22"/>
        <v>33</v>
      </c>
      <c r="M22" s="1">
        <f t="shared" si="22"/>
        <v>34</v>
      </c>
      <c r="N22" s="1">
        <f t="shared" si="22"/>
        <v>35</v>
      </c>
      <c r="O22" s="1">
        <f t="shared" si="22"/>
        <v>36</v>
      </c>
      <c r="P22" s="1">
        <f t="shared" si="22"/>
        <v>37</v>
      </c>
      <c r="Q22" s="1">
        <f t="shared" si="22"/>
        <v>38</v>
      </c>
      <c r="R22" s="1">
        <f t="shared" si="22"/>
        <v>39</v>
      </c>
      <c r="S22" s="1">
        <f t="shared" si="22"/>
        <v>40</v>
      </c>
      <c r="T22" s="1">
        <f t="shared" si="22"/>
        <v>41</v>
      </c>
      <c r="U22" s="1">
        <f t="shared" si="22"/>
        <v>42</v>
      </c>
      <c r="V22" s="1">
        <f t="shared" si="22"/>
        <v>43</v>
      </c>
      <c r="W22" s="1">
        <f t="shared" si="22"/>
        <v>44</v>
      </c>
      <c r="X22" s="1">
        <f t="shared" si="22"/>
        <v>46</v>
      </c>
      <c r="Y22" s="1">
        <f t="shared" si="22"/>
        <v>47</v>
      </c>
      <c r="Z22" s="1">
        <f t="shared" si="22"/>
        <v>48</v>
      </c>
      <c r="AA22" s="1">
        <f t="shared" si="22"/>
        <v>50</v>
      </c>
      <c r="AB22" s="1">
        <f t="shared" si="22"/>
        <v>52</v>
      </c>
      <c r="AC22" s="1">
        <f t="shared" si="22"/>
        <v>54</v>
      </c>
      <c r="AD22" s="1">
        <f t="shared" si="22"/>
        <v>55</v>
      </c>
      <c r="AE22" s="1">
        <f t="shared" si="22"/>
        <v>56</v>
      </c>
      <c r="AF22" s="1">
        <f t="shared" si="22"/>
        <v>58</v>
      </c>
      <c r="AG22" s="1">
        <f t="shared" si="22"/>
        <v>60</v>
      </c>
      <c r="AH22" s="1">
        <f t="shared" si="22"/>
        <v>61</v>
      </c>
      <c r="AI22" s="1">
        <f t="shared" si="22"/>
        <v>62</v>
      </c>
      <c r="AJ22" s="1">
        <f t="shared" si="22"/>
        <v>64</v>
      </c>
      <c r="AK22" s="1">
        <f t="shared" si="22"/>
        <v>67</v>
      </c>
      <c r="AL22" s="1">
        <f t="shared" si="22"/>
        <v>70</v>
      </c>
      <c r="AM22" s="1">
        <f t="shared" si="22"/>
        <v>72</v>
      </c>
      <c r="AN22" s="1">
        <f t="shared" si="22"/>
        <v>73</v>
      </c>
      <c r="AO22" s="1">
        <f t="shared" si="22"/>
        <v>76</v>
      </c>
      <c r="AP22" s="1">
        <f t="shared" si="22"/>
        <v>82</v>
      </c>
      <c r="AR22" s="8">
        <f>COUNTIFS(score3pijlen,AP22)</f>
        <v>41</v>
      </c>
    </row>
    <row r="23">
      <c r="A23" s="2">
        <v>23.0</v>
      </c>
      <c r="B23" s="1">
        <f t="shared" si="2"/>
        <v>24</v>
      </c>
      <c r="C23" s="1">
        <f t="shared" ref="C23:AP23" si="23">C$1+$A23</f>
        <v>25</v>
      </c>
      <c r="D23" s="1">
        <f t="shared" si="23"/>
        <v>26</v>
      </c>
      <c r="E23" s="1">
        <f t="shared" si="23"/>
        <v>27</v>
      </c>
      <c r="F23" s="1">
        <f t="shared" si="23"/>
        <v>28</v>
      </c>
      <c r="G23" s="1">
        <f t="shared" si="23"/>
        <v>29</v>
      </c>
      <c r="H23" s="1">
        <f t="shared" si="23"/>
        <v>30</v>
      </c>
      <c r="I23" s="1">
        <f t="shared" si="23"/>
        <v>31</v>
      </c>
      <c r="J23" s="1">
        <f t="shared" si="23"/>
        <v>32</v>
      </c>
      <c r="K23" s="1">
        <f t="shared" si="23"/>
        <v>33</v>
      </c>
      <c r="L23" s="1">
        <f t="shared" si="23"/>
        <v>34</v>
      </c>
      <c r="M23" s="1">
        <f t="shared" si="23"/>
        <v>35</v>
      </c>
      <c r="N23" s="1">
        <f t="shared" si="23"/>
        <v>36</v>
      </c>
      <c r="O23" s="1">
        <f t="shared" si="23"/>
        <v>37</v>
      </c>
      <c r="P23" s="1">
        <f t="shared" si="23"/>
        <v>38</v>
      </c>
      <c r="Q23" s="1">
        <f t="shared" si="23"/>
        <v>39</v>
      </c>
      <c r="R23" s="1">
        <f t="shared" si="23"/>
        <v>40</v>
      </c>
      <c r="S23" s="1">
        <f t="shared" si="23"/>
        <v>41</v>
      </c>
      <c r="T23" s="1">
        <f t="shared" si="23"/>
        <v>42</v>
      </c>
      <c r="U23" s="1">
        <f t="shared" si="23"/>
        <v>43</v>
      </c>
      <c r="V23" s="1">
        <f t="shared" si="23"/>
        <v>44</v>
      </c>
      <c r="W23" s="1">
        <f t="shared" si="23"/>
        <v>45</v>
      </c>
      <c r="X23" s="1">
        <f t="shared" si="23"/>
        <v>47</v>
      </c>
      <c r="Y23" s="1">
        <f t="shared" si="23"/>
        <v>48</v>
      </c>
      <c r="Z23" s="1">
        <f t="shared" si="23"/>
        <v>49</v>
      </c>
      <c r="AA23" s="1">
        <f t="shared" si="23"/>
        <v>51</v>
      </c>
      <c r="AB23" s="1">
        <f t="shared" si="23"/>
        <v>53</v>
      </c>
      <c r="AC23" s="1">
        <f t="shared" si="23"/>
        <v>55</v>
      </c>
      <c r="AD23" s="1">
        <f t="shared" si="23"/>
        <v>56</v>
      </c>
      <c r="AE23" s="1">
        <f t="shared" si="23"/>
        <v>57</v>
      </c>
      <c r="AF23" s="1">
        <f t="shared" si="23"/>
        <v>59</v>
      </c>
      <c r="AG23" s="1">
        <f t="shared" si="23"/>
        <v>61</v>
      </c>
      <c r="AH23" s="1">
        <f t="shared" si="23"/>
        <v>62</v>
      </c>
      <c r="AI23" s="1">
        <f t="shared" si="23"/>
        <v>63</v>
      </c>
      <c r="AJ23" s="1">
        <f t="shared" si="23"/>
        <v>65</v>
      </c>
      <c r="AK23" s="1">
        <f t="shared" si="23"/>
        <v>68</v>
      </c>
      <c r="AL23" s="1">
        <f t="shared" si="23"/>
        <v>71</v>
      </c>
      <c r="AM23" s="1">
        <f t="shared" si="23"/>
        <v>73</v>
      </c>
      <c r="AN23" s="1">
        <f t="shared" si="23"/>
        <v>74</v>
      </c>
      <c r="AO23" s="1">
        <f t="shared" si="23"/>
        <v>77</v>
      </c>
      <c r="AP23" s="1">
        <f t="shared" si="23"/>
        <v>83</v>
      </c>
      <c r="AR23" s="8">
        <f>COUNTIFS(score3pijlen,AP23)</f>
        <v>41</v>
      </c>
    </row>
    <row r="24">
      <c r="A24" s="2">
        <v>24.0</v>
      </c>
      <c r="B24" s="1">
        <f t="shared" si="2"/>
        <v>25</v>
      </c>
      <c r="C24" s="1">
        <f t="shared" ref="C24:AP24" si="24">C$1+$A24</f>
        <v>26</v>
      </c>
      <c r="D24" s="1">
        <f t="shared" si="24"/>
        <v>27</v>
      </c>
      <c r="E24" s="1">
        <f t="shared" si="24"/>
        <v>28</v>
      </c>
      <c r="F24" s="1">
        <f t="shared" si="24"/>
        <v>29</v>
      </c>
      <c r="G24" s="1">
        <f t="shared" si="24"/>
        <v>30</v>
      </c>
      <c r="H24" s="1">
        <f t="shared" si="24"/>
        <v>31</v>
      </c>
      <c r="I24" s="1">
        <f t="shared" si="24"/>
        <v>32</v>
      </c>
      <c r="J24" s="1">
        <f t="shared" si="24"/>
        <v>33</v>
      </c>
      <c r="K24" s="1">
        <f t="shared" si="24"/>
        <v>34</v>
      </c>
      <c r="L24" s="1">
        <f t="shared" si="24"/>
        <v>35</v>
      </c>
      <c r="M24" s="1">
        <f t="shared" si="24"/>
        <v>36</v>
      </c>
      <c r="N24" s="1">
        <f t="shared" si="24"/>
        <v>37</v>
      </c>
      <c r="O24" s="1">
        <f t="shared" si="24"/>
        <v>38</v>
      </c>
      <c r="P24" s="1">
        <f t="shared" si="24"/>
        <v>39</v>
      </c>
      <c r="Q24" s="1">
        <f t="shared" si="24"/>
        <v>40</v>
      </c>
      <c r="R24" s="1">
        <f t="shared" si="24"/>
        <v>41</v>
      </c>
      <c r="S24" s="1">
        <f t="shared" si="24"/>
        <v>42</v>
      </c>
      <c r="T24" s="1">
        <f t="shared" si="24"/>
        <v>43</v>
      </c>
      <c r="U24" s="1">
        <f t="shared" si="24"/>
        <v>44</v>
      </c>
      <c r="V24" s="1">
        <f t="shared" si="24"/>
        <v>45</v>
      </c>
      <c r="W24" s="1">
        <f t="shared" si="24"/>
        <v>46</v>
      </c>
      <c r="X24" s="1">
        <f t="shared" si="24"/>
        <v>48</v>
      </c>
      <c r="Y24" s="1">
        <f t="shared" si="24"/>
        <v>49</v>
      </c>
      <c r="Z24" s="1">
        <f t="shared" si="24"/>
        <v>50</v>
      </c>
      <c r="AA24" s="1">
        <f t="shared" si="24"/>
        <v>52</v>
      </c>
      <c r="AB24" s="1">
        <f t="shared" si="24"/>
        <v>54</v>
      </c>
      <c r="AC24" s="1">
        <f t="shared" si="24"/>
        <v>56</v>
      </c>
      <c r="AD24" s="1">
        <f t="shared" si="24"/>
        <v>57</v>
      </c>
      <c r="AE24" s="1">
        <f t="shared" si="24"/>
        <v>58</v>
      </c>
      <c r="AF24" s="1">
        <f t="shared" si="24"/>
        <v>60</v>
      </c>
      <c r="AG24" s="1">
        <f t="shared" si="24"/>
        <v>62</v>
      </c>
      <c r="AH24" s="1">
        <f t="shared" si="24"/>
        <v>63</v>
      </c>
      <c r="AI24" s="1">
        <f t="shared" si="24"/>
        <v>64</v>
      </c>
      <c r="AJ24" s="1">
        <f t="shared" si="24"/>
        <v>66</v>
      </c>
      <c r="AK24" s="1">
        <f t="shared" si="24"/>
        <v>69</v>
      </c>
      <c r="AL24" s="1">
        <f t="shared" si="24"/>
        <v>72</v>
      </c>
      <c r="AM24" s="1">
        <f t="shared" si="24"/>
        <v>74</v>
      </c>
      <c r="AN24" s="1">
        <f t="shared" si="24"/>
        <v>75</v>
      </c>
      <c r="AO24" s="1">
        <f t="shared" si="24"/>
        <v>78</v>
      </c>
      <c r="AP24" s="1">
        <f t="shared" si="24"/>
        <v>84</v>
      </c>
      <c r="AR24" s="8">
        <f>COUNTIFS(score3pijlen,AP24)</f>
        <v>41</v>
      </c>
    </row>
    <row r="25">
      <c r="A25" s="2">
        <v>25.0</v>
      </c>
      <c r="B25" s="1">
        <f t="shared" si="2"/>
        <v>26</v>
      </c>
      <c r="C25" s="1">
        <f t="shared" ref="C25:AP25" si="25">C$1+$A25</f>
        <v>27</v>
      </c>
      <c r="D25" s="1">
        <f t="shared" si="25"/>
        <v>28</v>
      </c>
      <c r="E25" s="1">
        <f t="shared" si="25"/>
        <v>29</v>
      </c>
      <c r="F25" s="1">
        <f t="shared" si="25"/>
        <v>30</v>
      </c>
      <c r="G25" s="1">
        <f t="shared" si="25"/>
        <v>31</v>
      </c>
      <c r="H25" s="1">
        <f t="shared" si="25"/>
        <v>32</v>
      </c>
      <c r="I25" s="1">
        <f t="shared" si="25"/>
        <v>33</v>
      </c>
      <c r="J25" s="1">
        <f t="shared" si="25"/>
        <v>34</v>
      </c>
      <c r="K25" s="1">
        <f t="shared" si="25"/>
        <v>35</v>
      </c>
      <c r="L25" s="1">
        <f t="shared" si="25"/>
        <v>36</v>
      </c>
      <c r="M25" s="1">
        <f t="shared" si="25"/>
        <v>37</v>
      </c>
      <c r="N25" s="1">
        <f t="shared" si="25"/>
        <v>38</v>
      </c>
      <c r="O25" s="1">
        <f t="shared" si="25"/>
        <v>39</v>
      </c>
      <c r="P25" s="1">
        <f t="shared" si="25"/>
        <v>40</v>
      </c>
      <c r="Q25" s="1">
        <f t="shared" si="25"/>
        <v>41</v>
      </c>
      <c r="R25" s="1">
        <f t="shared" si="25"/>
        <v>42</v>
      </c>
      <c r="S25" s="1">
        <f t="shared" si="25"/>
        <v>43</v>
      </c>
      <c r="T25" s="1">
        <f t="shared" si="25"/>
        <v>44</v>
      </c>
      <c r="U25" s="1">
        <f t="shared" si="25"/>
        <v>45</v>
      </c>
      <c r="V25" s="1">
        <f t="shared" si="25"/>
        <v>46</v>
      </c>
      <c r="W25" s="1">
        <f t="shared" si="25"/>
        <v>47</v>
      </c>
      <c r="X25" s="1">
        <f t="shared" si="25"/>
        <v>49</v>
      </c>
      <c r="Y25" s="1">
        <f t="shared" si="25"/>
        <v>50</v>
      </c>
      <c r="Z25" s="1">
        <f t="shared" si="25"/>
        <v>51</v>
      </c>
      <c r="AA25" s="1">
        <f t="shared" si="25"/>
        <v>53</v>
      </c>
      <c r="AB25" s="1">
        <f t="shared" si="25"/>
        <v>55</v>
      </c>
      <c r="AC25" s="1">
        <f t="shared" si="25"/>
        <v>57</v>
      </c>
      <c r="AD25" s="1">
        <f t="shared" si="25"/>
        <v>58</v>
      </c>
      <c r="AE25" s="1">
        <f t="shared" si="25"/>
        <v>59</v>
      </c>
      <c r="AF25" s="1">
        <f t="shared" si="25"/>
        <v>61</v>
      </c>
      <c r="AG25" s="1">
        <f t="shared" si="25"/>
        <v>63</v>
      </c>
      <c r="AH25" s="1">
        <f t="shared" si="25"/>
        <v>64</v>
      </c>
      <c r="AI25" s="1">
        <f t="shared" si="25"/>
        <v>65</v>
      </c>
      <c r="AJ25" s="1">
        <f t="shared" si="25"/>
        <v>67</v>
      </c>
      <c r="AK25" s="1">
        <f t="shared" si="25"/>
        <v>70</v>
      </c>
      <c r="AL25" s="1">
        <f t="shared" si="25"/>
        <v>73</v>
      </c>
      <c r="AM25" s="1">
        <f t="shared" si="25"/>
        <v>75</v>
      </c>
      <c r="AN25" s="1">
        <f t="shared" si="25"/>
        <v>76</v>
      </c>
      <c r="AO25" s="1">
        <f t="shared" si="25"/>
        <v>79</v>
      </c>
      <c r="AP25" s="1">
        <f t="shared" si="25"/>
        <v>85</v>
      </c>
      <c r="AR25" s="8">
        <f>COUNTIFS(score3pijlen,AP25)</f>
        <v>41</v>
      </c>
    </row>
    <row r="26">
      <c r="A26" s="2">
        <v>26.0</v>
      </c>
      <c r="B26" s="1">
        <f t="shared" si="2"/>
        <v>27</v>
      </c>
      <c r="C26" s="1">
        <f t="shared" ref="C26:AP26" si="26">C$1+$A26</f>
        <v>28</v>
      </c>
      <c r="D26" s="1">
        <f t="shared" si="26"/>
        <v>29</v>
      </c>
      <c r="E26" s="1">
        <f t="shared" si="26"/>
        <v>30</v>
      </c>
      <c r="F26" s="1">
        <f t="shared" si="26"/>
        <v>31</v>
      </c>
      <c r="G26" s="1">
        <f t="shared" si="26"/>
        <v>32</v>
      </c>
      <c r="H26" s="1">
        <f t="shared" si="26"/>
        <v>33</v>
      </c>
      <c r="I26" s="1">
        <f t="shared" si="26"/>
        <v>34</v>
      </c>
      <c r="J26" s="1">
        <f t="shared" si="26"/>
        <v>35</v>
      </c>
      <c r="K26" s="1">
        <f t="shared" si="26"/>
        <v>36</v>
      </c>
      <c r="L26" s="1">
        <f t="shared" si="26"/>
        <v>37</v>
      </c>
      <c r="M26" s="1">
        <f t="shared" si="26"/>
        <v>38</v>
      </c>
      <c r="N26" s="1">
        <f t="shared" si="26"/>
        <v>39</v>
      </c>
      <c r="O26" s="1">
        <f t="shared" si="26"/>
        <v>40</v>
      </c>
      <c r="P26" s="1">
        <f t="shared" si="26"/>
        <v>41</v>
      </c>
      <c r="Q26" s="1">
        <f t="shared" si="26"/>
        <v>42</v>
      </c>
      <c r="R26" s="1">
        <f t="shared" si="26"/>
        <v>43</v>
      </c>
      <c r="S26" s="1">
        <f t="shared" si="26"/>
        <v>44</v>
      </c>
      <c r="T26" s="1">
        <f t="shared" si="26"/>
        <v>45</v>
      </c>
      <c r="U26" s="1">
        <f t="shared" si="26"/>
        <v>46</v>
      </c>
      <c r="V26" s="1">
        <f t="shared" si="26"/>
        <v>47</v>
      </c>
      <c r="W26" s="1">
        <f t="shared" si="26"/>
        <v>48</v>
      </c>
      <c r="X26" s="1">
        <f t="shared" si="26"/>
        <v>50</v>
      </c>
      <c r="Y26" s="1">
        <f t="shared" si="26"/>
        <v>51</v>
      </c>
      <c r="Z26" s="1">
        <f t="shared" si="26"/>
        <v>52</v>
      </c>
      <c r="AA26" s="1">
        <f t="shared" si="26"/>
        <v>54</v>
      </c>
      <c r="AB26" s="1">
        <f t="shared" si="26"/>
        <v>56</v>
      </c>
      <c r="AC26" s="1">
        <f t="shared" si="26"/>
        <v>58</v>
      </c>
      <c r="AD26" s="1">
        <f t="shared" si="26"/>
        <v>59</v>
      </c>
      <c r="AE26" s="1">
        <f t="shared" si="26"/>
        <v>60</v>
      </c>
      <c r="AF26" s="1">
        <f t="shared" si="26"/>
        <v>62</v>
      </c>
      <c r="AG26" s="1">
        <f t="shared" si="26"/>
        <v>64</v>
      </c>
      <c r="AH26" s="1">
        <f t="shared" si="26"/>
        <v>65</v>
      </c>
      <c r="AI26" s="1">
        <f t="shared" si="26"/>
        <v>66</v>
      </c>
      <c r="AJ26" s="1">
        <f t="shared" si="26"/>
        <v>68</v>
      </c>
      <c r="AK26" s="1">
        <f t="shared" si="26"/>
        <v>71</v>
      </c>
      <c r="AL26" s="1">
        <f t="shared" si="26"/>
        <v>74</v>
      </c>
      <c r="AM26" s="1">
        <f t="shared" si="26"/>
        <v>76</v>
      </c>
      <c r="AN26" s="1">
        <f t="shared" si="26"/>
        <v>77</v>
      </c>
      <c r="AO26" s="1">
        <f t="shared" si="26"/>
        <v>80</v>
      </c>
      <c r="AP26" s="1">
        <f t="shared" si="26"/>
        <v>86</v>
      </c>
      <c r="AR26" s="8">
        <f>COUNTIFS(score3pijlen,AP26)</f>
        <v>41</v>
      </c>
    </row>
    <row r="27">
      <c r="A27" s="2">
        <v>27.0</v>
      </c>
      <c r="B27" s="1">
        <f t="shared" si="2"/>
        <v>28</v>
      </c>
      <c r="C27" s="1">
        <f t="shared" ref="C27:AP27" si="27">C$1+$A27</f>
        <v>29</v>
      </c>
      <c r="D27" s="1">
        <f t="shared" si="27"/>
        <v>30</v>
      </c>
      <c r="E27" s="1">
        <f t="shared" si="27"/>
        <v>31</v>
      </c>
      <c r="F27" s="1">
        <f t="shared" si="27"/>
        <v>32</v>
      </c>
      <c r="G27" s="1">
        <f t="shared" si="27"/>
        <v>33</v>
      </c>
      <c r="H27" s="1">
        <f t="shared" si="27"/>
        <v>34</v>
      </c>
      <c r="I27" s="1">
        <f t="shared" si="27"/>
        <v>35</v>
      </c>
      <c r="J27" s="1">
        <f t="shared" si="27"/>
        <v>36</v>
      </c>
      <c r="K27" s="1">
        <f t="shared" si="27"/>
        <v>37</v>
      </c>
      <c r="L27" s="1">
        <f t="shared" si="27"/>
        <v>38</v>
      </c>
      <c r="M27" s="1">
        <f t="shared" si="27"/>
        <v>39</v>
      </c>
      <c r="N27" s="1">
        <f t="shared" si="27"/>
        <v>40</v>
      </c>
      <c r="O27" s="1">
        <f t="shared" si="27"/>
        <v>41</v>
      </c>
      <c r="P27" s="1">
        <f t="shared" si="27"/>
        <v>42</v>
      </c>
      <c r="Q27" s="1">
        <f t="shared" si="27"/>
        <v>43</v>
      </c>
      <c r="R27" s="1">
        <f t="shared" si="27"/>
        <v>44</v>
      </c>
      <c r="S27" s="1">
        <f t="shared" si="27"/>
        <v>45</v>
      </c>
      <c r="T27" s="1">
        <f t="shared" si="27"/>
        <v>46</v>
      </c>
      <c r="U27" s="1">
        <f t="shared" si="27"/>
        <v>47</v>
      </c>
      <c r="V27" s="1">
        <f t="shared" si="27"/>
        <v>48</v>
      </c>
      <c r="W27" s="1">
        <f t="shared" si="27"/>
        <v>49</v>
      </c>
      <c r="X27" s="1">
        <f t="shared" si="27"/>
        <v>51</v>
      </c>
      <c r="Y27" s="1">
        <f t="shared" si="27"/>
        <v>52</v>
      </c>
      <c r="Z27" s="1">
        <f t="shared" si="27"/>
        <v>53</v>
      </c>
      <c r="AA27" s="1">
        <f t="shared" si="27"/>
        <v>55</v>
      </c>
      <c r="AB27" s="1">
        <f t="shared" si="27"/>
        <v>57</v>
      </c>
      <c r="AC27" s="1">
        <f t="shared" si="27"/>
        <v>59</v>
      </c>
      <c r="AD27" s="1">
        <f t="shared" si="27"/>
        <v>60</v>
      </c>
      <c r="AE27" s="1">
        <f t="shared" si="27"/>
        <v>61</v>
      </c>
      <c r="AF27" s="1">
        <f t="shared" si="27"/>
        <v>63</v>
      </c>
      <c r="AG27" s="1">
        <f t="shared" si="27"/>
        <v>65</v>
      </c>
      <c r="AH27" s="1">
        <f t="shared" si="27"/>
        <v>66</v>
      </c>
      <c r="AI27" s="1">
        <f t="shared" si="27"/>
        <v>67</v>
      </c>
      <c r="AJ27" s="1">
        <f t="shared" si="27"/>
        <v>69</v>
      </c>
      <c r="AK27" s="1">
        <f t="shared" si="27"/>
        <v>72</v>
      </c>
      <c r="AL27" s="1">
        <f t="shared" si="27"/>
        <v>75</v>
      </c>
      <c r="AM27" s="1">
        <f t="shared" si="27"/>
        <v>77</v>
      </c>
      <c r="AN27" s="1">
        <f t="shared" si="27"/>
        <v>78</v>
      </c>
      <c r="AO27" s="1">
        <f t="shared" si="27"/>
        <v>81</v>
      </c>
      <c r="AP27" s="1">
        <f t="shared" si="27"/>
        <v>87</v>
      </c>
      <c r="AR27" s="8">
        <f>COUNTIFS(score3pijlen,AP27)</f>
        <v>41</v>
      </c>
    </row>
    <row r="28">
      <c r="A28" s="2">
        <v>28.0</v>
      </c>
      <c r="B28" s="1">
        <f t="shared" si="2"/>
        <v>29</v>
      </c>
      <c r="C28" s="1">
        <f t="shared" ref="C28:AP28" si="28">C$1+$A28</f>
        <v>30</v>
      </c>
      <c r="D28" s="1">
        <f t="shared" si="28"/>
        <v>31</v>
      </c>
      <c r="E28" s="1">
        <f t="shared" si="28"/>
        <v>32</v>
      </c>
      <c r="F28" s="1">
        <f t="shared" si="28"/>
        <v>33</v>
      </c>
      <c r="G28" s="1">
        <f t="shared" si="28"/>
        <v>34</v>
      </c>
      <c r="H28" s="1">
        <f t="shared" si="28"/>
        <v>35</v>
      </c>
      <c r="I28" s="1">
        <f t="shared" si="28"/>
        <v>36</v>
      </c>
      <c r="J28" s="1">
        <f t="shared" si="28"/>
        <v>37</v>
      </c>
      <c r="K28" s="1">
        <f t="shared" si="28"/>
        <v>38</v>
      </c>
      <c r="L28" s="1">
        <f t="shared" si="28"/>
        <v>39</v>
      </c>
      <c r="M28" s="1">
        <f t="shared" si="28"/>
        <v>40</v>
      </c>
      <c r="N28" s="1">
        <f t="shared" si="28"/>
        <v>41</v>
      </c>
      <c r="O28" s="1">
        <f t="shared" si="28"/>
        <v>42</v>
      </c>
      <c r="P28" s="1">
        <f t="shared" si="28"/>
        <v>43</v>
      </c>
      <c r="Q28" s="1">
        <f t="shared" si="28"/>
        <v>44</v>
      </c>
      <c r="R28" s="1">
        <f t="shared" si="28"/>
        <v>45</v>
      </c>
      <c r="S28" s="1">
        <f t="shared" si="28"/>
        <v>46</v>
      </c>
      <c r="T28" s="1">
        <f t="shared" si="28"/>
        <v>47</v>
      </c>
      <c r="U28" s="1">
        <f t="shared" si="28"/>
        <v>48</v>
      </c>
      <c r="V28" s="1">
        <f t="shared" si="28"/>
        <v>49</v>
      </c>
      <c r="W28" s="1">
        <f t="shared" si="28"/>
        <v>50</v>
      </c>
      <c r="X28" s="1">
        <f t="shared" si="28"/>
        <v>52</v>
      </c>
      <c r="Y28" s="1">
        <f t="shared" si="28"/>
        <v>53</v>
      </c>
      <c r="Z28" s="1">
        <f t="shared" si="28"/>
        <v>54</v>
      </c>
      <c r="AA28" s="1">
        <f t="shared" si="28"/>
        <v>56</v>
      </c>
      <c r="AB28" s="1">
        <f t="shared" si="28"/>
        <v>58</v>
      </c>
      <c r="AC28" s="1">
        <f t="shared" si="28"/>
        <v>60</v>
      </c>
      <c r="AD28" s="1">
        <f t="shared" si="28"/>
        <v>61</v>
      </c>
      <c r="AE28" s="1">
        <f t="shared" si="28"/>
        <v>62</v>
      </c>
      <c r="AF28" s="1">
        <f t="shared" si="28"/>
        <v>64</v>
      </c>
      <c r="AG28" s="1">
        <f t="shared" si="28"/>
        <v>66</v>
      </c>
      <c r="AH28" s="1">
        <f t="shared" si="28"/>
        <v>67</v>
      </c>
      <c r="AI28" s="1">
        <f t="shared" si="28"/>
        <v>68</v>
      </c>
      <c r="AJ28" s="1">
        <f t="shared" si="28"/>
        <v>70</v>
      </c>
      <c r="AK28" s="1">
        <f t="shared" si="28"/>
        <v>73</v>
      </c>
      <c r="AL28" s="1">
        <f t="shared" si="28"/>
        <v>76</v>
      </c>
      <c r="AM28" s="1">
        <f t="shared" si="28"/>
        <v>78</v>
      </c>
      <c r="AN28" s="1">
        <f t="shared" si="28"/>
        <v>79</v>
      </c>
      <c r="AO28" s="1">
        <f t="shared" si="28"/>
        <v>82</v>
      </c>
      <c r="AP28" s="1">
        <f t="shared" si="28"/>
        <v>88</v>
      </c>
      <c r="AR28" s="8">
        <f>COUNTIFS(score3pijlen,AP28)</f>
        <v>41</v>
      </c>
    </row>
    <row r="29">
      <c r="A29" s="2">
        <v>29.0</v>
      </c>
      <c r="B29" s="1">
        <f t="shared" si="2"/>
        <v>30</v>
      </c>
      <c r="C29" s="1">
        <f t="shared" ref="C29:AP29" si="29">C$1+$A29</f>
        <v>31</v>
      </c>
      <c r="D29" s="1">
        <f t="shared" si="29"/>
        <v>32</v>
      </c>
      <c r="E29" s="1">
        <f t="shared" si="29"/>
        <v>33</v>
      </c>
      <c r="F29" s="1">
        <f t="shared" si="29"/>
        <v>34</v>
      </c>
      <c r="G29" s="1">
        <f t="shared" si="29"/>
        <v>35</v>
      </c>
      <c r="H29" s="1">
        <f t="shared" si="29"/>
        <v>36</v>
      </c>
      <c r="I29" s="1">
        <f t="shared" si="29"/>
        <v>37</v>
      </c>
      <c r="J29" s="1">
        <f t="shared" si="29"/>
        <v>38</v>
      </c>
      <c r="K29" s="1">
        <f t="shared" si="29"/>
        <v>39</v>
      </c>
      <c r="L29" s="1">
        <f t="shared" si="29"/>
        <v>40</v>
      </c>
      <c r="M29" s="1">
        <f t="shared" si="29"/>
        <v>41</v>
      </c>
      <c r="N29" s="1">
        <f t="shared" si="29"/>
        <v>42</v>
      </c>
      <c r="O29" s="1">
        <f t="shared" si="29"/>
        <v>43</v>
      </c>
      <c r="P29" s="1">
        <f t="shared" si="29"/>
        <v>44</v>
      </c>
      <c r="Q29" s="1">
        <f t="shared" si="29"/>
        <v>45</v>
      </c>
      <c r="R29" s="1">
        <f t="shared" si="29"/>
        <v>46</v>
      </c>
      <c r="S29" s="1">
        <f t="shared" si="29"/>
        <v>47</v>
      </c>
      <c r="T29" s="1">
        <f t="shared" si="29"/>
        <v>48</v>
      </c>
      <c r="U29" s="1">
        <f t="shared" si="29"/>
        <v>49</v>
      </c>
      <c r="V29" s="1">
        <f t="shared" si="29"/>
        <v>50</v>
      </c>
      <c r="W29" s="1">
        <f t="shared" si="29"/>
        <v>51</v>
      </c>
      <c r="X29" s="1">
        <f t="shared" si="29"/>
        <v>53</v>
      </c>
      <c r="Y29" s="1">
        <f t="shared" si="29"/>
        <v>54</v>
      </c>
      <c r="Z29" s="1">
        <f t="shared" si="29"/>
        <v>55</v>
      </c>
      <c r="AA29" s="1">
        <f t="shared" si="29"/>
        <v>57</v>
      </c>
      <c r="AB29" s="1">
        <f t="shared" si="29"/>
        <v>59</v>
      </c>
      <c r="AC29" s="1">
        <f t="shared" si="29"/>
        <v>61</v>
      </c>
      <c r="AD29" s="1">
        <f t="shared" si="29"/>
        <v>62</v>
      </c>
      <c r="AE29" s="1">
        <f t="shared" si="29"/>
        <v>63</v>
      </c>
      <c r="AF29" s="1">
        <f t="shared" si="29"/>
        <v>65</v>
      </c>
      <c r="AG29" s="1">
        <f t="shared" si="29"/>
        <v>67</v>
      </c>
      <c r="AH29" s="1">
        <f t="shared" si="29"/>
        <v>68</v>
      </c>
      <c r="AI29" s="1">
        <f t="shared" si="29"/>
        <v>69</v>
      </c>
      <c r="AJ29" s="1">
        <f t="shared" si="29"/>
        <v>71</v>
      </c>
      <c r="AK29" s="1">
        <f t="shared" si="29"/>
        <v>74</v>
      </c>
      <c r="AL29" s="1">
        <f t="shared" si="29"/>
        <v>77</v>
      </c>
      <c r="AM29" s="1">
        <f t="shared" si="29"/>
        <v>79</v>
      </c>
      <c r="AN29" s="1">
        <f t="shared" si="29"/>
        <v>80</v>
      </c>
      <c r="AO29" s="1">
        <f t="shared" si="29"/>
        <v>83</v>
      </c>
      <c r="AP29" s="1">
        <f t="shared" si="29"/>
        <v>89</v>
      </c>
      <c r="AR29" s="8">
        <f>COUNTIFS(score3pijlen,AP29)</f>
        <v>41</v>
      </c>
    </row>
    <row r="30">
      <c r="A30" s="2">
        <v>30.0</v>
      </c>
      <c r="B30" s="1">
        <f t="shared" si="2"/>
        <v>31</v>
      </c>
      <c r="C30" s="1">
        <f t="shared" ref="C30:AP30" si="30">C$1+$A30</f>
        <v>32</v>
      </c>
      <c r="D30" s="1">
        <f t="shared" si="30"/>
        <v>33</v>
      </c>
      <c r="E30" s="1">
        <f t="shared" si="30"/>
        <v>34</v>
      </c>
      <c r="F30" s="1">
        <f t="shared" si="30"/>
        <v>35</v>
      </c>
      <c r="G30" s="1">
        <f t="shared" si="30"/>
        <v>36</v>
      </c>
      <c r="H30" s="1">
        <f t="shared" si="30"/>
        <v>37</v>
      </c>
      <c r="I30" s="1">
        <f t="shared" si="30"/>
        <v>38</v>
      </c>
      <c r="J30" s="1">
        <f t="shared" si="30"/>
        <v>39</v>
      </c>
      <c r="K30" s="1">
        <f t="shared" si="30"/>
        <v>40</v>
      </c>
      <c r="L30" s="1">
        <f t="shared" si="30"/>
        <v>41</v>
      </c>
      <c r="M30" s="1">
        <f t="shared" si="30"/>
        <v>42</v>
      </c>
      <c r="N30" s="1">
        <f t="shared" si="30"/>
        <v>43</v>
      </c>
      <c r="O30" s="1">
        <f t="shared" si="30"/>
        <v>44</v>
      </c>
      <c r="P30" s="1">
        <f t="shared" si="30"/>
        <v>45</v>
      </c>
      <c r="Q30" s="1">
        <f t="shared" si="30"/>
        <v>46</v>
      </c>
      <c r="R30" s="1">
        <f t="shared" si="30"/>
        <v>47</v>
      </c>
      <c r="S30" s="1">
        <f t="shared" si="30"/>
        <v>48</v>
      </c>
      <c r="T30" s="1">
        <f t="shared" si="30"/>
        <v>49</v>
      </c>
      <c r="U30" s="1">
        <f t="shared" si="30"/>
        <v>50</v>
      </c>
      <c r="V30" s="1">
        <f t="shared" si="30"/>
        <v>51</v>
      </c>
      <c r="W30" s="1">
        <f t="shared" si="30"/>
        <v>52</v>
      </c>
      <c r="X30" s="1">
        <f t="shared" si="30"/>
        <v>54</v>
      </c>
      <c r="Y30" s="1">
        <f t="shared" si="30"/>
        <v>55</v>
      </c>
      <c r="Z30" s="1">
        <f t="shared" si="30"/>
        <v>56</v>
      </c>
      <c r="AA30" s="1">
        <f t="shared" si="30"/>
        <v>58</v>
      </c>
      <c r="AB30" s="1">
        <f t="shared" si="30"/>
        <v>60</v>
      </c>
      <c r="AC30" s="1">
        <f t="shared" si="30"/>
        <v>62</v>
      </c>
      <c r="AD30" s="1">
        <f t="shared" si="30"/>
        <v>63</v>
      </c>
      <c r="AE30" s="1">
        <f t="shared" si="30"/>
        <v>64</v>
      </c>
      <c r="AF30" s="1">
        <f t="shared" si="30"/>
        <v>66</v>
      </c>
      <c r="AG30" s="1">
        <f t="shared" si="30"/>
        <v>68</v>
      </c>
      <c r="AH30" s="1">
        <f t="shared" si="30"/>
        <v>69</v>
      </c>
      <c r="AI30" s="1">
        <f t="shared" si="30"/>
        <v>70</v>
      </c>
      <c r="AJ30" s="1">
        <f t="shared" si="30"/>
        <v>72</v>
      </c>
      <c r="AK30" s="1">
        <f t="shared" si="30"/>
        <v>75</v>
      </c>
      <c r="AL30" s="1">
        <f t="shared" si="30"/>
        <v>78</v>
      </c>
      <c r="AM30" s="1">
        <f t="shared" si="30"/>
        <v>80</v>
      </c>
      <c r="AN30" s="1">
        <f t="shared" si="30"/>
        <v>81</v>
      </c>
      <c r="AO30" s="1">
        <f t="shared" si="30"/>
        <v>84</v>
      </c>
      <c r="AP30" s="1">
        <f t="shared" si="30"/>
        <v>90</v>
      </c>
      <c r="AR30" s="8">
        <f>COUNTIFS(score3pijlen,AP30)</f>
        <v>41</v>
      </c>
    </row>
    <row r="31">
      <c r="A31" s="2">
        <v>31.0</v>
      </c>
      <c r="B31" s="1">
        <f t="shared" si="2"/>
        <v>32</v>
      </c>
      <c r="C31" s="1">
        <f t="shared" ref="C31:AP31" si="31">C$1+$A31</f>
        <v>33</v>
      </c>
      <c r="D31" s="1">
        <f t="shared" si="31"/>
        <v>34</v>
      </c>
      <c r="E31" s="1">
        <f t="shared" si="31"/>
        <v>35</v>
      </c>
      <c r="F31" s="1">
        <f t="shared" si="31"/>
        <v>36</v>
      </c>
      <c r="G31" s="1">
        <f t="shared" si="31"/>
        <v>37</v>
      </c>
      <c r="H31" s="1">
        <f t="shared" si="31"/>
        <v>38</v>
      </c>
      <c r="I31" s="1">
        <f t="shared" si="31"/>
        <v>39</v>
      </c>
      <c r="J31" s="1">
        <f t="shared" si="31"/>
        <v>40</v>
      </c>
      <c r="K31" s="1">
        <f t="shared" si="31"/>
        <v>41</v>
      </c>
      <c r="L31" s="1">
        <f t="shared" si="31"/>
        <v>42</v>
      </c>
      <c r="M31" s="1">
        <f t="shared" si="31"/>
        <v>43</v>
      </c>
      <c r="N31" s="1">
        <f t="shared" si="31"/>
        <v>44</v>
      </c>
      <c r="O31" s="1">
        <f t="shared" si="31"/>
        <v>45</v>
      </c>
      <c r="P31" s="1">
        <f t="shared" si="31"/>
        <v>46</v>
      </c>
      <c r="Q31" s="1">
        <f t="shared" si="31"/>
        <v>47</v>
      </c>
      <c r="R31" s="1">
        <f t="shared" si="31"/>
        <v>48</v>
      </c>
      <c r="S31" s="1">
        <f t="shared" si="31"/>
        <v>49</v>
      </c>
      <c r="T31" s="1">
        <f t="shared" si="31"/>
        <v>50</v>
      </c>
      <c r="U31" s="1">
        <f t="shared" si="31"/>
        <v>51</v>
      </c>
      <c r="V31" s="1">
        <f t="shared" si="31"/>
        <v>52</v>
      </c>
      <c r="W31" s="1">
        <f t="shared" si="31"/>
        <v>53</v>
      </c>
      <c r="X31" s="1">
        <f t="shared" si="31"/>
        <v>55</v>
      </c>
      <c r="Y31" s="1">
        <f t="shared" si="31"/>
        <v>56</v>
      </c>
      <c r="Z31" s="1">
        <f t="shared" si="31"/>
        <v>57</v>
      </c>
      <c r="AA31" s="1">
        <f t="shared" si="31"/>
        <v>59</v>
      </c>
      <c r="AB31" s="1">
        <f t="shared" si="31"/>
        <v>61</v>
      </c>
      <c r="AC31" s="1">
        <f t="shared" si="31"/>
        <v>63</v>
      </c>
      <c r="AD31" s="1">
        <f t="shared" si="31"/>
        <v>64</v>
      </c>
      <c r="AE31" s="1">
        <f t="shared" si="31"/>
        <v>65</v>
      </c>
      <c r="AF31" s="1">
        <f t="shared" si="31"/>
        <v>67</v>
      </c>
      <c r="AG31" s="1">
        <f t="shared" si="31"/>
        <v>69</v>
      </c>
      <c r="AH31" s="1">
        <f t="shared" si="31"/>
        <v>70</v>
      </c>
      <c r="AI31" s="1">
        <f t="shared" si="31"/>
        <v>71</v>
      </c>
      <c r="AJ31" s="1">
        <f t="shared" si="31"/>
        <v>73</v>
      </c>
      <c r="AK31" s="1">
        <f t="shared" si="31"/>
        <v>76</v>
      </c>
      <c r="AL31" s="1">
        <f t="shared" si="31"/>
        <v>79</v>
      </c>
      <c r="AM31" s="1">
        <f t="shared" si="31"/>
        <v>81</v>
      </c>
      <c r="AN31" s="1">
        <f t="shared" si="31"/>
        <v>82</v>
      </c>
      <c r="AO31" s="1">
        <f t="shared" si="31"/>
        <v>85</v>
      </c>
      <c r="AP31" s="1">
        <f t="shared" si="31"/>
        <v>91</v>
      </c>
      <c r="AR31" s="8">
        <f>COUNTIFS(score3pijlen,AP31)</f>
        <v>41</v>
      </c>
    </row>
    <row r="32">
      <c r="A32" s="2">
        <v>32.0</v>
      </c>
      <c r="B32" s="1">
        <f t="shared" si="2"/>
        <v>33</v>
      </c>
      <c r="C32" s="1">
        <f t="shared" ref="C32:AP32" si="32">C$1+$A32</f>
        <v>34</v>
      </c>
      <c r="D32" s="1">
        <f t="shared" si="32"/>
        <v>35</v>
      </c>
      <c r="E32" s="1">
        <f t="shared" si="32"/>
        <v>36</v>
      </c>
      <c r="F32" s="1">
        <f t="shared" si="32"/>
        <v>37</v>
      </c>
      <c r="G32" s="1">
        <f t="shared" si="32"/>
        <v>38</v>
      </c>
      <c r="H32" s="1">
        <f t="shared" si="32"/>
        <v>39</v>
      </c>
      <c r="I32" s="1">
        <f t="shared" si="32"/>
        <v>40</v>
      </c>
      <c r="J32" s="1">
        <f t="shared" si="32"/>
        <v>41</v>
      </c>
      <c r="K32" s="1">
        <f t="shared" si="32"/>
        <v>42</v>
      </c>
      <c r="L32" s="1">
        <f t="shared" si="32"/>
        <v>43</v>
      </c>
      <c r="M32" s="1">
        <f t="shared" si="32"/>
        <v>44</v>
      </c>
      <c r="N32" s="1">
        <f t="shared" si="32"/>
        <v>45</v>
      </c>
      <c r="O32" s="1">
        <f t="shared" si="32"/>
        <v>46</v>
      </c>
      <c r="P32" s="1">
        <f t="shared" si="32"/>
        <v>47</v>
      </c>
      <c r="Q32" s="1">
        <f t="shared" si="32"/>
        <v>48</v>
      </c>
      <c r="R32" s="1">
        <f t="shared" si="32"/>
        <v>49</v>
      </c>
      <c r="S32" s="1">
        <f t="shared" si="32"/>
        <v>50</v>
      </c>
      <c r="T32" s="1">
        <f t="shared" si="32"/>
        <v>51</v>
      </c>
      <c r="U32" s="1">
        <f t="shared" si="32"/>
        <v>52</v>
      </c>
      <c r="V32" s="1">
        <f t="shared" si="32"/>
        <v>53</v>
      </c>
      <c r="W32" s="1">
        <f t="shared" si="32"/>
        <v>54</v>
      </c>
      <c r="X32" s="1">
        <f t="shared" si="32"/>
        <v>56</v>
      </c>
      <c r="Y32" s="1">
        <f t="shared" si="32"/>
        <v>57</v>
      </c>
      <c r="Z32" s="1">
        <f t="shared" si="32"/>
        <v>58</v>
      </c>
      <c r="AA32" s="1">
        <f t="shared" si="32"/>
        <v>60</v>
      </c>
      <c r="AB32" s="1">
        <f t="shared" si="32"/>
        <v>62</v>
      </c>
      <c r="AC32" s="1">
        <f t="shared" si="32"/>
        <v>64</v>
      </c>
      <c r="AD32" s="1">
        <f t="shared" si="32"/>
        <v>65</v>
      </c>
      <c r="AE32" s="1">
        <f t="shared" si="32"/>
        <v>66</v>
      </c>
      <c r="AF32" s="1">
        <f t="shared" si="32"/>
        <v>68</v>
      </c>
      <c r="AG32" s="1">
        <f t="shared" si="32"/>
        <v>70</v>
      </c>
      <c r="AH32" s="1">
        <f t="shared" si="32"/>
        <v>71</v>
      </c>
      <c r="AI32" s="1">
        <f t="shared" si="32"/>
        <v>72</v>
      </c>
      <c r="AJ32" s="1">
        <f t="shared" si="32"/>
        <v>74</v>
      </c>
      <c r="AK32" s="1">
        <f t="shared" si="32"/>
        <v>77</v>
      </c>
      <c r="AL32" s="1">
        <f t="shared" si="32"/>
        <v>80</v>
      </c>
      <c r="AM32" s="1">
        <f t="shared" si="32"/>
        <v>82</v>
      </c>
      <c r="AN32" s="1">
        <f t="shared" si="32"/>
        <v>83</v>
      </c>
      <c r="AO32" s="1">
        <f t="shared" si="32"/>
        <v>86</v>
      </c>
      <c r="AP32" s="1">
        <f t="shared" si="32"/>
        <v>92</v>
      </c>
      <c r="AR32" s="8">
        <f>COUNTIFS(score3pijlen,AP32)</f>
        <v>41</v>
      </c>
    </row>
    <row r="33">
      <c r="A33" s="2">
        <v>33.0</v>
      </c>
      <c r="B33" s="1">
        <f t="shared" si="2"/>
        <v>34</v>
      </c>
      <c r="C33" s="1">
        <f t="shared" ref="C33:AP33" si="33">C$1+$A33</f>
        <v>35</v>
      </c>
      <c r="D33" s="1">
        <f t="shared" si="33"/>
        <v>36</v>
      </c>
      <c r="E33" s="1">
        <f t="shared" si="33"/>
        <v>37</v>
      </c>
      <c r="F33" s="1">
        <f t="shared" si="33"/>
        <v>38</v>
      </c>
      <c r="G33" s="1">
        <f t="shared" si="33"/>
        <v>39</v>
      </c>
      <c r="H33" s="1">
        <f t="shared" si="33"/>
        <v>40</v>
      </c>
      <c r="I33" s="1">
        <f t="shared" si="33"/>
        <v>41</v>
      </c>
      <c r="J33" s="1">
        <f t="shared" si="33"/>
        <v>42</v>
      </c>
      <c r="K33" s="1">
        <f t="shared" si="33"/>
        <v>43</v>
      </c>
      <c r="L33" s="1">
        <f t="shared" si="33"/>
        <v>44</v>
      </c>
      <c r="M33" s="1">
        <f t="shared" si="33"/>
        <v>45</v>
      </c>
      <c r="N33" s="1">
        <f t="shared" si="33"/>
        <v>46</v>
      </c>
      <c r="O33" s="1">
        <f t="shared" si="33"/>
        <v>47</v>
      </c>
      <c r="P33" s="1">
        <f t="shared" si="33"/>
        <v>48</v>
      </c>
      <c r="Q33" s="1">
        <f t="shared" si="33"/>
        <v>49</v>
      </c>
      <c r="R33" s="1">
        <f t="shared" si="33"/>
        <v>50</v>
      </c>
      <c r="S33" s="1">
        <f t="shared" si="33"/>
        <v>51</v>
      </c>
      <c r="T33" s="1">
        <f t="shared" si="33"/>
        <v>52</v>
      </c>
      <c r="U33" s="1">
        <f t="shared" si="33"/>
        <v>53</v>
      </c>
      <c r="V33" s="1">
        <f t="shared" si="33"/>
        <v>54</v>
      </c>
      <c r="W33" s="1">
        <f t="shared" si="33"/>
        <v>55</v>
      </c>
      <c r="X33" s="1">
        <f t="shared" si="33"/>
        <v>57</v>
      </c>
      <c r="Y33" s="1">
        <f t="shared" si="33"/>
        <v>58</v>
      </c>
      <c r="Z33" s="1">
        <f t="shared" si="33"/>
        <v>59</v>
      </c>
      <c r="AA33" s="1">
        <f t="shared" si="33"/>
        <v>61</v>
      </c>
      <c r="AB33" s="1">
        <f t="shared" si="33"/>
        <v>63</v>
      </c>
      <c r="AC33" s="1">
        <f t="shared" si="33"/>
        <v>65</v>
      </c>
      <c r="AD33" s="1">
        <f t="shared" si="33"/>
        <v>66</v>
      </c>
      <c r="AE33" s="1">
        <f t="shared" si="33"/>
        <v>67</v>
      </c>
      <c r="AF33" s="1">
        <f t="shared" si="33"/>
        <v>69</v>
      </c>
      <c r="AG33" s="1">
        <f t="shared" si="33"/>
        <v>71</v>
      </c>
      <c r="AH33" s="1">
        <f t="shared" si="33"/>
        <v>72</v>
      </c>
      <c r="AI33" s="1">
        <f t="shared" si="33"/>
        <v>73</v>
      </c>
      <c r="AJ33" s="1">
        <f t="shared" si="33"/>
        <v>75</v>
      </c>
      <c r="AK33" s="1">
        <f t="shared" si="33"/>
        <v>78</v>
      </c>
      <c r="AL33" s="1">
        <f t="shared" si="33"/>
        <v>81</v>
      </c>
      <c r="AM33" s="1">
        <f t="shared" si="33"/>
        <v>83</v>
      </c>
      <c r="AN33" s="1">
        <f t="shared" si="33"/>
        <v>84</v>
      </c>
      <c r="AO33" s="1">
        <f t="shared" si="33"/>
        <v>87</v>
      </c>
      <c r="AP33" s="1">
        <f t="shared" si="33"/>
        <v>93</v>
      </c>
      <c r="AR33" s="8">
        <f>COUNTIFS(score3pijlen,AP33)</f>
        <v>41</v>
      </c>
    </row>
    <row r="34">
      <c r="A34" s="2">
        <v>34.0</v>
      </c>
      <c r="B34" s="1">
        <f t="shared" si="2"/>
        <v>35</v>
      </c>
      <c r="C34" s="1">
        <f t="shared" ref="C34:AP34" si="34">C$1+$A34</f>
        <v>36</v>
      </c>
      <c r="D34" s="1">
        <f t="shared" si="34"/>
        <v>37</v>
      </c>
      <c r="E34" s="1">
        <f t="shared" si="34"/>
        <v>38</v>
      </c>
      <c r="F34" s="1">
        <f t="shared" si="34"/>
        <v>39</v>
      </c>
      <c r="G34" s="1">
        <f t="shared" si="34"/>
        <v>40</v>
      </c>
      <c r="H34" s="1">
        <f t="shared" si="34"/>
        <v>41</v>
      </c>
      <c r="I34" s="1">
        <f t="shared" si="34"/>
        <v>42</v>
      </c>
      <c r="J34" s="1">
        <f t="shared" si="34"/>
        <v>43</v>
      </c>
      <c r="K34" s="1">
        <f t="shared" si="34"/>
        <v>44</v>
      </c>
      <c r="L34" s="1">
        <f t="shared" si="34"/>
        <v>45</v>
      </c>
      <c r="M34" s="1">
        <f t="shared" si="34"/>
        <v>46</v>
      </c>
      <c r="N34" s="1">
        <f t="shared" si="34"/>
        <v>47</v>
      </c>
      <c r="O34" s="1">
        <f t="shared" si="34"/>
        <v>48</v>
      </c>
      <c r="P34" s="1">
        <f t="shared" si="34"/>
        <v>49</v>
      </c>
      <c r="Q34" s="1">
        <f t="shared" si="34"/>
        <v>50</v>
      </c>
      <c r="R34" s="1">
        <f t="shared" si="34"/>
        <v>51</v>
      </c>
      <c r="S34" s="1">
        <f t="shared" si="34"/>
        <v>52</v>
      </c>
      <c r="T34" s="1">
        <f t="shared" si="34"/>
        <v>53</v>
      </c>
      <c r="U34" s="1">
        <f t="shared" si="34"/>
        <v>54</v>
      </c>
      <c r="V34" s="1">
        <f t="shared" si="34"/>
        <v>55</v>
      </c>
      <c r="W34" s="1">
        <f t="shared" si="34"/>
        <v>56</v>
      </c>
      <c r="X34" s="1">
        <f t="shared" si="34"/>
        <v>58</v>
      </c>
      <c r="Y34" s="1">
        <f t="shared" si="34"/>
        <v>59</v>
      </c>
      <c r="Z34" s="1">
        <f t="shared" si="34"/>
        <v>60</v>
      </c>
      <c r="AA34" s="1">
        <f t="shared" si="34"/>
        <v>62</v>
      </c>
      <c r="AB34" s="1">
        <f t="shared" si="34"/>
        <v>64</v>
      </c>
      <c r="AC34" s="1">
        <f t="shared" si="34"/>
        <v>66</v>
      </c>
      <c r="AD34" s="1">
        <f t="shared" si="34"/>
        <v>67</v>
      </c>
      <c r="AE34" s="1">
        <f t="shared" si="34"/>
        <v>68</v>
      </c>
      <c r="AF34" s="1">
        <f t="shared" si="34"/>
        <v>70</v>
      </c>
      <c r="AG34" s="1">
        <f t="shared" si="34"/>
        <v>72</v>
      </c>
      <c r="AH34" s="1">
        <f t="shared" si="34"/>
        <v>73</v>
      </c>
      <c r="AI34" s="1">
        <f t="shared" si="34"/>
        <v>74</v>
      </c>
      <c r="AJ34" s="1">
        <f t="shared" si="34"/>
        <v>76</v>
      </c>
      <c r="AK34" s="1">
        <f t="shared" si="34"/>
        <v>79</v>
      </c>
      <c r="AL34" s="1">
        <f t="shared" si="34"/>
        <v>82</v>
      </c>
      <c r="AM34" s="1">
        <f t="shared" si="34"/>
        <v>84</v>
      </c>
      <c r="AN34" s="1">
        <f t="shared" si="34"/>
        <v>85</v>
      </c>
      <c r="AO34" s="1">
        <f t="shared" si="34"/>
        <v>88</v>
      </c>
      <c r="AP34" s="1">
        <f t="shared" si="34"/>
        <v>94</v>
      </c>
      <c r="AR34" s="8">
        <f>COUNTIFS(score3pijlen,AP34)</f>
        <v>41</v>
      </c>
    </row>
    <row r="35">
      <c r="A35" s="2">
        <v>35.0</v>
      </c>
      <c r="B35" s="1">
        <f t="shared" si="2"/>
        <v>36</v>
      </c>
      <c r="C35" s="1">
        <f t="shared" ref="C35:AP35" si="35">C$1+$A35</f>
        <v>37</v>
      </c>
      <c r="D35" s="1">
        <f t="shared" si="35"/>
        <v>38</v>
      </c>
      <c r="E35" s="1">
        <f t="shared" si="35"/>
        <v>39</v>
      </c>
      <c r="F35" s="1">
        <f t="shared" si="35"/>
        <v>40</v>
      </c>
      <c r="G35" s="1">
        <f t="shared" si="35"/>
        <v>41</v>
      </c>
      <c r="H35" s="1">
        <f t="shared" si="35"/>
        <v>42</v>
      </c>
      <c r="I35" s="1">
        <f t="shared" si="35"/>
        <v>43</v>
      </c>
      <c r="J35" s="1">
        <f t="shared" si="35"/>
        <v>44</v>
      </c>
      <c r="K35" s="1">
        <f t="shared" si="35"/>
        <v>45</v>
      </c>
      <c r="L35" s="1">
        <f t="shared" si="35"/>
        <v>46</v>
      </c>
      <c r="M35" s="1">
        <f t="shared" si="35"/>
        <v>47</v>
      </c>
      <c r="N35" s="1">
        <f t="shared" si="35"/>
        <v>48</v>
      </c>
      <c r="O35" s="1">
        <f t="shared" si="35"/>
        <v>49</v>
      </c>
      <c r="P35" s="1">
        <f t="shared" si="35"/>
        <v>50</v>
      </c>
      <c r="Q35" s="1">
        <f t="shared" si="35"/>
        <v>51</v>
      </c>
      <c r="R35" s="1">
        <f t="shared" si="35"/>
        <v>52</v>
      </c>
      <c r="S35" s="1">
        <f t="shared" si="35"/>
        <v>53</v>
      </c>
      <c r="T35" s="1">
        <f t="shared" si="35"/>
        <v>54</v>
      </c>
      <c r="U35" s="1">
        <f t="shared" si="35"/>
        <v>55</v>
      </c>
      <c r="V35" s="1">
        <f t="shared" si="35"/>
        <v>56</v>
      </c>
      <c r="W35" s="1">
        <f t="shared" si="35"/>
        <v>57</v>
      </c>
      <c r="X35" s="1">
        <f t="shared" si="35"/>
        <v>59</v>
      </c>
      <c r="Y35" s="1">
        <f t="shared" si="35"/>
        <v>60</v>
      </c>
      <c r="Z35" s="1">
        <f t="shared" si="35"/>
        <v>61</v>
      </c>
      <c r="AA35" s="1">
        <f t="shared" si="35"/>
        <v>63</v>
      </c>
      <c r="AB35" s="1">
        <f t="shared" si="35"/>
        <v>65</v>
      </c>
      <c r="AC35" s="1">
        <f t="shared" si="35"/>
        <v>67</v>
      </c>
      <c r="AD35" s="1">
        <f t="shared" si="35"/>
        <v>68</v>
      </c>
      <c r="AE35" s="1">
        <f t="shared" si="35"/>
        <v>69</v>
      </c>
      <c r="AF35" s="1">
        <f t="shared" si="35"/>
        <v>71</v>
      </c>
      <c r="AG35" s="1">
        <f t="shared" si="35"/>
        <v>73</v>
      </c>
      <c r="AH35" s="1">
        <f t="shared" si="35"/>
        <v>74</v>
      </c>
      <c r="AI35" s="1">
        <f t="shared" si="35"/>
        <v>75</v>
      </c>
      <c r="AJ35" s="1">
        <f t="shared" si="35"/>
        <v>77</v>
      </c>
      <c r="AK35" s="1">
        <f t="shared" si="35"/>
        <v>80</v>
      </c>
      <c r="AL35" s="1">
        <f t="shared" si="35"/>
        <v>83</v>
      </c>
      <c r="AM35" s="1">
        <f t="shared" si="35"/>
        <v>85</v>
      </c>
      <c r="AN35" s="1">
        <f t="shared" si="35"/>
        <v>86</v>
      </c>
      <c r="AO35" s="1">
        <f t="shared" si="35"/>
        <v>89</v>
      </c>
      <c r="AP35" s="1">
        <f t="shared" si="35"/>
        <v>95</v>
      </c>
      <c r="AR35" s="8">
        <f>COUNTIFS(score3pijlen,AP35)</f>
        <v>41</v>
      </c>
    </row>
    <row r="36">
      <c r="A36" s="2">
        <v>36.0</v>
      </c>
      <c r="B36" s="1">
        <f t="shared" si="2"/>
        <v>37</v>
      </c>
      <c r="C36" s="1">
        <f t="shared" ref="C36:AP36" si="36">C$1+$A36</f>
        <v>38</v>
      </c>
      <c r="D36" s="1">
        <f t="shared" si="36"/>
        <v>39</v>
      </c>
      <c r="E36" s="1">
        <f t="shared" si="36"/>
        <v>40</v>
      </c>
      <c r="F36" s="1">
        <f t="shared" si="36"/>
        <v>41</v>
      </c>
      <c r="G36" s="1">
        <f t="shared" si="36"/>
        <v>42</v>
      </c>
      <c r="H36" s="1">
        <f t="shared" si="36"/>
        <v>43</v>
      </c>
      <c r="I36" s="1">
        <f t="shared" si="36"/>
        <v>44</v>
      </c>
      <c r="J36" s="1">
        <f t="shared" si="36"/>
        <v>45</v>
      </c>
      <c r="K36" s="1">
        <f t="shared" si="36"/>
        <v>46</v>
      </c>
      <c r="L36" s="1">
        <f t="shared" si="36"/>
        <v>47</v>
      </c>
      <c r="M36" s="1">
        <f t="shared" si="36"/>
        <v>48</v>
      </c>
      <c r="N36" s="1">
        <f t="shared" si="36"/>
        <v>49</v>
      </c>
      <c r="O36" s="1">
        <f t="shared" si="36"/>
        <v>50</v>
      </c>
      <c r="P36" s="1">
        <f t="shared" si="36"/>
        <v>51</v>
      </c>
      <c r="Q36" s="1">
        <f t="shared" si="36"/>
        <v>52</v>
      </c>
      <c r="R36" s="1">
        <f t="shared" si="36"/>
        <v>53</v>
      </c>
      <c r="S36" s="1">
        <f t="shared" si="36"/>
        <v>54</v>
      </c>
      <c r="T36" s="1">
        <f t="shared" si="36"/>
        <v>55</v>
      </c>
      <c r="U36" s="1">
        <f t="shared" si="36"/>
        <v>56</v>
      </c>
      <c r="V36" s="1">
        <f t="shared" si="36"/>
        <v>57</v>
      </c>
      <c r="W36" s="1">
        <f t="shared" si="36"/>
        <v>58</v>
      </c>
      <c r="X36" s="1">
        <f t="shared" si="36"/>
        <v>60</v>
      </c>
      <c r="Y36" s="1">
        <f t="shared" si="36"/>
        <v>61</v>
      </c>
      <c r="Z36" s="1">
        <f t="shared" si="36"/>
        <v>62</v>
      </c>
      <c r="AA36" s="1">
        <f t="shared" si="36"/>
        <v>64</v>
      </c>
      <c r="AB36" s="1">
        <f t="shared" si="36"/>
        <v>66</v>
      </c>
      <c r="AC36" s="1">
        <f t="shared" si="36"/>
        <v>68</v>
      </c>
      <c r="AD36" s="1">
        <f t="shared" si="36"/>
        <v>69</v>
      </c>
      <c r="AE36" s="1">
        <f t="shared" si="36"/>
        <v>70</v>
      </c>
      <c r="AF36" s="1">
        <f t="shared" si="36"/>
        <v>72</v>
      </c>
      <c r="AG36" s="1">
        <f t="shared" si="36"/>
        <v>74</v>
      </c>
      <c r="AH36" s="1">
        <f t="shared" si="36"/>
        <v>75</v>
      </c>
      <c r="AI36" s="1">
        <f t="shared" si="36"/>
        <v>76</v>
      </c>
      <c r="AJ36" s="1">
        <f t="shared" si="36"/>
        <v>78</v>
      </c>
      <c r="AK36" s="1">
        <f t="shared" si="36"/>
        <v>81</v>
      </c>
      <c r="AL36" s="1">
        <f t="shared" si="36"/>
        <v>84</v>
      </c>
      <c r="AM36" s="1">
        <f t="shared" si="36"/>
        <v>86</v>
      </c>
      <c r="AN36" s="1">
        <f t="shared" si="36"/>
        <v>87</v>
      </c>
      <c r="AO36" s="1">
        <f t="shared" si="36"/>
        <v>90</v>
      </c>
      <c r="AP36" s="1">
        <f t="shared" si="36"/>
        <v>96</v>
      </c>
      <c r="AR36" s="8">
        <f>COUNTIFS(score3pijlen,AP36)</f>
        <v>41</v>
      </c>
    </row>
    <row r="37">
      <c r="A37" s="2">
        <v>37.0</v>
      </c>
      <c r="B37" s="1">
        <f t="shared" si="2"/>
        <v>38</v>
      </c>
      <c r="C37" s="1">
        <f t="shared" ref="C37:AP37" si="37">C$1+$A37</f>
        <v>39</v>
      </c>
      <c r="D37" s="1">
        <f t="shared" si="37"/>
        <v>40</v>
      </c>
      <c r="E37" s="1">
        <f t="shared" si="37"/>
        <v>41</v>
      </c>
      <c r="F37" s="1">
        <f t="shared" si="37"/>
        <v>42</v>
      </c>
      <c r="G37" s="1">
        <f t="shared" si="37"/>
        <v>43</v>
      </c>
      <c r="H37" s="1">
        <f t="shared" si="37"/>
        <v>44</v>
      </c>
      <c r="I37" s="1">
        <f t="shared" si="37"/>
        <v>45</v>
      </c>
      <c r="J37" s="1">
        <f t="shared" si="37"/>
        <v>46</v>
      </c>
      <c r="K37" s="1">
        <f t="shared" si="37"/>
        <v>47</v>
      </c>
      <c r="L37" s="1">
        <f t="shared" si="37"/>
        <v>48</v>
      </c>
      <c r="M37" s="1">
        <f t="shared" si="37"/>
        <v>49</v>
      </c>
      <c r="N37" s="1">
        <f t="shared" si="37"/>
        <v>50</v>
      </c>
      <c r="O37" s="1">
        <f t="shared" si="37"/>
        <v>51</v>
      </c>
      <c r="P37" s="1">
        <f t="shared" si="37"/>
        <v>52</v>
      </c>
      <c r="Q37" s="1">
        <f t="shared" si="37"/>
        <v>53</v>
      </c>
      <c r="R37" s="1">
        <f t="shared" si="37"/>
        <v>54</v>
      </c>
      <c r="S37" s="1">
        <f t="shared" si="37"/>
        <v>55</v>
      </c>
      <c r="T37" s="1">
        <f t="shared" si="37"/>
        <v>56</v>
      </c>
      <c r="U37" s="1">
        <f t="shared" si="37"/>
        <v>57</v>
      </c>
      <c r="V37" s="1">
        <f t="shared" si="37"/>
        <v>58</v>
      </c>
      <c r="W37" s="1">
        <f t="shared" si="37"/>
        <v>59</v>
      </c>
      <c r="X37" s="1">
        <f t="shared" si="37"/>
        <v>61</v>
      </c>
      <c r="Y37" s="1">
        <f t="shared" si="37"/>
        <v>62</v>
      </c>
      <c r="Z37" s="1">
        <f t="shared" si="37"/>
        <v>63</v>
      </c>
      <c r="AA37" s="1">
        <f t="shared" si="37"/>
        <v>65</v>
      </c>
      <c r="AB37" s="1">
        <f t="shared" si="37"/>
        <v>67</v>
      </c>
      <c r="AC37" s="1">
        <f t="shared" si="37"/>
        <v>69</v>
      </c>
      <c r="AD37" s="1">
        <f t="shared" si="37"/>
        <v>70</v>
      </c>
      <c r="AE37" s="1">
        <f t="shared" si="37"/>
        <v>71</v>
      </c>
      <c r="AF37" s="1">
        <f t="shared" si="37"/>
        <v>73</v>
      </c>
      <c r="AG37" s="1">
        <f t="shared" si="37"/>
        <v>75</v>
      </c>
      <c r="AH37" s="1">
        <f t="shared" si="37"/>
        <v>76</v>
      </c>
      <c r="AI37" s="1">
        <f t="shared" si="37"/>
        <v>77</v>
      </c>
      <c r="AJ37" s="1">
        <f t="shared" si="37"/>
        <v>79</v>
      </c>
      <c r="AK37" s="1">
        <f t="shared" si="37"/>
        <v>82</v>
      </c>
      <c r="AL37" s="1">
        <f t="shared" si="37"/>
        <v>85</v>
      </c>
      <c r="AM37" s="1">
        <f t="shared" si="37"/>
        <v>87</v>
      </c>
      <c r="AN37" s="1">
        <f t="shared" si="37"/>
        <v>88</v>
      </c>
      <c r="AO37" s="1">
        <f t="shared" si="37"/>
        <v>91</v>
      </c>
      <c r="AP37" s="1">
        <f t="shared" si="37"/>
        <v>97</v>
      </c>
      <c r="AR37" s="8">
        <f>COUNTIFS(score3pijlen,AP37)</f>
        <v>41</v>
      </c>
    </row>
    <row r="38">
      <c r="A38" s="2">
        <v>38.0</v>
      </c>
      <c r="B38" s="1">
        <f t="shared" si="2"/>
        <v>39</v>
      </c>
      <c r="C38" s="1">
        <f t="shared" ref="C38:AP38" si="38">C$1+$A38</f>
        <v>40</v>
      </c>
      <c r="D38" s="1">
        <f t="shared" si="38"/>
        <v>41</v>
      </c>
      <c r="E38" s="1">
        <f t="shared" si="38"/>
        <v>42</v>
      </c>
      <c r="F38" s="1">
        <f t="shared" si="38"/>
        <v>43</v>
      </c>
      <c r="G38" s="1">
        <f t="shared" si="38"/>
        <v>44</v>
      </c>
      <c r="H38" s="1">
        <f t="shared" si="38"/>
        <v>45</v>
      </c>
      <c r="I38" s="1">
        <f t="shared" si="38"/>
        <v>46</v>
      </c>
      <c r="J38" s="1">
        <f t="shared" si="38"/>
        <v>47</v>
      </c>
      <c r="K38" s="1">
        <f t="shared" si="38"/>
        <v>48</v>
      </c>
      <c r="L38" s="1">
        <f t="shared" si="38"/>
        <v>49</v>
      </c>
      <c r="M38" s="1">
        <f t="shared" si="38"/>
        <v>50</v>
      </c>
      <c r="N38" s="1">
        <f t="shared" si="38"/>
        <v>51</v>
      </c>
      <c r="O38" s="1">
        <f t="shared" si="38"/>
        <v>52</v>
      </c>
      <c r="P38" s="1">
        <f t="shared" si="38"/>
        <v>53</v>
      </c>
      <c r="Q38" s="1">
        <f t="shared" si="38"/>
        <v>54</v>
      </c>
      <c r="R38" s="1">
        <f t="shared" si="38"/>
        <v>55</v>
      </c>
      <c r="S38" s="1">
        <f t="shared" si="38"/>
        <v>56</v>
      </c>
      <c r="T38" s="1">
        <f t="shared" si="38"/>
        <v>57</v>
      </c>
      <c r="U38" s="1">
        <f t="shared" si="38"/>
        <v>58</v>
      </c>
      <c r="V38" s="1">
        <f t="shared" si="38"/>
        <v>59</v>
      </c>
      <c r="W38" s="1">
        <f t="shared" si="38"/>
        <v>60</v>
      </c>
      <c r="X38" s="1">
        <f t="shared" si="38"/>
        <v>62</v>
      </c>
      <c r="Y38" s="1">
        <f t="shared" si="38"/>
        <v>63</v>
      </c>
      <c r="Z38" s="1">
        <f t="shared" si="38"/>
        <v>64</v>
      </c>
      <c r="AA38" s="1">
        <f t="shared" si="38"/>
        <v>66</v>
      </c>
      <c r="AB38" s="1">
        <f t="shared" si="38"/>
        <v>68</v>
      </c>
      <c r="AC38" s="1">
        <f t="shared" si="38"/>
        <v>70</v>
      </c>
      <c r="AD38" s="1">
        <f t="shared" si="38"/>
        <v>71</v>
      </c>
      <c r="AE38" s="1">
        <f t="shared" si="38"/>
        <v>72</v>
      </c>
      <c r="AF38" s="1">
        <f t="shared" si="38"/>
        <v>74</v>
      </c>
      <c r="AG38" s="1">
        <f t="shared" si="38"/>
        <v>76</v>
      </c>
      <c r="AH38" s="1">
        <f t="shared" si="38"/>
        <v>77</v>
      </c>
      <c r="AI38" s="1">
        <f t="shared" si="38"/>
        <v>78</v>
      </c>
      <c r="AJ38" s="1">
        <f t="shared" si="38"/>
        <v>80</v>
      </c>
      <c r="AK38" s="1">
        <f t="shared" si="38"/>
        <v>83</v>
      </c>
      <c r="AL38" s="1">
        <f t="shared" si="38"/>
        <v>86</v>
      </c>
      <c r="AM38" s="1">
        <f t="shared" si="38"/>
        <v>88</v>
      </c>
      <c r="AN38" s="1">
        <f t="shared" si="38"/>
        <v>89</v>
      </c>
      <c r="AO38" s="1">
        <f t="shared" si="38"/>
        <v>92</v>
      </c>
      <c r="AP38" s="1">
        <f t="shared" si="38"/>
        <v>98</v>
      </c>
      <c r="AR38" s="8">
        <f>COUNTIFS(score3pijlen,AP38)</f>
        <v>41</v>
      </c>
    </row>
    <row r="39">
      <c r="A39" s="2">
        <v>39.0</v>
      </c>
      <c r="B39" s="1">
        <f t="shared" si="2"/>
        <v>40</v>
      </c>
      <c r="C39" s="1">
        <f t="shared" ref="C39:AP39" si="39">C$1+$A39</f>
        <v>41</v>
      </c>
      <c r="D39" s="1">
        <f t="shared" si="39"/>
        <v>42</v>
      </c>
      <c r="E39" s="1">
        <f t="shared" si="39"/>
        <v>43</v>
      </c>
      <c r="F39" s="1">
        <f t="shared" si="39"/>
        <v>44</v>
      </c>
      <c r="G39" s="1">
        <f t="shared" si="39"/>
        <v>45</v>
      </c>
      <c r="H39" s="1">
        <f t="shared" si="39"/>
        <v>46</v>
      </c>
      <c r="I39" s="1">
        <f t="shared" si="39"/>
        <v>47</v>
      </c>
      <c r="J39" s="1">
        <f t="shared" si="39"/>
        <v>48</v>
      </c>
      <c r="K39" s="1">
        <f t="shared" si="39"/>
        <v>49</v>
      </c>
      <c r="L39" s="1">
        <f t="shared" si="39"/>
        <v>50</v>
      </c>
      <c r="M39" s="1">
        <f t="shared" si="39"/>
        <v>51</v>
      </c>
      <c r="N39" s="1">
        <f t="shared" si="39"/>
        <v>52</v>
      </c>
      <c r="O39" s="1">
        <f t="shared" si="39"/>
        <v>53</v>
      </c>
      <c r="P39" s="1">
        <f t="shared" si="39"/>
        <v>54</v>
      </c>
      <c r="Q39" s="1">
        <f t="shared" si="39"/>
        <v>55</v>
      </c>
      <c r="R39" s="1">
        <f t="shared" si="39"/>
        <v>56</v>
      </c>
      <c r="S39" s="1">
        <f t="shared" si="39"/>
        <v>57</v>
      </c>
      <c r="T39" s="1">
        <f t="shared" si="39"/>
        <v>58</v>
      </c>
      <c r="U39" s="1">
        <f t="shared" si="39"/>
        <v>59</v>
      </c>
      <c r="V39" s="1">
        <f t="shared" si="39"/>
        <v>60</v>
      </c>
      <c r="W39" s="1">
        <f t="shared" si="39"/>
        <v>61</v>
      </c>
      <c r="X39" s="1">
        <f t="shared" si="39"/>
        <v>63</v>
      </c>
      <c r="Y39" s="1">
        <f t="shared" si="39"/>
        <v>64</v>
      </c>
      <c r="Z39" s="1">
        <f t="shared" si="39"/>
        <v>65</v>
      </c>
      <c r="AA39" s="1">
        <f t="shared" si="39"/>
        <v>67</v>
      </c>
      <c r="AB39" s="1">
        <f t="shared" si="39"/>
        <v>69</v>
      </c>
      <c r="AC39" s="1">
        <f t="shared" si="39"/>
        <v>71</v>
      </c>
      <c r="AD39" s="1">
        <f t="shared" si="39"/>
        <v>72</v>
      </c>
      <c r="AE39" s="1">
        <f t="shared" si="39"/>
        <v>73</v>
      </c>
      <c r="AF39" s="1">
        <f t="shared" si="39"/>
        <v>75</v>
      </c>
      <c r="AG39" s="1">
        <f t="shared" si="39"/>
        <v>77</v>
      </c>
      <c r="AH39" s="1">
        <f t="shared" si="39"/>
        <v>78</v>
      </c>
      <c r="AI39" s="1">
        <f t="shared" si="39"/>
        <v>79</v>
      </c>
      <c r="AJ39" s="1">
        <f t="shared" si="39"/>
        <v>81</v>
      </c>
      <c r="AK39" s="1">
        <f t="shared" si="39"/>
        <v>84</v>
      </c>
      <c r="AL39" s="1">
        <f t="shared" si="39"/>
        <v>87</v>
      </c>
      <c r="AM39" s="1">
        <f t="shared" si="39"/>
        <v>89</v>
      </c>
      <c r="AN39" s="1">
        <f t="shared" si="39"/>
        <v>90</v>
      </c>
      <c r="AO39" s="1">
        <f t="shared" si="39"/>
        <v>93</v>
      </c>
      <c r="AP39" s="1">
        <f t="shared" si="39"/>
        <v>99</v>
      </c>
      <c r="AR39" s="8">
        <f>COUNTIFS(score3pijlen,AP39)</f>
        <v>41</v>
      </c>
    </row>
    <row r="40">
      <c r="A40" s="2">
        <v>40.0</v>
      </c>
      <c r="B40" s="1">
        <f t="shared" si="2"/>
        <v>41</v>
      </c>
      <c r="C40" s="1">
        <f t="shared" ref="C40:AP40" si="40">C$1+$A40</f>
        <v>42</v>
      </c>
      <c r="D40" s="1">
        <f t="shared" si="40"/>
        <v>43</v>
      </c>
      <c r="E40" s="1">
        <f t="shared" si="40"/>
        <v>44</v>
      </c>
      <c r="F40" s="1">
        <f t="shared" si="40"/>
        <v>45</v>
      </c>
      <c r="G40" s="1">
        <f t="shared" si="40"/>
        <v>46</v>
      </c>
      <c r="H40" s="1">
        <f t="shared" si="40"/>
        <v>47</v>
      </c>
      <c r="I40" s="1">
        <f t="shared" si="40"/>
        <v>48</v>
      </c>
      <c r="J40" s="1">
        <f t="shared" si="40"/>
        <v>49</v>
      </c>
      <c r="K40" s="1">
        <f t="shared" si="40"/>
        <v>50</v>
      </c>
      <c r="L40" s="1">
        <f t="shared" si="40"/>
        <v>51</v>
      </c>
      <c r="M40" s="1">
        <f t="shared" si="40"/>
        <v>52</v>
      </c>
      <c r="N40" s="1">
        <f t="shared" si="40"/>
        <v>53</v>
      </c>
      <c r="O40" s="1">
        <f t="shared" si="40"/>
        <v>54</v>
      </c>
      <c r="P40" s="1">
        <f t="shared" si="40"/>
        <v>55</v>
      </c>
      <c r="Q40" s="1">
        <f t="shared" si="40"/>
        <v>56</v>
      </c>
      <c r="R40" s="1">
        <f t="shared" si="40"/>
        <v>57</v>
      </c>
      <c r="S40" s="1">
        <f t="shared" si="40"/>
        <v>58</v>
      </c>
      <c r="T40" s="1">
        <f t="shared" si="40"/>
        <v>59</v>
      </c>
      <c r="U40" s="1">
        <f t="shared" si="40"/>
        <v>60</v>
      </c>
      <c r="V40" s="1">
        <f t="shared" si="40"/>
        <v>61</v>
      </c>
      <c r="W40" s="1">
        <f t="shared" si="40"/>
        <v>62</v>
      </c>
      <c r="X40" s="1">
        <f t="shared" si="40"/>
        <v>64</v>
      </c>
      <c r="Y40" s="1">
        <f t="shared" si="40"/>
        <v>65</v>
      </c>
      <c r="Z40" s="1">
        <f t="shared" si="40"/>
        <v>66</v>
      </c>
      <c r="AA40" s="1">
        <f t="shared" si="40"/>
        <v>68</v>
      </c>
      <c r="AB40" s="1">
        <f t="shared" si="40"/>
        <v>70</v>
      </c>
      <c r="AC40" s="1">
        <f t="shared" si="40"/>
        <v>72</v>
      </c>
      <c r="AD40" s="1">
        <f t="shared" si="40"/>
        <v>73</v>
      </c>
      <c r="AE40" s="1">
        <f t="shared" si="40"/>
        <v>74</v>
      </c>
      <c r="AF40" s="1">
        <f t="shared" si="40"/>
        <v>76</v>
      </c>
      <c r="AG40" s="1">
        <f t="shared" si="40"/>
        <v>78</v>
      </c>
      <c r="AH40" s="1">
        <f t="shared" si="40"/>
        <v>79</v>
      </c>
      <c r="AI40" s="1">
        <f t="shared" si="40"/>
        <v>80</v>
      </c>
      <c r="AJ40" s="1">
        <f t="shared" si="40"/>
        <v>82</v>
      </c>
      <c r="AK40" s="1">
        <f t="shared" si="40"/>
        <v>85</v>
      </c>
      <c r="AL40" s="1">
        <f t="shared" si="40"/>
        <v>88</v>
      </c>
      <c r="AM40" s="1">
        <f t="shared" si="40"/>
        <v>90</v>
      </c>
      <c r="AN40" s="1">
        <f t="shared" si="40"/>
        <v>91</v>
      </c>
      <c r="AO40" s="1">
        <f t="shared" si="40"/>
        <v>94</v>
      </c>
      <c r="AP40" s="1">
        <f t="shared" si="40"/>
        <v>100</v>
      </c>
      <c r="AR40" s="8">
        <f>COUNTIFS(score3pijlen,AP40)</f>
        <v>41</v>
      </c>
    </row>
    <row r="41">
      <c r="A41" s="2">
        <v>41.0</v>
      </c>
      <c r="B41" s="1">
        <f t="shared" si="2"/>
        <v>42</v>
      </c>
      <c r="C41" s="1">
        <f t="shared" ref="C41:AP41" si="41">C$1+$A41</f>
        <v>43</v>
      </c>
      <c r="D41" s="1">
        <f t="shared" si="41"/>
        <v>44</v>
      </c>
      <c r="E41" s="1">
        <f t="shared" si="41"/>
        <v>45</v>
      </c>
      <c r="F41" s="1">
        <f t="shared" si="41"/>
        <v>46</v>
      </c>
      <c r="G41" s="1">
        <f t="shared" si="41"/>
        <v>47</v>
      </c>
      <c r="H41" s="1">
        <f t="shared" si="41"/>
        <v>48</v>
      </c>
      <c r="I41" s="1">
        <f t="shared" si="41"/>
        <v>49</v>
      </c>
      <c r="J41" s="1">
        <f t="shared" si="41"/>
        <v>50</v>
      </c>
      <c r="K41" s="1">
        <f t="shared" si="41"/>
        <v>51</v>
      </c>
      <c r="L41" s="1">
        <f t="shared" si="41"/>
        <v>52</v>
      </c>
      <c r="M41" s="1">
        <f t="shared" si="41"/>
        <v>53</v>
      </c>
      <c r="N41" s="1">
        <f t="shared" si="41"/>
        <v>54</v>
      </c>
      <c r="O41" s="1">
        <f t="shared" si="41"/>
        <v>55</v>
      </c>
      <c r="P41" s="1">
        <f t="shared" si="41"/>
        <v>56</v>
      </c>
      <c r="Q41" s="1">
        <f t="shared" si="41"/>
        <v>57</v>
      </c>
      <c r="R41" s="1">
        <f t="shared" si="41"/>
        <v>58</v>
      </c>
      <c r="S41" s="1">
        <f t="shared" si="41"/>
        <v>59</v>
      </c>
      <c r="T41" s="1">
        <f t="shared" si="41"/>
        <v>60</v>
      </c>
      <c r="U41" s="1">
        <f t="shared" si="41"/>
        <v>61</v>
      </c>
      <c r="V41" s="1">
        <f t="shared" si="41"/>
        <v>62</v>
      </c>
      <c r="W41" s="1">
        <f t="shared" si="41"/>
        <v>63</v>
      </c>
      <c r="X41" s="1">
        <f t="shared" si="41"/>
        <v>65</v>
      </c>
      <c r="Y41" s="1">
        <f t="shared" si="41"/>
        <v>66</v>
      </c>
      <c r="Z41" s="1">
        <f t="shared" si="41"/>
        <v>67</v>
      </c>
      <c r="AA41" s="1">
        <f t="shared" si="41"/>
        <v>69</v>
      </c>
      <c r="AB41" s="1">
        <f t="shared" si="41"/>
        <v>71</v>
      </c>
      <c r="AC41" s="1">
        <f t="shared" si="41"/>
        <v>73</v>
      </c>
      <c r="AD41" s="1">
        <f t="shared" si="41"/>
        <v>74</v>
      </c>
      <c r="AE41" s="1">
        <f t="shared" si="41"/>
        <v>75</v>
      </c>
      <c r="AF41" s="1">
        <f t="shared" si="41"/>
        <v>77</v>
      </c>
      <c r="AG41" s="1">
        <f t="shared" si="41"/>
        <v>79</v>
      </c>
      <c r="AH41" s="1">
        <f t="shared" si="41"/>
        <v>80</v>
      </c>
      <c r="AI41" s="1">
        <f t="shared" si="41"/>
        <v>81</v>
      </c>
      <c r="AJ41" s="1">
        <f t="shared" si="41"/>
        <v>83</v>
      </c>
      <c r="AK41" s="1">
        <f t="shared" si="41"/>
        <v>86</v>
      </c>
      <c r="AL41" s="1">
        <f t="shared" si="41"/>
        <v>89</v>
      </c>
      <c r="AM41" s="1">
        <f t="shared" si="41"/>
        <v>91</v>
      </c>
      <c r="AN41" s="1">
        <f t="shared" si="41"/>
        <v>92</v>
      </c>
      <c r="AO41" s="1">
        <f t="shared" si="41"/>
        <v>95</v>
      </c>
      <c r="AP41" s="1">
        <f t="shared" si="41"/>
        <v>101</v>
      </c>
      <c r="AR41" s="8">
        <f>COUNTIFS(score3pijlen,AP41)</f>
        <v>41</v>
      </c>
    </row>
    <row r="42">
      <c r="A42" s="2">
        <v>42.0</v>
      </c>
      <c r="B42" s="1">
        <f t="shared" si="2"/>
        <v>43</v>
      </c>
      <c r="C42" s="1">
        <f t="shared" ref="C42:AP42" si="42">C$1+$A42</f>
        <v>44</v>
      </c>
      <c r="D42" s="1">
        <f t="shared" si="42"/>
        <v>45</v>
      </c>
      <c r="E42" s="1">
        <f t="shared" si="42"/>
        <v>46</v>
      </c>
      <c r="F42" s="1">
        <f t="shared" si="42"/>
        <v>47</v>
      </c>
      <c r="G42" s="1">
        <f t="shared" si="42"/>
        <v>48</v>
      </c>
      <c r="H42" s="1">
        <f t="shared" si="42"/>
        <v>49</v>
      </c>
      <c r="I42" s="1">
        <f t="shared" si="42"/>
        <v>50</v>
      </c>
      <c r="J42" s="1">
        <f t="shared" si="42"/>
        <v>51</v>
      </c>
      <c r="K42" s="1">
        <f t="shared" si="42"/>
        <v>52</v>
      </c>
      <c r="L42" s="1">
        <f t="shared" si="42"/>
        <v>53</v>
      </c>
      <c r="M42" s="1">
        <f t="shared" si="42"/>
        <v>54</v>
      </c>
      <c r="N42" s="1">
        <f t="shared" si="42"/>
        <v>55</v>
      </c>
      <c r="O42" s="1">
        <f t="shared" si="42"/>
        <v>56</v>
      </c>
      <c r="P42" s="1">
        <f t="shared" si="42"/>
        <v>57</v>
      </c>
      <c r="Q42" s="1">
        <f t="shared" si="42"/>
        <v>58</v>
      </c>
      <c r="R42" s="1">
        <f t="shared" si="42"/>
        <v>59</v>
      </c>
      <c r="S42" s="1">
        <f t="shared" si="42"/>
        <v>60</v>
      </c>
      <c r="T42" s="1">
        <f t="shared" si="42"/>
        <v>61</v>
      </c>
      <c r="U42" s="1">
        <f t="shared" si="42"/>
        <v>62</v>
      </c>
      <c r="V42" s="1">
        <f t="shared" si="42"/>
        <v>63</v>
      </c>
      <c r="W42" s="1">
        <f t="shared" si="42"/>
        <v>64</v>
      </c>
      <c r="X42" s="1">
        <f t="shared" si="42"/>
        <v>66</v>
      </c>
      <c r="Y42" s="1">
        <f t="shared" si="42"/>
        <v>67</v>
      </c>
      <c r="Z42" s="1">
        <f t="shared" si="42"/>
        <v>68</v>
      </c>
      <c r="AA42" s="1">
        <f t="shared" si="42"/>
        <v>70</v>
      </c>
      <c r="AB42" s="1">
        <f t="shared" si="42"/>
        <v>72</v>
      </c>
      <c r="AC42" s="1">
        <f t="shared" si="42"/>
        <v>74</v>
      </c>
      <c r="AD42" s="1">
        <f t="shared" si="42"/>
        <v>75</v>
      </c>
      <c r="AE42" s="1">
        <f t="shared" si="42"/>
        <v>76</v>
      </c>
      <c r="AF42" s="1">
        <f t="shared" si="42"/>
        <v>78</v>
      </c>
      <c r="AG42" s="1">
        <f t="shared" si="42"/>
        <v>80</v>
      </c>
      <c r="AH42" s="1">
        <f t="shared" si="42"/>
        <v>81</v>
      </c>
      <c r="AI42" s="1">
        <f t="shared" si="42"/>
        <v>82</v>
      </c>
      <c r="AJ42" s="1">
        <f t="shared" si="42"/>
        <v>84</v>
      </c>
      <c r="AK42" s="1">
        <f t="shared" si="42"/>
        <v>87</v>
      </c>
      <c r="AL42" s="1">
        <f t="shared" si="42"/>
        <v>90</v>
      </c>
      <c r="AM42" s="1">
        <f t="shared" si="42"/>
        <v>92</v>
      </c>
      <c r="AN42" s="1">
        <f t="shared" si="42"/>
        <v>93</v>
      </c>
      <c r="AO42" s="1">
        <f t="shared" si="42"/>
        <v>96</v>
      </c>
      <c r="AP42" s="1">
        <f t="shared" si="42"/>
        <v>102</v>
      </c>
      <c r="AR42" s="8">
        <f>COUNTIFS(score3pijlen,AP42)</f>
        <v>41</v>
      </c>
    </row>
    <row r="43">
      <c r="A43" s="2">
        <v>43.0</v>
      </c>
      <c r="B43" s="1">
        <f t="shared" si="2"/>
        <v>44</v>
      </c>
      <c r="C43" s="1">
        <f t="shared" ref="C43:AP43" si="43">C$1+$A43</f>
        <v>45</v>
      </c>
      <c r="D43" s="1">
        <f t="shared" si="43"/>
        <v>46</v>
      </c>
      <c r="E43" s="1">
        <f t="shared" si="43"/>
        <v>47</v>
      </c>
      <c r="F43" s="1">
        <f t="shared" si="43"/>
        <v>48</v>
      </c>
      <c r="G43" s="1">
        <f t="shared" si="43"/>
        <v>49</v>
      </c>
      <c r="H43" s="1">
        <f t="shared" si="43"/>
        <v>50</v>
      </c>
      <c r="I43" s="1">
        <f t="shared" si="43"/>
        <v>51</v>
      </c>
      <c r="J43" s="1">
        <f t="shared" si="43"/>
        <v>52</v>
      </c>
      <c r="K43" s="1">
        <f t="shared" si="43"/>
        <v>53</v>
      </c>
      <c r="L43" s="1">
        <f t="shared" si="43"/>
        <v>54</v>
      </c>
      <c r="M43" s="1">
        <f t="shared" si="43"/>
        <v>55</v>
      </c>
      <c r="N43" s="1">
        <f t="shared" si="43"/>
        <v>56</v>
      </c>
      <c r="O43" s="1">
        <f t="shared" si="43"/>
        <v>57</v>
      </c>
      <c r="P43" s="1">
        <f t="shared" si="43"/>
        <v>58</v>
      </c>
      <c r="Q43" s="1">
        <f t="shared" si="43"/>
        <v>59</v>
      </c>
      <c r="R43" s="1">
        <f t="shared" si="43"/>
        <v>60</v>
      </c>
      <c r="S43" s="1">
        <f t="shared" si="43"/>
        <v>61</v>
      </c>
      <c r="T43" s="1">
        <f t="shared" si="43"/>
        <v>62</v>
      </c>
      <c r="U43" s="1">
        <f t="shared" si="43"/>
        <v>63</v>
      </c>
      <c r="V43" s="1">
        <f t="shared" si="43"/>
        <v>64</v>
      </c>
      <c r="W43" s="1">
        <f t="shared" si="43"/>
        <v>65</v>
      </c>
      <c r="X43" s="1">
        <f t="shared" si="43"/>
        <v>67</v>
      </c>
      <c r="Y43" s="1">
        <f t="shared" si="43"/>
        <v>68</v>
      </c>
      <c r="Z43" s="1">
        <f t="shared" si="43"/>
        <v>69</v>
      </c>
      <c r="AA43" s="1">
        <f t="shared" si="43"/>
        <v>71</v>
      </c>
      <c r="AB43" s="1">
        <f t="shared" si="43"/>
        <v>73</v>
      </c>
      <c r="AC43" s="1">
        <f t="shared" si="43"/>
        <v>75</v>
      </c>
      <c r="AD43" s="1">
        <f t="shared" si="43"/>
        <v>76</v>
      </c>
      <c r="AE43" s="1">
        <f t="shared" si="43"/>
        <v>77</v>
      </c>
      <c r="AF43" s="1">
        <f t="shared" si="43"/>
        <v>79</v>
      </c>
      <c r="AG43" s="1">
        <f t="shared" si="43"/>
        <v>81</v>
      </c>
      <c r="AH43" s="1">
        <f t="shared" si="43"/>
        <v>82</v>
      </c>
      <c r="AI43" s="1">
        <f t="shared" si="43"/>
        <v>83</v>
      </c>
      <c r="AJ43" s="1">
        <f t="shared" si="43"/>
        <v>85</v>
      </c>
      <c r="AK43" s="1">
        <f t="shared" si="43"/>
        <v>88</v>
      </c>
      <c r="AL43" s="1">
        <f t="shared" si="43"/>
        <v>91</v>
      </c>
      <c r="AM43" s="1">
        <f t="shared" si="43"/>
        <v>93</v>
      </c>
      <c r="AN43" s="1">
        <f t="shared" si="43"/>
        <v>94</v>
      </c>
      <c r="AO43" s="1">
        <f t="shared" si="43"/>
        <v>97</v>
      </c>
      <c r="AP43" s="1">
        <f t="shared" si="43"/>
        <v>103</v>
      </c>
      <c r="AR43" s="8">
        <f>COUNTIFS(score3pijlen,AP43)</f>
        <v>41</v>
      </c>
    </row>
    <row r="44">
      <c r="A44" s="2">
        <v>44.0</v>
      </c>
      <c r="B44" s="1">
        <f t="shared" si="2"/>
        <v>45</v>
      </c>
      <c r="C44" s="1">
        <f t="shared" ref="C44:AP44" si="44">C$1+$A44</f>
        <v>46</v>
      </c>
      <c r="D44" s="1">
        <f t="shared" si="44"/>
        <v>47</v>
      </c>
      <c r="E44" s="1">
        <f t="shared" si="44"/>
        <v>48</v>
      </c>
      <c r="F44" s="1">
        <f t="shared" si="44"/>
        <v>49</v>
      </c>
      <c r="G44" s="1">
        <f t="shared" si="44"/>
        <v>50</v>
      </c>
      <c r="H44" s="1">
        <f t="shared" si="44"/>
        <v>51</v>
      </c>
      <c r="I44" s="1">
        <f t="shared" si="44"/>
        <v>52</v>
      </c>
      <c r="J44" s="1">
        <f t="shared" si="44"/>
        <v>53</v>
      </c>
      <c r="K44" s="1">
        <f t="shared" si="44"/>
        <v>54</v>
      </c>
      <c r="L44" s="1">
        <f t="shared" si="44"/>
        <v>55</v>
      </c>
      <c r="M44" s="1">
        <f t="shared" si="44"/>
        <v>56</v>
      </c>
      <c r="N44" s="1">
        <f t="shared" si="44"/>
        <v>57</v>
      </c>
      <c r="O44" s="1">
        <f t="shared" si="44"/>
        <v>58</v>
      </c>
      <c r="P44" s="1">
        <f t="shared" si="44"/>
        <v>59</v>
      </c>
      <c r="Q44" s="1">
        <f t="shared" si="44"/>
        <v>60</v>
      </c>
      <c r="R44" s="1">
        <f t="shared" si="44"/>
        <v>61</v>
      </c>
      <c r="S44" s="1">
        <f t="shared" si="44"/>
        <v>62</v>
      </c>
      <c r="T44" s="1">
        <f t="shared" si="44"/>
        <v>63</v>
      </c>
      <c r="U44" s="1">
        <f t="shared" si="44"/>
        <v>64</v>
      </c>
      <c r="V44" s="1">
        <f t="shared" si="44"/>
        <v>65</v>
      </c>
      <c r="W44" s="1">
        <f t="shared" si="44"/>
        <v>66</v>
      </c>
      <c r="X44" s="1">
        <f t="shared" si="44"/>
        <v>68</v>
      </c>
      <c r="Y44" s="1">
        <f t="shared" si="44"/>
        <v>69</v>
      </c>
      <c r="Z44" s="1">
        <f t="shared" si="44"/>
        <v>70</v>
      </c>
      <c r="AA44" s="1">
        <f t="shared" si="44"/>
        <v>72</v>
      </c>
      <c r="AB44" s="1">
        <f t="shared" si="44"/>
        <v>74</v>
      </c>
      <c r="AC44" s="1">
        <f t="shared" si="44"/>
        <v>76</v>
      </c>
      <c r="AD44" s="1">
        <f t="shared" si="44"/>
        <v>77</v>
      </c>
      <c r="AE44" s="1">
        <f t="shared" si="44"/>
        <v>78</v>
      </c>
      <c r="AF44" s="1">
        <f t="shared" si="44"/>
        <v>80</v>
      </c>
      <c r="AG44" s="1">
        <f t="shared" si="44"/>
        <v>82</v>
      </c>
      <c r="AH44" s="1">
        <f t="shared" si="44"/>
        <v>83</v>
      </c>
      <c r="AI44" s="1">
        <f t="shared" si="44"/>
        <v>84</v>
      </c>
      <c r="AJ44" s="1">
        <f t="shared" si="44"/>
        <v>86</v>
      </c>
      <c r="AK44" s="1">
        <f t="shared" si="44"/>
        <v>89</v>
      </c>
      <c r="AL44" s="1">
        <f t="shared" si="44"/>
        <v>92</v>
      </c>
      <c r="AM44" s="1">
        <f t="shared" si="44"/>
        <v>94</v>
      </c>
      <c r="AN44" s="1">
        <f t="shared" si="44"/>
        <v>95</v>
      </c>
      <c r="AO44" s="1">
        <f t="shared" si="44"/>
        <v>98</v>
      </c>
      <c r="AP44" s="1">
        <f t="shared" si="44"/>
        <v>104</v>
      </c>
      <c r="AR44" s="8">
        <f>COUNTIFS(score3pijlen,AP44)</f>
        <v>40</v>
      </c>
    </row>
    <row r="45">
      <c r="A45" s="2">
        <v>45.0</v>
      </c>
      <c r="B45" s="1">
        <f t="shared" si="2"/>
        <v>46</v>
      </c>
      <c r="C45" s="1">
        <f t="shared" ref="C45:AP45" si="45">C$1+$A45</f>
        <v>47</v>
      </c>
      <c r="D45" s="1">
        <f t="shared" si="45"/>
        <v>48</v>
      </c>
      <c r="E45" s="1">
        <f t="shared" si="45"/>
        <v>49</v>
      </c>
      <c r="F45" s="1">
        <f t="shared" si="45"/>
        <v>50</v>
      </c>
      <c r="G45" s="1">
        <f t="shared" si="45"/>
        <v>51</v>
      </c>
      <c r="H45" s="1">
        <f t="shared" si="45"/>
        <v>52</v>
      </c>
      <c r="I45" s="1">
        <f t="shared" si="45"/>
        <v>53</v>
      </c>
      <c r="J45" s="1">
        <f t="shared" si="45"/>
        <v>54</v>
      </c>
      <c r="K45" s="1">
        <f t="shared" si="45"/>
        <v>55</v>
      </c>
      <c r="L45" s="1">
        <f t="shared" si="45"/>
        <v>56</v>
      </c>
      <c r="M45" s="1">
        <f t="shared" si="45"/>
        <v>57</v>
      </c>
      <c r="N45" s="1">
        <f t="shared" si="45"/>
        <v>58</v>
      </c>
      <c r="O45" s="1">
        <f t="shared" si="45"/>
        <v>59</v>
      </c>
      <c r="P45" s="1">
        <f t="shared" si="45"/>
        <v>60</v>
      </c>
      <c r="Q45" s="1">
        <f t="shared" si="45"/>
        <v>61</v>
      </c>
      <c r="R45" s="1">
        <f t="shared" si="45"/>
        <v>62</v>
      </c>
      <c r="S45" s="1">
        <f t="shared" si="45"/>
        <v>63</v>
      </c>
      <c r="T45" s="1">
        <f t="shared" si="45"/>
        <v>64</v>
      </c>
      <c r="U45" s="1">
        <f t="shared" si="45"/>
        <v>65</v>
      </c>
      <c r="V45" s="1">
        <f t="shared" si="45"/>
        <v>66</v>
      </c>
      <c r="W45" s="1">
        <f t="shared" si="45"/>
        <v>67</v>
      </c>
      <c r="X45" s="1">
        <f t="shared" si="45"/>
        <v>69</v>
      </c>
      <c r="Y45" s="1">
        <f t="shared" si="45"/>
        <v>70</v>
      </c>
      <c r="Z45" s="1">
        <f t="shared" si="45"/>
        <v>71</v>
      </c>
      <c r="AA45" s="1">
        <f t="shared" si="45"/>
        <v>73</v>
      </c>
      <c r="AB45" s="1">
        <f t="shared" si="45"/>
        <v>75</v>
      </c>
      <c r="AC45" s="1">
        <f t="shared" si="45"/>
        <v>77</v>
      </c>
      <c r="AD45" s="1">
        <f t="shared" si="45"/>
        <v>78</v>
      </c>
      <c r="AE45" s="1">
        <f t="shared" si="45"/>
        <v>79</v>
      </c>
      <c r="AF45" s="1">
        <f t="shared" si="45"/>
        <v>81</v>
      </c>
      <c r="AG45" s="1">
        <f t="shared" si="45"/>
        <v>83</v>
      </c>
      <c r="AH45" s="1">
        <f t="shared" si="45"/>
        <v>84</v>
      </c>
      <c r="AI45" s="1">
        <f t="shared" si="45"/>
        <v>85</v>
      </c>
      <c r="AJ45" s="1">
        <f t="shared" si="45"/>
        <v>87</v>
      </c>
      <c r="AK45" s="1">
        <f t="shared" si="45"/>
        <v>90</v>
      </c>
      <c r="AL45" s="1">
        <f t="shared" si="45"/>
        <v>93</v>
      </c>
      <c r="AM45" s="1">
        <f t="shared" si="45"/>
        <v>95</v>
      </c>
      <c r="AN45" s="1">
        <f t="shared" si="45"/>
        <v>96</v>
      </c>
      <c r="AO45" s="1">
        <f t="shared" si="45"/>
        <v>99</v>
      </c>
      <c r="AP45" s="1">
        <f t="shared" si="45"/>
        <v>105</v>
      </c>
      <c r="AR45" s="8">
        <f>COUNTIFS(score3pijlen,AP45)</f>
        <v>40</v>
      </c>
    </row>
    <row r="46">
      <c r="A46" s="2">
        <v>46.0</v>
      </c>
      <c r="B46" s="1">
        <f t="shared" si="2"/>
        <v>47</v>
      </c>
      <c r="C46" s="1">
        <f t="shared" ref="C46:AP46" si="46">C$1+$A46</f>
        <v>48</v>
      </c>
      <c r="D46" s="1">
        <f t="shared" si="46"/>
        <v>49</v>
      </c>
      <c r="E46" s="1">
        <f t="shared" si="46"/>
        <v>50</v>
      </c>
      <c r="F46" s="1">
        <f t="shared" si="46"/>
        <v>51</v>
      </c>
      <c r="G46" s="1">
        <f t="shared" si="46"/>
        <v>52</v>
      </c>
      <c r="H46" s="1">
        <f t="shared" si="46"/>
        <v>53</v>
      </c>
      <c r="I46" s="1">
        <f t="shared" si="46"/>
        <v>54</v>
      </c>
      <c r="J46" s="1">
        <f t="shared" si="46"/>
        <v>55</v>
      </c>
      <c r="K46" s="1">
        <f t="shared" si="46"/>
        <v>56</v>
      </c>
      <c r="L46" s="1">
        <f t="shared" si="46"/>
        <v>57</v>
      </c>
      <c r="M46" s="1">
        <f t="shared" si="46"/>
        <v>58</v>
      </c>
      <c r="N46" s="1">
        <f t="shared" si="46"/>
        <v>59</v>
      </c>
      <c r="O46" s="1">
        <f t="shared" si="46"/>
        <v>60</v>
      </c>
      <c r="P46" s="1">
        <f t="shared" si="46"/>
        <v>61</v>
      </c>
      <c r="Q46" s="1">
        <f t="shared" si="46"/>
        <v>62</v>
      </c>
      <c r="R46" s="1">
        <f t="shared" si="46"/>
        <v>63</v>
      </c>
      <c r="S46" s="1">
        <f t="shared" si="46"/>
        <v>64</v>
      </c>
      <c r="T46" s="1">
        <f t="shared" si="46"/>
        <v>65</v>
      </c>
      <c r="U46" s="1">
        <f t="shared" si="46"/>
        <v>66</v>
      </c>
      <c r="V46" s="1">
        <f t="shared" si="46"/>
        <v>67</v>
      </c>
      <c r="W46" s="1">
        <f t="shared" si="46"/>
        <v>68</v>
      </c>
      <c r="X46" s="1">
        <f t="shared" si="46"/>
        <v>70</v>
      </c>
      <c r="Y46" s="1">
        <f t="shared" si="46"/>
        <v>71</v>
      </c>
      <c r="Z46" s="1">
        <f t="shared" si="46"/>
        <v>72</v>
      </c>
      <c r="AA46" s="1">
        <f t="shared" si="46"/>
        <v>74</v>
      </c>
      <c r="AB46" s="1">
        <f t="shared" si="46"/>
        <v>76</v>
      </c>
      <c r="AC46" s="1">
        <f t="shared" si="46"/>
        <v>78</v>
      </c>
      <c r="AD46" s="1">
        <f t="shared" si="46"/>
        <v>79</v>
      </c>
      <c r="AE46" s="1">
        <f t="shared" si="46"/>
        <v>80</v>
      </c>
      <c r="AF46" s="1">
        <f t="shared" si="46"/>
        <v>82</v>
      </c>
      <c r="AG46" s="1">
        <f t="shared" si="46"/>
        <v>84</v>
      </c>
      <c r="AH46" s="1">
        <f t="shared" si="46"/>
        <v>85</v>
      </c>
      <c r="AI46" s="1">
        <f t="shared" si="46"/>
        <v>86</v>
      </c>
      <c r="AJ46" s="1">
        <f t="shared" si="46"/>
        <v>88</v>
      </c>
      <c r="AK46" s="1">
        <f t="shared" si="46"/>
        <v>91</v>
      </c>
      <c r="AL46" s="1">
        <f t="shared" si="46"/>
        <v>94</v>
      </c>
      <c r="AM46" s="1">
        <f t="shared" si="46"/>
        <v>96</v>
      </c>
      <c r="AN46" s="1">
        <f t="shared" si="46"/>
        <v>97</v>
      </c>
      <c r="AO46" s="1">
        <f t="shared" si="46"/>
        <v>100</v>
      </c>
      <c r="AP46" s="1">
        <f t="shared" si="46"/>
        <v>106</v>
      </c>
      <c r="AR46" s="8">
        <f>COUNTIFS(score3pijlen,AP46)</f>
        <v>40</v>
      </c>
    </row>
    <row r="47">
      <c r="A47" s="2">
        <v>47.0</v>
      </c>
      <c r="B47" s="1">
        <f t="shared" si="2"/>
        <v>48</v>
      </c>
      <c r="C47" s="1">
        <f t="shared" ref="C47:AP47" si="47">C$1+$A47</f>
        <v>49</v>
      </c>
      <c r="D47" s="1">
        <f t="shared" si="47"/>
        <v>50</v>
      </c>
      <c r="E47" s="1">
        <f t="shared" si="47"/>
        <v>51</v>
      </c>
      <c r="F47" s="1">
        <f t="shared" si="47"/>
        <v>52</v>
      </c>
      <c r="G47" s="1">
        <f t="shared" si="47"/>
        <v>53</v>
      </c>
      <c r="H47" s="1">
        <f t="shared" si="47"/>
        <v>54</v>
      </c>
      <c r="I47" s="1">
        <f t="shared" si="47"/>
        <v>55</v>
      </c>
      <c r="J47" s="1">
        <f t="shared" si="47"/>
        <v>56</v>
      </c>
      <c r="K47" s="1">
        <f t="shared" si="47"/>
        <v>57</v>
      </c>
      <c r="L47" s="1">
        <f t="shared" si="47"/>
        <v>58</v>
      </c>
      <c r="M47" s="1">
        <f t="shared" si="47"/>
        <v>59</v>
      </c>
      <c r="N47" s="1">
        <f t="shared" si="47"/>
        <v>60</v>
      </c>
      <c r="O47" s="1">
        <f t="shared" si="47"/>
        <v>61</v>
      </c>
      <c r="P47" s="1">
        <f t="shared" si="47"/>
        <v>62</v>
      </c>
      <c r="Q47" s="1">
        <f t="shared" si="47"/>
        <v>63</v>
      </c>
      <c r="R47" s="1">
        <f t="shared" si="47"/>
        <v>64</v>
      </c>
      <c r="S47" s="1">
        <f t="shared" si="47"/>
        <v>65</v>
      </c>
      <c r="T47" s="1">
        <f t="shared" si="47"/>
        <v>66</v>
      </c>
      <c r="U47" s="1">
        <f t="shared" si="47"/>
        <v>67</v>
      </c>
      <c r="V47" s="1">
        <f t="shared" si="47"/>
        <v>68</v>
      </c>
      <c r="W47" s="1">
        <f t="shared" si="47"/>
        <v>69</v>
      </c>
      <c r="X47" s="1">
        <f t="shared" si="47"/>
        <v>71</v>
      </c>
      <c r="Y47" s="1">
        <f t="shared" si="47"/>
        <v>72</v>
      </c>
      <c r="Z47" s="1">
        <f t="shared" si="47"/>
        <v>73</v>
      </c>
      <c r="AA47" s="1">
        <f t="shared" si="47"/>
        <v>75</v>
      </c>
      <c r="AB47" s="1">
        <f t="shared" si="47"/>
        <v>77</v>
      </c>
      <c r="AC47" s="1">
        <f t="shared" si="47"/>
        <v>79</v>
      </c>
      <c r="AD47" s="1">
        <f t="shared" si="47"/>
        <v>80</v>
      </c>
      <c r="AE47" s="1">
        <f t="shared" si="47"/>
        <v>81</v>
      </c>
      <c r="AF47" s="1">
        <f t="shared" si="47"/>
        <v>83</v>
      </c>
      <c r="AG47" s="1">
        <f t="shared" si="47"/>
        <v>85</v>
      </c>
      <c r="AH47" s="1">
        <f t="shared" si="47"/>
        <v>86</v>
      </c>
      <c r="AI47" s="1">
        <f t="shared" si="47"/>
        <v>87</v>
      </c>
      <c r="AJ47" s="1">
        <f t="shared" si="47"/>
        <v>89</v>
      </c>
      <c r="AK47" s="1">
        <f t="shared" si="47"/>
        <v>92</v>
      </c>
      <c r="AL47" s="1">
        <f t="shared" si="47"/>
        <v>95</v>
      </c>
      <c r="AM47" s="1">
        <f t="shared" si="47"/>
        <v>97</v>
      </c>
      <c r="AN47" s="1">
        <f t="shared" si="47"/>
        <v>98</v>
      </c>
      <c r="AO47" s="1">
        <f t="shared" si="47"/>
        <v>101</v>
      </c>
      <c r="AP47" s="1">
        <f t="shared" si="47"/>
        <v>107</v>
      </c>
      <c r="AR47" s="8">
        <f>COUNTIFS(score3pijlen,AP47)</f>
        <v>39</v>
      </c>
    </row>
    <row r="48">
      <c r="A48" s="2">
        <v>48.0</v>
      </c>
      <c r="B48" s="1">
        <f t="shared" si="2"/>
        <v>49</v>
      </c>
      <c r="C48" s="1">
        <f t="shared" ref="C48:AP48" si="48">C$1+$A48</f>
        <v>50</v>
      </c>
      <c r="D48" s="1">
        <f t="shared" si="48"/>
        <v>51</v>
      </c>
      <c r="E48" s="1">
        <f t="shared" si="48"/>
        <v>52</v>
      </c>
      <c r="F48" s="1">
        <f t="shared" si="48"/>
        <v>53</v>
      </c>
      <c r="G48" s="1">
        <f t="shared" si="48"/>
        <v>54</v>
      </c>
      <c r="H48" s="1">
        <f t="shared" si="48"/>
        <v>55</v>
      </c>
      <c r="I48" s="1">
        <f t="shared" si="48"/>
        <v>56</v>
      </c>
      <c r="J48" s="1">
        <f t="shared" si="48"/>
        <v>57</v>
      </c>
      <c r="K48" s="1">
        <f t="shared" si="48"/>
        <v>58</v>
      </c>
      <c r="L48" s="1">
        <f t="shared" si="48"/>
        <v>59</v>
      </c>
      <c r="M48" s="1">
        <f t="shared" si="48"/>
        <v>60</v>
      </c>
      <c r="N48" s="1">
        <f t="shared" si="48"/>
        <v>61</v>
      </c>
      <c r="O48" s="1">
        <f t="shared" si="48"/>
        <v>62</v>
      </c>
      <c r="P48" s="1">
        <f t="shared" si="48"/>
        <v>63</v>
      </c>
      <c r="Q48" s="1">
        <f t="shared" si="48"/>
        <v>64</v>
      </c>
      <c r="R48" s="1">
        <f t="shared" si="48"/>
        <v>65</v>
      </c>
      <c r="S48" s="1">
        <f t="shared" si="48"/>
        <v>66</v>
      </c>
      <c r="T48" s="1">
        <f t="shared" si="48"/>
        <v>67</v>
      </c>
      <c r="U48" s="1">
        <f t="shared" si="48"/>
        <v>68</v>
      </c>
      <c r="V48" s="1">
        <f t="shared" si="48"/>
        <v>69</v>
      </c>
      <c r="W48" s="1">
        <f t="shared" si="48"/>
        <v>70</v>
      </c>
      <c r="X48" s="1">
        <f t="shared" si="48"/>
        <v>72</v>
      </c>
      <c r="Y48" s="1">
        <f t="shared" si="48"/>
        <v>73</v>
      </c>
      <c r="Z48" s="1">
        <f t="shared" si="48"/>
        <v>74</v>
      </c>
      <c r="AA48" s="1">
        <f t="shared" si="48"/>
        <v>76</v>
      </c>
      <c r="AB48" s="1">
        <f t="shared" si="48"/>
        <v>78</v>
      </c>
      <c r="AC48" s="1">
        <f t="shared" si="48"/>
        <v>80</v>
      </c>
      <c r="AD48" s="1">
        <f t="shared" si="48"/>
        <v>81</v>
      </c>
      <c r="AE48" s="1">
        <f t="shared" si="48"/>
        <v>82</v>
      </c>
      <c r="AF48" s="1">
        <f t="shared" si="48"/>
        <v>84</v>
      </c>
      <c r="AG48" s="1">
        <f t="shared" si="48"/>
        <v>86</v>
      </c>
      <c r="AH48" s="1">
        <f t="shared" si="48"/>
        <v>87</v>
      </c>
      <c r="AI48" s="1">
        <f t="shared" si="48"/>
        <v>88</v>
      </c>
      <c r="AJ48" s="1">
        <f t="shared" si="48"/>
        <v>90</v>
      </c>
      <c r="AK48" s="1">
        <f t="shared" si="48"/>
        <v>93</v>
      </c>
      <c r="AL48" s="1">
        <f t="shared" si="48"/>
        <v>96</v>
      </c>
      <c r="AM48" s="1">
        <f t="shared" si="48"/>
        <v>98</v>
      </c>
      <c r="AN48" s="1">
        <f t="shared" si="48"/>
        <v>99</v>
      </c>
      <c r="AO48" s="1">
        <f t="shared" si="48"/>
        <v>102</v>
      </c>
      <c r="AP48" s="1">
        <f t="shared" si="48"/>
        <v>108</v>
      </c>
      <c r="AR48" s="8">
        <f>COUNTIFS(score3pijlen,AP48)</f>
        <v>39</v>
      </c>
    </row>
    <row r="49">
      <c r="A49" s="2">
        <v>49.0</v>
      </c>
      <c r="B49" s="1">
        <f t="shared" si="2"/>
        <v>50</v>
      </c>
      <c r="C49" s="1">
        <f t="shared" ref="C49:AP49" si="49">C$1+$A49</f>
        <v>51</v>
      </c>
      <c r="D49" s="1">
        <f t="shared" si="49"/>
        <v>52</v>
      </c>
      <c r="E49" s="1">
        <f t="shared" si="49"/>
        <v>53</v>
      </c>
      <c r="F49" s="1">
        <f t="shared" si="49"/>
        <v>54</v>
      </c>
      <c r="G49" s="1">
        <f t="shared" si="49"/>
        <v>55</v>
      </c>
      <c r="H49" s="1">
        <f t="shared" si="49"/>
        <v>56</v>
      </c>
      <c r="I49" s="1">
        <f t="shared" si="49"/>
        <v>57</v>
      </c>
      <c r="J49" s="1">
        <f t="shared" si="49"/>
        <v>58</v>
      </c>
      <c r="K49" s="1">
        <f t="shared" si="49"/>
        <v>59</v>
      </c>
      <c r="L49" s="1">
        <f t="shared" si="49"/>
        <v>60</v>
      </c>
      <c r="M49" s="1">
        <f t="shared" si="49"/>
        <v>61</v>
      </c>
      <c r="N49" s="1">
        <f t="shared" si="49"/>
        <v>62</v>
      </c>
      <c r="O49" s="1">
        <f t="shared" si="49"/>
        <v>63</v>
      </c>
      <c r="P49" s="1">
        <f t="shared" si="49"/>
        <v>64</v>
      </c>
      <c r="Q49" s="1">
        <f t="shared" si="49"/>
        <v>65</v>
      </c>
      <c r="R49" s="1">
        <f t="shared" si="49"/>
        <v>66</v>
      </c>
      <c r="S49" s="1">
        <f t="shared" si="49"/>
        <v>67</v>
      </c>
      <c r="T49" s="1">
        <f t="shared" si="49"/>
        <v>68</v>
      </c>
      <c r="U49" s="1">
        <f t="shared" si="49"/>
        <v>69</v>
      </c>
      <c r="V49" s="1">
        <f t="shared" si="49"/>
        <v>70</v>
      </c>
      <c r="W49" s="1">
        <f t="shared" si="49"/>
        <v>71</v>
      </c>
      <c r="X49" s="1">
        <f t="shared" si="49"/>
        <v>73</v>
      </c>
      <c r="Y49" s="1">
        <f t="shared" si="49"/>
        <v>74</v>
      </c>
      <c r="Z49" s="1">
        <f t="shared" si="49"/>
        <v>75</v>
      </c>
      <c r="AA49" s="1">
        <f t="shared" si="49"/>
        <v>77</v>
      </c>
      <c r="AB49" s="1">
        <f t="shared" si="49"/>
        <v>79</v>
      </c>
      <c r="AC49" s="1">
        <f t="shared" si="49"/>
        <v>81</v>
      </c>
      <c r="AD49" s="1">
        <f t="shared" si="49"/>
        <v>82</v>
      </c>
      <c r="AE49" s="1">
        <f t="shared" si="49"/>
        <v>83</v>
      </c>
      <c r="AF49" s="1">
        <f t="shared" si="49"/>
        <v>85</v>
      </c>
      <c r="AG49" s="1">
        <f t="shared" si="49"/>
        <v>87</v>
      </c>
      <c r="AH49" s="1">
        <f t="shared" si="49"/>
        <v>88</v>
      </c>
      <c r="AI49" s="1">
        <f t="shared" si="49"/>
        <v>89</v>
      </c>
      <c r="AJ49" s="1">
        <f t="shared" si="49"/>
        <v>91</v>
      </c>
      <c r="AK49" s="1">
        <f t="shared" si="49"/>
        <v>94</v>
      </c>
      <c r="AL49" s="1">
        <f t="shared" si="49"/>
        <v>97</v>
      </c>
      <c r="AM49" s="1">
        <f t="shared" si="49"/>
        <v>99</v>
      </c>
      <c r="AN49" s="1">
        <f t="shared" si="49"/>
        <v>100</v>
      </c>
      <c r="AO49" s="1">
        <f t="shared" si="49"/>
        <v>103</v>
      </c>
      <c r="AP49" s="1">
        <f t="shared" si="49"/>
        <v>109</v>
      </c>
      <c r="AR49" s="8">
        <f>COUNTIFS(score3pijlen,AP49)</f>
        <v>39</v>
      </c>
    </row>
    <row r="50">
      <c r="A50" s="2">
        <v>50.0</v>
      </c>
      <c r="B50" s="1">
        <f t="shared" si="2"/>
        <v>51</v>
      </c>
      <c r="C50" s="1">
        <f t="shared" ref="C50:AP50" si="50">C$1+$A50</f>
        <v>52</v>
      </c>
      <c r="D50" s="1">
        <f t="shared" si="50"/>
        <v>53</v>
      </c>
      <c r="E50" s="1">
        <f t="shared" si="50"/>
        <v>54</v>
      </c>
      <c r="F50" s="1">
        <f t="shared" si="50"/>
        <v>55</v>
      </c>
      <c r="G50" s="1">
        <f t="shared" si="50"/>
        <v>56</v>
      </c>
      <c r="H50" s="1">
        <f t="shared" si="50"/>
        <v>57</v>
      </c>
      <c r="I50" s="1">
        <f t="shared" si="50"/>
        <v>58</v>
      </c>
      <c r="J50" s="1">
        <f t="shared" si="50"/>
        <v>59</v>
      </c>
      <c r="K50" s="1">
        <f t="shared" si="50"/>
        <v>60</v>
      </c>
      <c r="L50" s="1">
        <f t="shared" si="50"/>
        <v>61</v>
      </c>
      <c r="M50" s="1">
        <f t="shared" si="50"/>
        <v>62</v>
      </c>
      <c r="N50" s="1">
        <f t="shared" si="50"/>
        <v>63</v>
      </c>
      <c r="O50" s="1">
        <f t="shared" si="50"/>
        <v>64</v>
      </c>
      <c r="P50" s="1">
        <f t="shared" si="50"/>
        <v>65</v>
      </c>
      <c r="Q50" s="1">
        <f t="shared" si="50"/>
        <v>66</v>
      </c>
      <c r="R50" s="1">
        <f t="shared" si="50"/>
        <v>67</v>
      </c>
      <c r="S50" s="1">
        <f t="shared" si="50"/>
        <v>68</v>
      </c>
      <c r="T50" s="1">
        <f t="shared" si="50"/>
        <v>69</v>
      </c>
      <c r="U50" s="1">
        <f t="shared" si="50"/>
        <v>70</v>
      </c>
      <c r="V50" s="1">
        <f t="shared" si="50"/>
        <v>71</v>
      </c>
      <c r="W50" s="1">
        <f t="shared" si="50"/>
        <v>72</v>
      </c>
      <c r="X50" s="1">
        <f t="shared" si="50"/>
        <v>74</v>
      </c>
      <c r="Y50" s="1">
        <f t="shared" si="50"/>
        <v>75</v>
      </c>
      <c r="Z50" s="1">
        <f t="shared" si="50"/>
        <v>76</v>
      </c>
      <c r="AA50" s="1">
        <f t="shared" si="50"/>
        <v>78</v>
      </c>
      <c r="AB50" s="1">
        <f t="shared" si="50"/>
        <v>80</v>
      </c>
      <c r="AC50" s="1">
        <f t="shared" si="50"/>
        <v>82</v>
      </c>
      <c r="AD50" s="1">
        <f t="shared" si="50"/>
        <v>83</v>
      </c>
      <c r="AE50" s="1">
        <f t="shared" si="50"/>
        <v>84</v>
      </c>
      <c r="AF50" s="1">
        <f t="shared" si="50"/>
        <v>86</v>
      </c>
      <c r="AG50" s="1">
        <f t="shared" si="50"/>
        <v>88</v>
      </c>
      <c r="AH50" s="1">
        <f t="shared" si="50"/>
        <v>89</v>
      </c>
      <c r="AI50" s="1">
        <f t="shared" si="50"/>
        <v>90</v>
      </c>
      <c r="AJ50" s="1">
        <f t="shared" si="50"/>
        <v>92</v>
      </c>
      <c r="AK50" s="1">
        <f t="shared" si="50"/>
        <v>95</v>
      </c>
      <c r="AL50" s="1">
        <f t="shared" si="50"/>
        <v>98</v>
      </c>
      <c r="AM50" s="1">
        <f t="shared" si="50"/>
        <v>100</v>
      </c>
      <c r="AN50" s="1">
        <f t="shared" si="50"/>
        <v>101</v>
      </c>
      <c r="AO50" s="1">
        <f t="shared" si="50"/>
        <v>104</v>
      </c>
      <c r="AP50" s="1">
        <f t="shared" si="50"/>
        <v>110</v>
      </c>
      <c r="AR50" s="8">
        <f>COUNTIFS(score3pijlen,AP50)</f>
        <v>38</v>
      </c>
    </row>
    <row r="51">
      <c r="A51" s="2">
        <v>51.0</v>
      </c>
      <c r="B51" s="1">
        <f t="shared" si="2"/>
        <v>52</v>
      </c>
      <c r="C51" s="1">
        <f t="shared" ref="C51:AP51" si="51">C$1+$A51</f>
        <v>53</v>
      </c>
      <c r="D51" s="1">
        <f t="shared" si="51"/>
        <v>54</v>
      </c>
      <c r="E51" s="1">
        <f t="shared" si="51"/>
        <v>55</v>
      </c>
      <c r="F51" s="1">
        <f t="shared" si="51"/>
        <v>56</v>
      </c>
      <c r="G51" s="1">
        <f t="shared" si="51"/>
        <v>57</v>
      </c>
      <c r="H51" s="1">
        <f t="shared" si="51"/>
        <v>58</v>
      </c>
      <c r="I51" s="1">
        <f t="shared" si="51"/>
        <v>59</v>
      </c>
      <c r="J51" s="1">
        <f t="shared" si="51"/>
        <v>60</v>
      </c>
      <c r="K51" s="1">
        <f t="shared" si="51"/>
        <v>61</v>
      </c>
      <c r="L51" s="1">
        <f t="shared" si="51"/>
        <v>62</v>
      </c>
      <c r="M51" s="1">
        <f t="shared" si="51"/>
        <v>63</v>
      </c>
      <c r="N51" s="1">
        <f t="shared" si="51"/>
        <v>64</v>
      </c>
      <c r="O51" s="1">
        <f t="shared" si="51"/>
        <v>65</v>
      </c>
      <c r="P51" s="1">
        <f t="shared" si="51"/>
        <v>66</v>
      </c>
      <c r="Q51" s="1">
        <f t="shared" si="51"/>
        <v>67</v>
      </c>
      <c r="R51" s="1">
        <f t="shared" si="51"/>
        <v>68</v>
      </c>
      <c r="S51" s="1">
        <f t="shared" si="51"/>
        <v>69</v>
      </c>
      <c r="T51" s="1">
        <f t="shared" si="51"/>
        <v>70</v>
      </c>
      <c r="U51" s="1">
        <f t="shared" si="51"/>
        <v>71</v>
      </c>
      <c r="V51" s="1">
        <f t="shared" si="51"/>
        <v>72</v>
      </c>
      <c r="W51" s="1">
        <f t="shared" si="51"/>
        <v>73</v>
      </c>
      <c r="X51" s="1">
        <f t="shared" si="51"/>
        <v>75</v>
      </c>
      <c r="Y51" s="1">
        <f t="shared" si="51"/>
        <v>76</v>
      </c>
      <c r="Z51" s="1">
        <f t="shared" si="51"/>
        <v>77</v>
      </c>
      <c r="AA51" s="1">
        <f t="shared" si="51"/>
        <v>79</v>
      </c>
      <c r="AB51" s="1">
        <f t="shared" si="51"/>
        <v>81</v>
      </c>
      <c r="AC51" s="1">
        <f t="shared" si="51"/>
        <v>83</v>
      </c>
      <c r="AD51" s="1">
        <f t="shared" si="51"/>
        <v>84</v>
      </c>
      <c r="AE51" s="1">
        <f t="shared" si="51"/>
        <v>85</v>
      </c>
      <c r="AF51" s="1">
        <f t="shared" si="51"/>
        <v>87</v>
      </c>
      <c r="AG51" s="1">
        <f t="shared" si="51"/>
        <v>89</v>
      </c>
      <c r="AH51" s="1">
        <f t="shared" si="51"/>
        <v>90</v>
      </c>
      <c r="AI51" s="1">
        <f t="shared" si="51"/>
        <v>91</v>
      </c>
      <c r="AJ51" s="1">
        <f t="shared" si="51"/>
        <v>93</v>
      </c>
      <c r="AK51" s="1">
        <f t="shared" si="51"/>
        <v>96</v>
      </c>
      <c r="AL51" s="1">
        <f t="shared" si="51"/>
        <v>99</v>
      </c>
      <c r="AM51" s="1">
        <f t="shared" si="51"/>
        <v>101</v>
      </c>
      <c r="AN51" s="1">
        <f t="shared" si="51"/>
        <v>102</v>
      </c>
      <c r="AO51" s="1">
        <f t="shared" si="51"/>
        <v>105</v>
      </c>
      <c r="AP51" s="1">
        <f t="shared" si="51"/>
        <v>111</v>
      </c>
      <c r="AR51" s="8">
        <f>COUNTIFS(score3pijlen,AP51)</f>
        <v>38</v>
      </c>
    </row>
    <row r="52">
      <c r="A52" s="2">
        <v>52.0</v>
      </c>
      <c r="B52" s="1">
        <f t="shared" si="2"/>
        <v>53</v>
      </c>
      <c r="C52" s="1">
        <f t="shared" ref="C52:AP52" si="52">C$1+$A52</f>
        <v>54</v>
      </c>
      <c r="D52" s="1">
        <f t="shared" si="52"/>
        <v>55</v>
      </c>
      <c r="E52" s="1">
        <f t="shared" si="52"/>
        <v>56</v>
      </c>
      <c r="F52" s="1">
        <f t="shared" si="52"/>
        <v>57</v>
      </c>
      <c r="G52" s="1">
        <f t="shared" si="52"/>
        <v>58</v>
      </c>
      <c r="H52" s="1">
        <f t="shared" si="52"/>
        <v>59</v>
      </c>
      <c r="I52" s="1">
        <f t="shared" si="52"/>
        <v>60</v>
      </c>
      <c r="J52" s="1">
        <f t="shared" si="52"/>
        <v>61</v>
      </c>
      <c r="K52" s="1">
        <f t="shared" si="52"/>
        <v>62</v>
      </c>
      <c r="L52" s="1">
        <f t="shared" si="52"/>
        <v>63</v>
      </c>
      <c r="M52" s="1">
        <f t="shared" si="52"/>
        <v>64</v>
      </c>
      <c r="N52" s="1">
        <f t="shared" si="52"/>
        <v>65</v>
      </c>
      <c r="O52" s="1">
        <f t="shared" si="52"/>
        <v>66</v>
      </c>
      <c r="P52" s="1">
        <f t="shared" si="52"/>
        <v>67</v>
      </c>
      <c r="Q52" s="1">
        <f t="shared" si="52"/>
        <v>68</v>
      </c>
      <c r="R52" s="1">
        <f t="shared" si="52"/>
        <v>69</v>
      </c>
      <c r="S52" s="1">
        <f t="shared" si="52"/>
        <v>70</v>
      </c>
      <c r="T52" s="1">
        <f t="shared" si="52"/>
        <v>71</v>
      </c>
      <c r="U52" s="1">
        <f t="shared" si="52"/>
        <v>72</v>
      </c>
      <c r="V52" s="1">
        <f t="shared" si="52"/>
        <v>73</v>
      </c>
      <c r="W52" s="1">
        <f t="shared" si="52"/>
        <v>74</v>
      </c>
      <c r="X52" s="1">
        <f t="shared" si="52"/>
        <v>76</v>
      </c>
      <c r="Y52" s="1">
        <f t="shared" si="52"/>
        <v>77</v>
      </c>
      <c r="Z52" s="1">
        <f t="shared" si="52"/>
        <v>78</v>
      </c>
      <c r="AA52" s="1">
        <f t="shared" si="52"/>
        <v>80</v>
      </c>
      <c r="AB52" s="1">
        <f t="shared" si="52"/>
        <v>82</v>
      </c>
      <c r="AC52" s="1">
        <f t="shared" si="52"/>
        <v>84</v>
      </c>
      <c r="AD52" s="1">
        <f t="shared" si="52"/>
        <v>85</v>
      </c>
      <c r="AE52" s="1">
        <f t="shared" si="52"/>
        <v>86</v>
      </c>
      <c r="AF52" s="1">
        <f t="shared" si="52"/>
        <v>88</v>
      </c>
      <c r="AG52" s="1">
        <f t="shared" si="52"/>
        <v>90</v>
      </c>
      <c r="AH52" s="1">
        <f t="shared" si="52"/>
        <v>91</v>
      </c>
      <c r="AI52" s="1">
        <f t="shared" si="52"/>
        <v>92</v>
      </c>
      <c r="AJ52" s="1">
        <f t="shared" si="52"/>
        <v>94</v>
      </c>
      <c r="AK52" s="1">
        <f t="shared" si="52"/>
        <v>97</v>
      </c>
      <c r="AL52" s="1">
        <f t="shared" si="52"/>
        <v>100</v>
      </c>
      <c r="AM52" s="1">
        <f t="shared" si="52"/>
        <v>102</v>
      </c>
      <c r="AN52" s="1">
        <f t="shared" si="52"/>
        <v>103</v>
      </c>
      <c r="AO52" s="1">
        <f t="shared" si="52"/>
        <v>106</v>
      </c>
      <c r="AP52" s="1">
        <f t="shared" si="52"/>
        <v>112</v>
      </c>
      <c r="AR52" s="8">
        <f>COUNTIFS(score3pijlen,AP52)</f>
        <v>38</v>
      </c>
    </row>
    <row r="53">
      <c r="A53" s="2">
        <v>53.0</v>
      </c>
      <c r="B53" s="1">
        <f t="shared" si="2"/>
        <v>54</v>
      </c>
      <c r="C53" s="1">
        <f t="shared" ref="C53:AP53" si="53">C$1+$A53</f>
        <v>55</v>
      </c>
      <c r="D53" s="1">
        <f t="shared" si="53"/>
        <v>56</v>
      </c>
      <c r="E53" s="1">
        <f t="shared" si="53"/>
        <v>57</v>
      </c>
      <c r="F53" s="1">
        <f t="shared" si="53"/>
        <v>58</v>
      </c>
      <c r="G53" s="1">
        <f t="shared" si="53"/>
        <v>59</v>
      </c>
      <c r="H53" s="1">
        <f t="shared" si="53"/>
        <v>60</v>
      </c>
      <c r="I53" s="1">
        <f t="shared" si="53"/>
        <v>61</v>
      </c>
      <c r="J53" s="1">
        <f t="shared" si="53"/>
        <v>62</v>
      </c>
      <c r="K53" s="1">
        <f t="shared" si="53"/>
        <v>63</v>
      </c>
      <c r="L53" s="1">
        <f t="shared" si="53"/>
        <v>64</v>
      </c>
      <c r="M53" s="1">
        <f t="shared" si="53"/>
        <v>65</v>
      </c>
      <c r="N53" s="1">
        <f t="shared" si="53"/>
        <v>66</v>
      </c>
      <c r="O53" s="1">
        <f t="shared" si="53"/>
        <v>67</v>
      </c>
      <c r="P53" s="1">
        <f t="shared" si="53"/>
        <v>68</v>
      </c>
      <c r="Q53" s="1">
        <f t="shared" si="53"/>
        <v>69</v>
      </c>
      <c r="R53" s="1">
        <f t="shared" si="53"/>
        <v>70</v>
      </c>
      <c r="S53" s="1">
        <f t="shared" si="53"/>
        <v>71</v>
      </c>
      <c r="T53" s="1">
        <f t="shared" si="53"/>
        <v>72</v>
      </c>
      <c r="U53" s="1">
        <f t="shared" si="53"/>
        <v>73</v>
      </c>
      <c r="V53" s="1">
        <f t="shared" si="53"/>
        <v>74</v>
      </c>
      <c r="W53" s="1">
        <f t="shared" si="53"/>
        <v>75</v>
      </c>
      <c r="X53" s="1">
        <f t="shared" si="53"/>
        <v>77</v>
      </c>
      <c r="Y53" s="1">
        <f t="shared" si="53"/>
        <v>78</v>
      </c>
      <c r="Z53" s="1">
        <f t="shared" si="53"/>
        <v>79</v>
      </c>
      <c r="AA53" s="1">
        <f t="shared" si="53"/>
        <v>81</v>
      </c>
      <c r="AB53" s="1">
        <f t="shared" si="53"/>
        <v>83</v>
      </c>
      <c r="AC53" s="1">
        <f t="shared" si="53"/>
        <v>85</v>
      </c>
      <c r="AD53" s="1">
        <f t="shared" si="53"/>
        <v>86</v>
      </c>
      <c r="AE53" s="1">
        <f t="shared" si="53"/>
        <v>87</v>
      </c>
      <c r="AF53" s="1">
        <f t="shared" si="53"/>
        <v>89</v>
      </c>
      <c r="AG53" s="1">
        <f t="shared" si="53"/>
        <v>91</v>
      </c>
      <c r="AH53" s="1">
        <f t="shared" si="53"/>
        <v>92</v>
      </c>
      <c r="AI53" s="1">
        <f t="shared" si="53"/>
        <v>93</v>
      </c>
      <c r="AJ53" s="1">
        <f t="shared" si="53"/>
        <v>95</v>
      </c>
      <c r="AK53" s="1">
        <f t="shared" si="53"/>
        <v>98</v>
      </c>
      <c r="AL53" s="1">
        <f t="shared" si="53"/>
        <v>101</v>
      </c>
      <c r="AM53" s="1">
        <f t="shared" si="53"/>
        <v>103</v>
      </c>
      <c r="AN53" s="1">
        <f t="shared" si="53"/>
        <v>104</v>
      </c>
      <c r="AO53" s="1">
        <f t="shared" si="53"/>
        <v>107</v>
      </c>
      <c r="AP53" s="1">
        <f t="shared" si="53"/>
        <v>113</v>
      </c>
      <c r="AR53" s="8">
        <f>COUNTIFS(score3pijlen,AP53)</f>
        <v>37</v>
      </c>
    </row>
    <row r="54">
      <c r="A54" s="2">
        <v>54.0</v>
      </c>
      <c r="B54" s="1">
        <f t="shared" si="2"/>
        <v>55</v>
      </c>
      <c r="C54" s="1">
        <f t="shared" ref="C54:AP54" si="54">C$1+$A54</f>
        <v>56</v>
      </c>
      <c r="D54" s="1">
        <f t="shared" si="54"/>
        <v>57</v>
      </c>
      <c r="E54" s="1">
        <f t="shared" si="54"/>
        <v>58</v>
      </c>
      <c r="F54" s="1">
        <f t="shared" si="54"/>
        <v>59</v>
      </c>
      <c r="G54" s="1">
        <f t="shared" si="54"/>
        <v>60</v>
      </c>
      <c r="H54" s="1">
        <f t="shared" si="54"/>
        <v>61</v>
      </c>
      <c r="I54" s="1">
        <f t="shared" si="54"/>
        <v>62</v>
      </c>
      <c r="J54" s="1">
        <f t="shared" si="54"/>
        <v>63</v>
      </c>
      <c r="K54" s="1">
        <f t="shared" si="54"/>
        <v>64</v>
      </c>
      <c r="L54" s="1">
        <f t="shared" si="54"/>
        <v>65</v>
      </c>
      <c r="M54" s="1">
        <f t="shared" si="54"/>
        <v>66</v>
      </c>
      <c r="N54" s="1">
        <f t="shared" si="54"/>
        <v>67</v>
      </c>
      <c r="O54" s="1">
        <f t="shared" si="54"/>
        <v>68</v>
      </c>
      <c r="P54" s="1">
        <f t="shared" si="54"/>
        <v>69</v>
      </c>
      <c r="Q54" s="1">
        <f t="shared" si="54"/>
        <v>70</v>
      </c>
      <c r="R54" s="1">
        <f t="shared" si="54"/>
        <v>71</v>
      </c>
      <c r="S54" s="1">
        <f t="shared" si="54"/>
        <v>72</v>
      </c>
      <c r="T54" s="1">
        <f t="shared" si="54"/>
        <v>73</v>
      </c>
      <c r="U54" s="1">
        <f t="shared" si="54"/>
        <v>74</v>
      </c>
      <c r="V54" s="1">
        <f t="shared" si="54"/>
        <v>75</v>
      </c>
      <c r="W54" s="1">
        <f t="shared" si="54"/>
        <v>76</v>
      </c>
      <c r="X54" s="1">
        <f t="shared" si="54"/>
        <v>78</v>
      </c>
      <c r="Y54" s="1">
        <f t="shared" si="54"/>
        <v>79</v>
      </c>
      <c r="Z54" s="1">
        <f t="shared" si="54"/>
        <v>80</v>
      </c>
      <c r="AA54" s="1">
        <f t="shared" si="54"/>
        <v>82</v>
      </c>
      <c r="AB54" s="1">
        <f t="shared" si="54"/>
        <v>84</v>
      </c>
      <c r="AC54" s="1">
        <f t="shared" si="54"/>
        <v>86</v>
      </c>
      <c r="AD54" s="1">
        <f t="shared" si="54"/>
        <v>87</v>
      </c>
      <c r="AE54" s="1">
        <f t="shared" si="54"/>
        <v>88</v>
      </c>
      <c r="AF54" s="1">
        <f t="shared" si="54"/>
        <v>90</v>
      </c>
      <c r="AG54" s="1">
        <f t="shared" si="54"/>
        <v>92</v>
      </c>
      <c r="AH54" s="1">
        <f t="shared" si="54"/>
        <v>93</v>
      </c>
      <c r="AI54" s="1">
        <f t="shared" si="54"/>
        <v>94</v>
      </c>
      <c r="AJ54" s="1">
        <f t="shared" si="54"/>
        <v>96</v>
      </c>
      <c r="AK54" s="1">
        <f t="shared" si="54"/>
        <v>99</v>
      </c>
      <c r="AL54" s="1">
        <f t="shared" si="54"/>
        <v>102</v>
      </c>
      <c r="AM54" s="1">
        <f t="shared" si="54"/>
        <v>104</v>
      </c>
      <c r="AN54" s="1">
        <f t="shared" si="54"/>
        <v>105</v>
      </c>
      <c r="AO54" s="1">
        <f t="shared" si="54"/>
        <v>108</v>
      </c>
      <c r="AP54" s="1">
        <f t="shared" si="54"/>
        <v>114</v>
      </c>
      <c r="AR54" s="8">
        <f>COUNTIFS(score3pijlen,AP54)</f>
        <v>36</v>
      </c>
    </row>
    <row r="55">
      <c r="A55" s="2">
        <v>55.0</v>
      </c>
      <c r="B55" s="1">
        <f t="shared" si="2"/>
        <v>56</v>
      </c>
      <c r="C55" s="1">
        <f t="shared" ref="C55:AP55" si="55">C$1+$A55</f>
        <v>57</v>
      </c>
      <c r="D55" s="1">
        <f t="shared" si="55"/>
        <v>58</v>
      </c>
      <c r="E55" s="1">
        <f t="shared" si="55"/>
        <v>59</v>
      </c>
      <c r="F55" s="1">
        <f t="shared" si="55"/>
        <v>60</v>
      </c>
      <c r="G55" s="1">
        <f t="shared" si="55"/>
        <v>61</v>
      </c>
      <c r="H55" s="1">
        <f t="shared" si="55"/>
        <v>62</v>
      </c>
      <c r="I55" s="1">
        <f t="shared" si="55"/>
        <v>63</v>
      </c>
      <c r="J55" s="1">
        <f t="shared" si="55"/>
        <v>64</v>
      </c>
      <c r="K55" s="1">
        <f t="shared" si="55"/>
        <v>65</v>
      </c>
      <c r="L55" s="1">
        <f t="shared" si="55"/>
        <v>66</v>
      </c>
      <c r="M55" s="1">
        <f t="shared" si="55"/>
        <v>67</v>
      </c>
      <c r="N55" s="1">
        <f t="shared" si="55"/>
        <v>68</v>
      </c>
      <c r="O55" s="1">
        <f t="shared" si="55"/>
        <v>69</v>
      </c>
      <c r="P55" s="1">
        <f t="shared" si="55"/>
        <v>70</v>
      </c>
      <c r="Q55" s="1">
        <f t="shared" si="55"/>
        <v>71</v>
      </c>
      <c r="R55" s="1">
        <f t="shared" si="55"/>
        <v>72</v>
      </c>
      <c r="S55" s="1">
        <f t="shared" si="55"/>
        <v>73</v>
      </c>
      <c r="T55" s="1">
        <f t="shared" si="55"/>
        <v>74</v>
      </c>
      <c r="U55" s="1">
        <f t="shared" si="55"/>
        <v>75</v>
      </c>
      <c r="V55" s="1">
        <f t="shared" si="55"/>
        <v>76</v>
      </c>
      <c r="W55" s="1">
        <f t="shared" si="55"/>
        <v>77</v>
      </c>
      <c r="X55" s="1">
        <f t="shared" si="55"/>
        <v>79</v>
      </c>
      <c r="Y55" s="1">
        <f t="shared" si="55"/>
        <v>80</v>
      </c>
      <c r="Z55" s="1">
        <f t="shared" si="55"/>
        <v>81</v>
      </c>
      <c r="AA55" s="1">
        <f t="shared" si="55"/>
        <v>83</v>
      </c>
      <c r="AB55" s="1">
        <f t="shared" si="55"/>
        <v>85</v>
      </c>
      <c r="AC55" s="1">
        <f t="shared" si="55"/>
        <v>87</v>
      </c>
      <c r="AD55" s="1">
        <f t="shared" si="55"/>
        <v>88</v>
      </c>
      <c r="AE55" s="1">
        <f t="shared" si="55"/>
        <v>89</v>
      </c>
      <c r="AF55" s="1">
        <f t="shared" si="55"/>
        <v>91</v>
      </c>
      <c r="AG55" s="1">
        <f t="shared" si="55"/>
        <v>93</v>
      </c>
      <c r="AH55" s="1">
        <f t="shared" si="55"/>
        <v>94</v>
      </c>
      <c r="AI55" s="1">
        <f t="shared" si="55"/>
        <v>95</v>
      </c>
      <c r="AJ55" s="1">
        <f t="shared" si="55"/>
        <v>97</v>
      </c>
      <c r="AK55" s="1">
        <f t="shared" si="55"/>
        <v>100</v>
      </c>
      <c r="AL55" s="1">
        <f t="shared" si="55"/>
        <v>103</v>
      </c>
      <c r="AM55" s="1">
        <f t="shared" si="55"/>
        <v>105</v>
      </c>
      <c r="AN55" s="1">
        <f t="shared" si="55"/>
        <v>106</v>
      </c>
      <c r="AO55" s="1">
        <f t="shared" si="55"/>
        <v>109</v>
      </c>
      <c r="AP55" s="1">
        <f t="shared" si="55"/>
        <v>115</v>
      </c>
      <c r="AR55" s="8">
        <f>COUNTIFS(score3pijlen,AP55)</f>
        <v>36</v>
      </c>
    </row>
    <row r="56">
      <c r="A56" s="2">
        <v>56.0</v>
      </c>
      <c r="B56" s="1">
        <f t="shared" si="2"/>
        <v>57</v>
      </c>
      <c r="C56" s="1">
        <f t="shared" ref="C56:AP56" si="56">C$1+$A56</f>
        <v>58</v>
      </c>
      <c r="D56" s="1">
        <f t="shared" si="56"/>
        <v>59</v>
      </c>
      <c r="E56" s="1">
        <f t="shared" si="56"/>
        <v>60</v>
      </c>
      <c r="F56" s="1">
        <f t="shared" si="56"/>
        <v>61</v>
      </c>
      <c r="G56" s="1">
        <f t="shared" si="56"/>
        <v>62</v>
      </c>
      <c r="H56" s="1">
        <f t="shared" si="56"/>
        <v>63</v>
      </c>
      <c r="I56" s="1">
        <f t="shared" si="56"/>
        <v>64</v>
      </c>
      <c r="J56" s="1">
        <f t="shared" si="56"/>
        <v>65</v>
      </c>
      <c r="K56" s="1">
        <f t="shared" si="56"/>
        <v>66</v>
      </c>
      <c r="L56" s="1">
        <f t="shared" si="56"/>
        <v>67</v>
      </c>
      <c r="M56" s="1">
        <f t="shared" si="56"/>
        <v>68</v>
      </c>
      <c r="N56" s="1">
        <f t="shared" si="56"/>
        <v>69</v>
      </c>
      <c r="O56" s="1">
        <f t="shared" si="56"/>
        <v>70</v>
      </c>
      <c r="P56" s="1">
        <f t="shared" si="56"/>
        <v>71</v>
      </c>
      <c r="Q56" s="1">
        <f t="shared" si="56"/>
        <v>72</v>
      </c>
      <c r="R56" s="1">
        <f t="shared" si="56"/>
        <v>73</v>
      </c>
      <c r="S56" s="1">
        <f t="shared" si="56"/>
        <v>74</v>
      </c>
      <c r="T56" s="1">
        <f t="shared" si="56"/>
        <v>75</v>
      </c>
      <c r="U56" s="1">
        <f t="shared" si="56"/>
        <v>76</v>
      </c>
      <c r="V56" s="1">
        <f t="shared" si="56"/>
        <v>77</v>
      </c>
      <c r="W56" s="1">
        <f t="shared" si="56"/>
        <v>78</v>
      </c>
      <c r="X56" s="1">
        <f t="shared" si="56"/>
        <v>80</v>
      </c>
      <c r="Y56" s="1">
        <f t="shared" si="56"/>
        <v>81</v>
      </c>
      <c r="Z56" s="1">
        <f t="shared" si="56"/>
        <v>82</v>
      </c>
      <c r="AA56" s="1">
        <f t="shared" si="56"/>
        <v>84</v>
      </c>
      <c r="AB56" s="1">
        <f t="shared" si="56"/>
        <v>86</v>
      </c>
      <c r="AC56" s="1">
        <f t="shared" si="56"/>
        <v>88</v>
      </c>
      <c r="AD56" s="1">
        <f t="shared" si="56"/>
        <v>89</v>
      </c>
      <c r="AE56" s="1">
        <f t="shared" si="56"/>
        <v>90</v>
      </c>
      <c r="AF56" s="1">
        <f t="shared" si="56"/>
        <v>92</v>
      </c>
      <c r="AG56" s="1">
        <f t="shared" si="56"/>
        <v>94</v>
      </c>
      <c r="AH56" s="1">
        <f t="shared" si="56"/>
        <v>95</v>
      </c>
      <c r="AI56" s="1">
        <f t="shared" si="56"/>
        <v>96</v>
      </c>
      <c r="AJ56" s="1">
        <f t="shared" si="56"/>
        <v>98</v>
      </c>
      <c r="AK56" s="1">
        <f t="shared" si="56"/>
        <v>101</v>
      </c>
      <c r="AL56" s="1">
        <f t="shared" si="56"/>
        <v>104</v>
      </c>
      <c r="AM56" s="1">
        <f t="shared" si="56"/>
        <v>106</v>
      </c>
      <c r="AN56" s="1">
        <f t="shared" si="56"/>
        <v>107</v>
      </c>
      <c r="AO56" s="1">
        <f t="shared" si="56"/>
        <v>110</v>
      </c>
      <c r="AP56" s="1">
        <f t="shared" si="56"/>
        <v>116</v>
      </c>
      <c r="AR56" s="8">
        <f>COUNTIFS(score3pijlen,AP56)</f>
        <v>35</v>
      </c>
    </row>
    <row r="57">
      <c r="A57" s="2">
        <v>57.0</v>
      </c>
      <c r="B57" s="1">
        <f t="shared" si="2"/>
        <v>58</v>
      </c>
      <c r="C57" s="1">
        <f t="shared" ref="C57:AP57" si="57">C$1+$A57</f>
        <v>59</v>
      </c>
      <c r="D57" s="1">
        <f t="shared" si="57"/>
        <v>60</v>
      </c>
      <c r="E57" s="1">
        <f t="shared" si="57"/>
        <v>61</v>
      </c>
      <c r="F57" s="1">
        <f t="shared" si="57"/>
        <v>62</v>
      </c>
      <c r="G57" s="1">
        <f t="shared" si="57"/>
        <v>63</v>
      </c>
      <c r="H57" s="1">
        <f t="shared" si="57"/>
        <v>64</v>
      </c>
      <c r="I57" s="1">
        <f t="shared" si="57"/>
        <v>65</v>
      </c>
      <c r="J57" s="1">
        <f t="shared" si="57"/>
        <v>66</v>
      </c>
      <c r="K57" s="1">
        <f t="shared" si="57"/>
        <v>67</v>
      </c>
      <c r="L57" s="1">
        <f t="shared" si="57"/>
        <v>68</v>
      </c>
      <c r="M57" s="1">
        <f t="shared" si="57"/>
        <v>69</v>
      </c>
      <c r="N57" s="1">
        <f t="shared" si="57"/>
        <v>70</v>
      </c>
      <c r="O57" s="1">
        <f t="shared" si="57"/>
        <v>71</v>
      </c>
      <c r="P57" s="1">
        <f t="shared" si="57"/>
        <v>72</v>
      </c>
      <c r="Q57" s="1">
        <f t="shared" si="57"/>
        <v>73</v>
      </c>
      <c r="R57" s="1">
        <f t="shared" si="57"/>
        <v>74</v>
      </c>
      <c r="S57" s="1">
        <f t="shared" si="57"/>
        <v>75</v>
      </c>
      <c r="T57" s="1">
        <f t="shared" si="57"/>
        <v>76</v>
      </c>
      <c r="U57" s="1">
        <f t="shared" si="57"/>
        <v>77</v>
      </c>
      <c r="V57" s="1">
        <f t="shared" si="57"/>
        <v>78</v>
      </c>
      <c r="W57" s="1">
        <f t="shared" si="57"/>
        <v>79</v>
      </c>
      <c r="X57" s="1">
        <f t="shared" si="57"/>
        <v>81</v>
      </c>
      <c r="Y57" s="1">
        <f t="shared" si="57"/>
        <v>82</v>
      </c>
      <c r="Z57" s="1">
        <f t="shared" si="57"/>
        <v>83</v>
      </c>
      <c r="AA57" s="1">
        <f t="shared" si="57"/>
        <v>85</v>
      </c>
      <c r="AB57" s="1">
        <f t="shared" si="57"/>
        <v>87</v>
      </c>
      <c r="AC57" s="1">
        <f t="shared" si="57"/>
        <v>89</v>
      </c>
      <c r="AD57" s="1">
        <f t="shared" si="57"/>
        <v>90</v>
      </c>
      <c r="AE57" s="1">
        <f t="shared" si="57"/>
        <v>91</v>
      </c>
      <c r="AF57" s="1">
        <f t="shared" si="57"/>
        <v>93</v>
      </c>
      <c r="AG57" s="1">
        <f t="shared" si="57"/>
        <v>95</v>
      </c>
      <c r="AH57" s="1">
        <f t="shared" si="57"/>
        <v>96</v>
      </c>
      <c r="AI57" s="1">
        <f t="shared" si="57"/>
        <v>97</v>
      </c>
      <c r="AJ57" s="1">
        <f t="shared" si="57"/>
        <v>99</v>
      </c>
      <c r="AK57" s="1">
        <f t="shared" si="57"/>
        <v>102</v>
      </c>
      <c r="AL57" s="1">
        <f t="shared" si="57"/>
        <v>105</v>
      </c>
      <c r="AM57" s="1">
        <f t="shared" si="57"/>
        <v>107</v>
      </c>
      <c r="AN57" s="1">
        <f t="shared" si="57"/>
        <v>108</v>
      </c>
      <c r="AO57" s="1">
        <f t="shared" si="57"/>
        <v>111</v>
      </c>
      <c r="AP57" s="1">
        <f t="shared" si="57"/>
        <v>117</v>
      </c>
      <c r="AR57" s="8">
        <f>COUNTIFS(score3pijlen,AP57)</f>
        <v>34</v>
      </c>
    </row>
    <row r="58">
      <c r="A58" s="2">
        <v>58.0</v>
      </c>
      <c r="B58" s="1">
        <f t="shared" si="2"/>
        <v>59</v>
      </c>
      <c r="C58" s="1">
        <f t="shared" ref="C58:AP58" si="58">C$1+$A58</f>
        <v>60</v>
      </c>
      <c r="D58" s="1">
        <f t="shared" si="58"/>
        <v>61</v>
      </c>
      <c r="E58" s="1">
        <f t="shared" si="58"/>
        <v>62</v>
      </c>
      <c r="F58" s="1">
        <f t="shared" si="58"/>
        <v>63</v>
      </c>
      <c r="G58" s="1">
        <f t="shared" si="58"/>
        <v>64</v>
      </c>
      <c r="H58" s="1">
        <f t="shared" si="58"/>
        <v>65</v>
      </c>
      <c r="I58" s="1">
        <f t="shared" si="58"/>
        <v>66</v>
      </c>
      <c r="J58" s="1">
        <f t="shared" si="58"/>
        <v>67</v>
      </c>
      <c r="K58" s="1">
        <f t="shared" si="58"/>
        <v>68</v>
      </c>
      <c r="L58" s="1">
        <f t="shared" si="58"/>
        <v>69</v>
      </c>
      <c r="M58" s="1">
        <f t="shared" si="58"/>
        <v>70</v>
      </c>
      <c r="N58" s="1">
        <f t="shared" si="58"/>
        <v>71</v>
      </c>
      <c r="O58" s="1">
        <f t="shared" si="58"/>
        <v>72</v>
      </c>
      <c r="P58" s="1">
        <f t="shared" si="58"/>
        <v>73</v>
      </c>
      <c r="Q58" s="1">
        <f t="shared" si="58"/>
        <v>74</v>
      </c>
      <c r="R58" s="1">
        <f t="shared" si="58"/>
        <v>75</v>
      </c>
      <c r="S58" s="1">
        <f t="shared" si="58"/>
        <v>76</v>
      </c>
      <c r="T58" s="1">
        <f t="shared" si="58"/>
        <v>77</v>
      </c>
      <c r="U58" s="1">
        <f t="shared" si="58"/>
        <v>78</v>
      </c>
      <c r="V58" s="1">
        <f t="shared" si="58"/>
        <v>79</v>
      </c>
      <c r="W58" s="1">
        <f t="shared" si="58"/>
        <v>80</v>
      </c>
      <c r="X58" s="1">
        <f t="shared" si="58"/>
        <v>82</v>
      </c>
      <c r="Y58" s="1">
        <f t="shared" si="58"/>
        <v>83</v>
      </c>
      <c r="Z58" s="1">
        <f t="shared" si="58"/>
        <v>84</v>
      </c>
      <c r="AA58" s="1">
        <f t="shared" si="58"/>
        <v>86</v>
      </c>
      <c r="AB58" s="1">
        <f t="shared" si="58"/>
        <v>88</v>
      </c>
      <c r="AC58" s="1">
        <f t="shared" si="58"/>
        <v>90</v>
      </c>
      <c r="AD58" s="1">
        <f t="shared" si="58"/>
        <v>91</v>
      </c>
      <c r="AE58" s="1">
        <f t="shared" si="58"/>
        <v>92</v>
      </c>
      <c r="AF58" s="1">
        <f t="shared" si="58"/>
        <v>94</v>
      </c>
      <c r="AG58" s="1">
        <f t="shared" si="58"/>
        <v>96</v>
      </c>
      <c r="AH58" s="1">
        <f t="shared" si="58"/>
        <v>97</v>
      </c>
      <c r="AI58" s="1">
        <f t="shared" si="58"/>
        <v>98</v>
      </c>
      <c r="AJ58" s="1">
        <f t="shared" si="58"/>
        <v>100</v>
      </c>
      <c r="AK58" s="1">
        <f t="shared" si="58"/>
        <v>103</v>
      </c>
      <c r="AL58" s="1">
        <f t="shared" si="58"/>
        <v>106</v>
      </c>
      <c r="AM58" s="1">
        <f t="shared" si="58"/>
        <v>108</v>
      </c>
      <c r="AN58" s="1">
        <f t="shared" si="58"/>
        <v>109</v>
      </c>
      <c r="AO58" s="1">
        <f t="shared" si="58"/>
        <v>112</v>
      </c>
      <c r="AP58" s="1">
        <f t="shared" si="58"/>
        <v>118</v>
      </c>
      <c r="AR58" s="8">
        <f>COUNTIFS(score3pijlen,AP58)</f>
        <v>34</v>
      </c>
    </row>
    <row r="59">
      <c r="A59" s="2">
        <v>59.0</v>
      </c>
      <c r="B59" s="1">
        <f t="shared" si="2"/>
        <v>60</v>
      </c>
      <c r="C59" s="1">
        <f t="shared" ref="C59:AP59" si="59">C$1+$A59</f>
        <v>61</v>
      </c>
      <c r="D59" s="1">
        <f t="shared" si="59"/>
        <v>62</v>
      </c>
      <c r="E59" s="1">
        <f t="shared" si="59"/>
        <v>63</v>
      </c>
      <c r="F59" s="1">
        <f t="shared" si="59"/>
        <v>64</v>
      </c>
      <c r="G59" s="1">
        <f t="shared" si="59"/>
        <v>65</v>
      </c>
      <c r="H59" s="1">
        <f t="shared" si="59"/>
        <v>66</v>
      </c>
      <c r="I59" s="1">
        <f t="shared" si="59"/>
        <v>67</v>
      </c>
      <c r="J59" s="1">
        <f t="shared" si="59"/>
        <v>68</v>
      </c>
      <c r="K59" s="1">
        <f t="shared" si="59"/>
        <v>69</v>
      </c>
      <c r="L59" s="1">
        <f t="shared" si="59"/>
        <v>70</v>
      </c>
      <c r="M59" s="1">
        <f t="shared" si="59"/>
        <v>71</v>
      </c>
      <c r="N59" s="1">
        <f t="shared" si="59"/>
        <v>72</v>
      </c>
      <c r="O59" s="1">
        <f t="shared" si="59"/>
        <v>73</v>
      </c>
      <c r="P59" s="1">
        <f t="shared" si="59"/>
        <v>74</v>
      </c>
      <c r="Q59" s="1">
        <f t="shared" si="59"/>
        <v>75</v>
      </c>
      <c r="R59" s="1">
        <f t="shared" si="59"/>
        <v>76</v>
      </c>
      <c r="S59" s="1">
        <f t="shared" si="59"/>
        <v>77</v>
      </c>
      <c r="T59" s="1">
        <f t="shared" si="59"/>
        <v>78</v>
      </c>
      <c r="U59" s="1">
        <f t="shared" si="59"/>
        <v>79</v>
      </c>
      <c r="V59" s="1">
        <f t="shared" si="59"/>
        <v>80</v>
      </c>
      <c r="W59" s="1">
        <f t="shared" si="59"/>
        <v>81</v>
      </c>
      <c r="X59" s="1">
        <f t="shared" si="59"/>
        <v>83</v>
      </c>
      <c r="Y59" s="1">
        <f t="shared" si="59"/>
        <v>84</v>
      </c>
      <c r="Z59" s="1">
        <f t="shared" si="59"/>
        <v>85</v>
      </c>
      <c r="AA59" s="1">
        <f t="shared" si="59"/>
        <v>87</v>
      </c>
      <c r="AB59" s="1">
        <f t="shared" si="59"/>
        <v>89</v>
      </c>
      <c r="AC59" s="1">
        <f t="shared" si="59"/>
        <v>91</v>
      </c>
      <c r="AD59" s="1">
        <f t="shared" si="59"/>
        <v>92</v>
      </c>
      <c r="AE59" s="1">
        <f t="shared" si="59"/>
        <v>93</v>
      </c>
      <c r="AF59" s="1">
        <f t="shared" si="59"/>
        <v>95</v>
      </c>
      <c r="AG59" s="1">
        <f t="shared" si="59"/>
        <v>97</v>
      </c>
      <c r="AH59" s="1">
        <f t="shared" si="59"/>
        <v>98</v>
      </c>
      <c r="AI59" s="1">
        <f t="shared" si="59"/>
        <v>99</v>
      </c>
      <c r="AJ59" s="1">
        <f t="shared" si="59"/>
        <v>101</v>
      </c>
      <c r="AK59" s="1">
        <f t="shared" si="59"/>
        <v>104</v>
      </c>
      <c r="AL59" s="1">
        <f t="shared" si="59"/>
        <v>107</v>
      </c>
      <c r="AM59" s="1">
        <f t="shared" si="59"/>
        <v>109</v>
      </c>
      <c r="AN59" s="1">
        <f t="shared" si="59"/>
        <v>110</v>
      </c>
      <c r="AO59" s="1">
        <f t="shared" si="59"/>
        <v>113</v>
      </c>
      <c r="AP59" s="1">
        <f t="shared" si="59"/>
        <v>119</v>
      </c>
      <c r="AR59" s="8">
        <f>COUNTIFS(score3pijlen,AP59)</f>
        <v>33</v>
      </c>
    </row>
    <row r="60">
      <c r="A60" s="2">
        <v>60.0</v>
      </c>
      <c r="B60" s="1">
        <f t="shared" si="2"/>
        <v>61</v>
      </c>
      <c r="C60" s="1">
        <f t="shared" ref="C60:AP60" si="60">C$1+$A60</f>
        <v>62</v>
      </c>
      <c r="D60" s="1">
        <f t="shared" si="60"/>
        <v>63</v>
      </c>
      <c r="E60" s="1">
        <f t="shared" si="60"/>
        <v>64</v>
      </c>
      <c r="F60" s="1">
        <f t="shared" si="60"/>
        <v>65</v>
      </c>
      <c r="G60" s="1">
        <f t="shared" si="60"/>
        <v>66</v>
      </c>
      <c r="H60" s="1">
        <f t="shared" si="60"/>
        <v>67</v>
      </c>
      <c r="I60" s="1">
        <f t="shared" si="60"/>
        <v>68</v>
      </c>
      <c r="J60" s="1">
        <f t="shared" si="60"/>
        <v>69</v>
      </c>
      <c r="K60" s="1">
        <f t="shared" si="60"/>
        <v>70</v>
      </c>
      <c r="L60" s="1">
        <f t="shared" si="60"/>
        <v>71</v>
      </c>
      <c r="M60" s="1">
        <f t="shared" si="60"/>
        <v>72</v>
      </c>
      <c r="N60" s="1">
        <f t="shared" si="60"/>
        <v>73</v>
      </c>
      <c r="O60" s="1">
        <f t="shared" si="60"/>
        <v>74</v>
      </c>
      <c r="P60" s="1">
        <f t="shared" si="60"/>
        <v>75</v>
      </c>
      <c r="Q60" s="1">
        <f t="shared" si="60"/>
        <v>76</v>
      </c>
      <c r="R60" s="1">
        <f t="shared" si="60"/>
        <v>77</v>
      </c>
      <c r="S60" s="1">
        <f t="shared" si="60"/>
        <v>78</v>
      </c>
      <c r="T60" s="1">
        <f t="shared" si="60"/>
        <v>79</v>
      </c>
      <c r="U60" s="1">
        <f t="shared" si="60"/>
        <v>80</v>
      </c>
      <c r="V60" s="1">
        <f t="shared" si="60"/>
        <v>81</v>
      </c>
      <c r="W60" s="1">
        <f t="shared" si="60"/>
        <v>82</v>
      </c>
      <c r="X60" s="1">
        <f t="shared" si="60"/>
        <v>84</v>
      </c>
      <c r="Y60" s="1">
        <f t="shared" si="60"/>
        <v>85</v>
      </c>
      <c r="Z60" s="1">
        <f t="shared" si="60"/>
        <v>86</v>
      </c>
      <c r="AA60" s="1">
        <f t="shared" si="60"/>
        <v>88</v>
      </c>
      <c r="AB60" s="1">
        <f t="shared" si="60"/>
        <v>90</v>
      </c>
      <c r="AC60" s="1">
        <f t="shared" si="60"/>
        <v>92</v>
      </c>
      <c r="AD60" s="1">
        <f t="shared" si="60"/>
        <v>93</v>
      </c>
      <c r="AE60" s="1">
        <f t="shared" si="60"/>
        <v>94</v>
      </c>
      <c r="AF60" s="1">
        <f t="shared" si="60"/>
        <v>96</v>
      </c>
      <c r="AG60" s="1">
        <f t="shared" si="60"/>
        <v>98</v>
      </c>
      <c r="AH60" s="1">
        <f t="shared" si="60"/>
        <v>99</v>
      </c>
      <c r="AI60" s="1">
        <f t="shared" si="60"/>
        <v>100</v>
      </c>
      <c r="AJ60" s="1">
        <f t="shared" si="60"/>
        <v>102</v>
      </c>
      <c r="AK60" s="1">
        <f t="shared" si="60"/>
        <v>105</v>
      </c>
      <c r="AL60" s="1">
        <f t="shared" si="60"/>
        <v>108</v>
      </c>
      <c r="AM60" s="1">
        <f t="shared" si="60"/>
        <v>110</v>
      </c>
      <c r="AN60" s="1">
        <f t="shared" si="60"/>
        <v>111</v>
      </c>
      <c r="AO60" s="1">
        <f t="shared" si="60"/>
        <v>114</v>
      </c>
      <c r="AP60" s="1">
        <f t="shared" si="60"/>
        <v>120</v>
      </c>
      <c r="AR60" s="8">
        <f>COUNTIFS(score3pijlen,AP60)</f>
        <v>32</v>
      </c>
    </row>
    <row r="61">
      <c r="A61" s="2">
        <v>61.0</v>
      </c>
      <c r="B61" s="1">
        <f t="shared" si="2"/>
        <v>62</v>
      </c>
      <c r="C61" s="1">
        <f t="shared" ref="C61:AP61" si="61">C$1+$A61</f>
        <v>63</v>
      </c>
      <c r="D61" s="1">
        <f t="shared" si="61"/>
        <v>64</v>
      </c>
      <c r="E61" s="1">
        <f t="shared" si="61"/>
        <v>65</v>
      </c>
      <c r="F61" s="1">
        <f t="shared" si="61"/>
        <v>66</v>
      </c>
      <c r="G61" s="1">
        <f t="shared" si="61"/>
        <v>67</v>
      </c>
      <c r="H61" s="1">
        <f t="shared" si="61"/>
        <v>68</v>
      </c>
      <c r="I61" s="1">
        <f t="shared" si="61"/>
        <v>69</v>
      </c>
      <c r="J61" s="1">
        <f t="shared" si="61"/>
        <v>70</v>
      </c>
      <c r="K61" s="1">
        <f t="shared" si="61"/>
        <v>71</v>
      </c>
      <c r="L61" s="1">
        <f t="shared" si="61"/>
        <v>72</v>
      </c>
      <c r="M61" s="1">
        <f t="shared" si="61"/>
        <v>73</v>
      </c>
      <c r="N61" s="1">
        <f t="shared" si="61"/>
        <v>74</v>
      </c>
      <c r="O61" s="1">
        <f t="shared" si="61"/>
        <v>75</v>
      </c>
      <c r="P61" s="1">
        <f t="shared" si="61"/>
        <v>76</v>
      </c>
      <c r="Q61" s="1">
        <f t="shared" si="61"/>
        <v>77</v>
      </c>
      <c r="R61" s="1">
        <f t="shared" si="61"/>
        <v>78</v>
      </c>
      <c r="S61" s="1">
        <f t="shared" si="61"/>
        <v>79</v>
      </c>
      <c r="T61" s="1">
        <f t="shared" si="61"/>
        <v>80</v>
      </c>
      <c r="U61" s="1">
        <f t="shared" si="61"/>
        <v>81</v>
      </c>
      <c r="V61" s="1">
        <f t="shared" si="61"/>
        <v>82</v>
      </c>
      <c r="W61" s="1">
        <f t="shared" si="61"/>
        <v>83</v>
      </c>
      <c r="X61" s="1">
        <f t="shared" si="61"/>
        <v>85</v>
      </c>
      <c r="Y61" s="1">
        <f t="shared" si="61"/>
        <v>86</v>
      </c>
      <c r="Z61" s="1">
        <f t="shared" si="61"/>
        <v>87</v>
      </c>
      <c r="AA61" s="1">
        <f t="shared" si="61"/>
        <v>89</v>
      </c>
      <c r="AB61" s="1">
        <f t="shared" si="61"/>
        <v>91</v>
      </c>
      <c r="AC61" s="1">
        <f t="shared" si="61"/>
        <v>93</v>
      </c>
      <c r="AD61" s="1">
        <f t="shared" si="61"/>
        <v>94</v>
      </c>
      <c r="AE61" s="1">
        <f t="shared" si="61"/>
        <v>95</v>
      </c>
      <c r="AF61" s="1">
        <f t="shared" si="61"/>
        <v>97</v>
      </c>
      <c r="AG61" s="1">
        <f t="shared" si="61"/>
        <v>99</v>
      </c>
      <c r="AH61" s="1">
        <f t="shared" si="61"/>
        <v>100</v>
      </c>
      <c r="AI61" s="1">
        <f t="shared" si="61"/>
        <v>101</v>
      </c>
      <c r="AJ61" s="1">
        <f t="shared" si="61"/>
        <v>103</v>
      </c>
      <c r="AK61" s="1">
        <f t="shared" si="61"/>
        <v>106</v>
      </c>
      <c r="AL61" s="1">
        <f t="shared" si="61"/>
        <v>109</v>
      </c>
      <c r="AM61" s="1">
        <f t="shared" si="61"/>
        <v>111</v>
      </c>
      <c r="AN61" s="1">
        <f t="shared" si="61"/>
        <v>112</v>
      </c>
      <c r="AO61" s="1">
        <f t="shared" si="61"/>
        <v>115</v>
      </c>
      <c r="AP61" s="1">
        <f t="shared" si="61"/>
        <v>121</v>
      </c>
      <c r="AR61" s="8">
        <f>COUNTIFS(score3pijlen,AP61)</f>
        <v>32</v>
      </c>
    </row>
    <row r="62">
      <c r="A62" s="2">
        <v>62.0</v>
      </c>
      <c r="B62" s="1">
        <f t="shared" si="2"/>
        <v>63</v>
      </c>
      <c r="C62" s="1">
        <f t="shared" ref="C62:AP62" si="62">C$1+$A62</f>
        <v>64</v>
      </c>
      <c r="D62" s="1">
        <f t="shared" si="62"/>
        <v>65</v>
      </c>
      <c r="E62" s="1">
        <f t="shared" si="62"/>
        <v>66</v>
      </c>
      <c r="F62" s="1">
        <f t="shared" si="62"/>
        <v>67</v>
      </c>
      <c r="G62" s="1">
        <f t="shared" si="62"/>
        <v>68</v>
      </c>
      <c r="H62" s="1">
        <f t="shared" si="62"/>
        <v>69</v>
      </c>
      <c r="I62" s="1">
        <f t="shared" si="62"/>
        <v>70</v>
      </c>
      <c r="J62" s="1">
        <f t="shared" si="62"/>
        <v>71</v>
      </c>
      <c r="K62" s="1">
        <f t="shared" si="62"/>
        <v>72</v>
      </c>
      <c r="L62" s="1">
        <f t="shared" si="62"/>
        <v>73</v>
      </c>
      <c r="M62" s="1">
        <f t="shared" si="62"/>
        <v>74</v>
      </c>
      <c r="N62" s="1">
        <f t="shared" si="62"/>
        <v>75</v>
      </c>
      <c r="O62" s="1">
        <f t="shared" si="62"/>
        <v>76</v>
      </c>
      <c r="P62" s="1">
        <f t="shared" si="62"/>
        <v>77</v>
      </c>
      <c r="Q62" s="1">
        <f t="shared" si="62"/>
        <v>78</v>
      </c>
      <c r="R62" s="1">
        <f t="shared" si="62"/>
        <v>79</v>
      </c>
      <c r="S62" s="1">
        <f t="shared" si="62"/>
        <v>80</v>
      </c>
      <c r="T62" s="1">
        <f t="shared" si="62"/>
        <v>81</v>
      </c>
      <c r="U62" s="1">
        <f t="shared" si="62"/>
        <v>82</v>
      </c>
      <c r="V62" s="1">
        <f t="shared" si="62"/>
        <v>83</v>
      </c>
      <c r="W62" s="1">
        <f t="shared" si="62"/>
        <v>84</v>
      </c>
      <c r="X62" s="1">
        <f t="shared" si="62"/>
        <v>86</v>
      </c>
      <c r="Y62" s="1">
        <f t="shared" si="62"/>
        <v>87</v>
      </c>
      <c r="Z62" s="1">
        <f t="shared" si="62"/>
        <v>88</v>
      </c>
      <c r="AA62" s="1">
        <f t="shared" si="62"/>
        <v>90</v>
      </c>
      <c r="AB62" s="1">
        <f t="shared" si="62"/>
        <v>92</v>
      </c>
      <c r="AC62" s="1">
        <f t="shared" si="62"/>
        <v>94</v>
      </c>
      <c r="AD62" s="1">
        <f t="shared" si="62"/>
        <v>95</v>
      </c>
      <c r="AE62" s="1">
        <f t="shared" si="62"/>
        <v>96</v>
      </c>
      <c r="AF62" s="1">
        <f t="shared" si="62"/>
        <v>98</v>
      </c>
      <c r="AG62" s="1">
        <f t="shared" si="62"/>
        <v>100</v>
      </c>
      <c r="AH62" s="1">
        <f t="shared" si="62"/>
        <v>101</v>
      </c>
      <c r="AI62" s="1">
        <f t="shared" si="62"/>
        <v>102</v>
      </c>
      <c r="AJ62" s="1">
        <f t="shared" si="62"/>
        <v>104</v>
      </c>
      <c r="AK62" s="1">
        <f t="shared" si="62"/>
        <v>107</v>
      </c>
      <c r="AL62" s="1">
        <f t="shared" si="62"/>
        <v>110</v>
      </c>
      <c r="AM62" s="1">
        <f t="shared" si="62"/>
        <v>112</v>
      </c>
      <c r="AN62" s="1">
        <f t="shared" si="62"/>
        <v>113</v>
      </c>
      <c r="AO62" s="1">
        <f t="shared" si="62"/>
        <v>116</v>
      </c>
      <c r="AP62" s="1">
        <f t="shared" si="62"/>
        <v>122</v>
      </c>
      <c r="AR62" s="8">
        <f>COUNTIFS(score3pijlen,AP62)</f>
        <v>31</v>
      </c>
    </row>
    <row r="63">
      <c r="A63" s="2">
        <v>63.0</v>
      </c>
      <c r="B63" s="1">
        <f t="shared" si="2"/>
        <v>64</v>
      </c>
      <c r="C63" s="1">
        <f t="shared" ref="C63:AP63" si="63">C$1+$A63</f>
        <v>65</v>
      </c>
      <c r="D63" s="1">
        <f t="shared" si="63"/>
        <v>66</v>
      </c>
      <c r="E63" s="1">
        <f t="shared" si="63"/>
        <v>67</v>
      </c>
      <c r="F63" s="1">
        <f t="shared" si="63"/>
        <v>68</v>
      </c>
      <c r="G63" s="1">
        <f t="shared" si="63"/>
        <v>69</v>
      </c>
      <c r="H63" s="1">
        <f t="shared" si="63"/>
        <v>70</v>
      </c>
      <c r="I63" s="1">
        <f t="shared" si="63"/>
        <v>71</v>
      </c>
      <c r="J63" s="1">
        <f t="shared" si="63"/>
        <v>72</v>
      </c>
      <c r="K63" s="1">
        <f t="shared" si="63"/>
        <v>73</v>
      </c>
      <c r="L63" s="1">
        <f t="shared" si="63"/>
        <v>74</v>
      </c>
      <c r="M63" s="1">
        <f t="shared" si="63"/>
        <v>75</v>
      </c>
      <c r="N63" s="1">
        <f t="shared" si="63"/>
        <v>76</v>
      </c>
      <c r="O63" s="1">
        <f t="shared" si="63"/>
        <v>77</v>
      </c>
      <c r="P63" s="1">
        <f t="shared" si="63"/>
        <v>78</v>
      </c>
      <c r="Q63" s="1">
        <f t="shared" si="63"/>
        <v>79</v>
      </c>
      <c r="R63" s="1">
        <f t="shared" si="63"/>
        <v>80</v>
      </c>
      <c r="S63" s="1">
        <f t="shared" si="63"/>
        <v>81</v>
      </c>
      <c r="T63" s="1">
        <f t="shared" si="63"/>
        <v>82</v>
      </c>
      <c r="U63" s="1">
        <f t="shared" si="63"/>
        <v>83</v>
      </c>
      <c r="V63" s="1">
        <f t="shared" si="63"/>
        <v>84</v>
      </c>
      <c r="W63" s="1">
        <f t="shared" si="63"/>
        <v>85</v>
      </c>
      <c r="X63" s="1">
        <f t="shared" si="63"/>
        <v>87</v>
      </c>
      <c r="Y63" s="1">
        <f t="shared" si="63"/>
        <v>88</v>
      </c>
      <c r="Z63" s="1">
        <f t="shared" si="63"/>
        <v>89</v>
      </c>
      <c r="AA63" s="1">
        <f t="shared" si="63"/>
        <v>91</v>
      </c>
      <c r="AB63" s="1">
        <f t="shared" si="63"/>
        <v>93</v>
      </c>
      <c r="AC63" s="1">
        <f t="shared" si="63"/>
        <v>95</v>
      </c>
      <c r="AD63" s="1">
        <f t="shared" si="63"/>
        <v>96</v>
      </c>
      <c r="AE63" s="1">
        <f t="shared" si="63"/>
        <v>97</v>
      </c>
      <c r="AF63" s="1">
        <f t="shared" si="63"/>
        <v>99</v>
      </c>
      <c r="AG63" s="1">
        <f t="shared" si="63"/>
        <v>101</v>
      </c>
      <c r="AH63" s="1">
        <f t="shared" si="63"/>
        <v>102</v>
      </c>
      <c r="AI63" s="1">
        <f t="shared" si="63"/>
        <v>103</v>
      </c>
      <c r="AJ63" s="1">
        <f t="shared" si="63"/>
        <v>105</v>
      </c>
      <c r="AK63" s="1">
        <f t="shared" si="63"/>
        <v>108</v>
      </c>
      <c r="AL63" s="1">
        <f t="shared" si="63"/>
        <v>111</v>
      </c>
      <c r="AM63" s="1">
        <f t="shared" si="63"/>
        <v>113</v>
      </c>
      <c r="AN63" s="1">
        <f t="shared" si="63"/>
        <v>114</v>
      </c>
      <c r="AO63" s="1">
        <f t="shared" si="63"/>
        <v>117</v>
      </c>
      <c r="AP63" s="1">
        <f t="shared" si="63"/>
        <v>123</v>
      </c>
      <c r="AR63" s="8">
        <f>COUNTIFS(score3pijlen,AP63)</f>
        <v>30</v>
      </c>
    </row>
    <row r="64">
      <c r="A64" s="2">
        <v>64.0</v>
      </c>
      <c r="B64" s="1">
        <f t="shared" si="2"/>
        <v>65</v>
      </c>
      <c r="C64" s="1">
        <f t="shared" ref="C64:AP64" si="64">C$1+$A64</f>
        <v>66</v>
      </c>
      <c r="D64" s="1">
        <f t="shared" si="64"/>
        <v>67</v>
      </c>
      <c r="E64" s="1">
        <f t="shared" si="64"/>
        <v>68</v>
      </c>
      <c r="F64" s="1">
        <f t="shared" si="64"/>
        <v>69</v>
      </c>
      <c r="G64" s="1">
        <f t="shared" si="64"/>
        <v>70</v>
      </c>
      <c r="H64" s="1">
        <f t="shared" si="64"/>
        <v>71</v>
      </c>
      <c r="I64" s="1">
        <f t="shared" si="64"/>
        <v>72</v>
      </c>
      <c r="J64" s="1">
        <f t="shared" si="64"/>
        <v>73</v>
      </c>
      <c r="K64" s="1">
        <f t="shared" si="64"/>
        <v>74</v>
      </c>
      <c r="L64" s="1">
        <f t="shared" si="64"/>
        <v>75</v>
      </c>
      <c r="M64" s="1">
        <f t="shared" si="64"/>
        <v>76</v>
      </c>
      <c r="N64" s="1">
        <f t="shared" si="64"/>
        <v>77</v>
      </c>
      <c r="O64" s="1">
        <f t="shared" si="64"/>
        <v>78</v>
      </c>
      <c r="P64" s="1">
        <f t="shared" si="64"/>
        <v>79</v>
      </c>
      <c r="Q64" s="1">
        <f t="shared" si="64"/>
        <v>80</v>
      </c>
      <c r="R64" s="1">
        <f t="shared" si="64"/>
        <v>81</v>
      </c>
      <c r="S64" s="1">
        <f t="shared" si="64"/>
        <v>82</v>
      </c>
      <c r="T64" s="1">
        <f t="shared" si="64"/>
        <v>83</v>
      </c>
      <c r="U64" s="1">
        <f t="shared" si="64"/>
        <v>84</v>
      </c>
      <c r="V64" s="1">
        <f t="shared" si="64"/>
        <v>85</v>
      </c>
      <c r="W64" s="1">
        <f t="shared" si="64"/>
        <v>86</v>
      </c>
      <c r="X64" s="1">
        <f t="shared" si="64"/>
        <v>88</v>
      </c>
      <c r="Y64" s="1">
        <f t="shared" si="64"/>
        <v>89</v>
      </c>
      <c r="Z64" s="1">
        <f t="shared" si="64"/>
        <v>90</v>
      </c>
      <c r="AA64" s="1">
        <f t="shared" si="64"/>
        <v>92</v>
      </c>
      <c r="AB64" s="1">
        <f t="shared" si="64"/>
        <v>94</v>
      </c>
      <c r="AC64" s="1">
        <f t="shared" si="64"/>
        <v>96</v>
      </c>
      <c r="AD64" s="1">
        <f t="shared" si="64"/>
        <v>97</v>
      </c>
      <c r="AE64" s="1">
        <f t="shared" si="64"/>
        <v>98</v>
      </c>
      <c r="AF64" s="1">
        <f t="shared" si="64"/>
        <v>100</v>
      </c>
      <c r="AG64" s="1">
        <f t="shared" si="64"/>
        <v>102</v>
      </c>
      <c r="AH64" s="1">
        <f t="shared" si="64"/>
        <v>103</v>
      </c>
      <c r="AI64" s="1">
        <f t="shared" si="64"/>
        <v>104</v>
      </c>
      <c r="AJ64" s="1">
        <f t="shared" si="64"/>
        <v>106</v>
      </c>
      <c r="AK64" s="1">
        <f t="shared" si="64"/>
        <v>109</v>
      </c>
      <c r="AL64" s="1">
        <f t="shared" si="64"/>
        <v>112</v>
      </c>
      <c r="AM64" s="1">
        <f t="shared" si="64"/>
        <v>114</v>
      </c>
      <c r="AN64" s="1">
        <f t="shared" si="64"/>
        <v>115</v>
      </c>
      <c r="AO64" s="1">
        <f t="shared" si="64"/>
        <v>118</v>
      </c>
      <c r="AP64" s="1">
        <f t="shared" si="64"/>
        <v>124</v>
      </c>
      <c r="AR64" s="8">
        <f>COUNTIFS(score3pijlen,AP64)</f>
        <v>29</v>
      </c>
    </row>
    <row r="65">
      <c r="A65" s="2">
        <v>65.0</v>
      </c>
      <c r="B65" s="1">
        <f t="shared" si="2"/>
        <v>66</v>
      </c>
      <c r="C65" s="1">
        <f t="shared" ref="C65:AP65" si="65">C$1+$A65</f>
        <v>67</v>
      </c>
      <c r="D65" s="1">
        <f t="shared" si="65"/>
        <v>68</v>
      </c>
      <c r="E65" s="1">
        <f t="shared" si="65"/>
        <v>69</v>
      </c>
      <c r="F65" s="1">
        <f t="shared" si="65"/>
        <v>70</v>
      </c>
      <c r="G65" s="1">
        <f t="shared" si="65"/>
        <v>71</v>
      </c>
      <c r="H65" s="1">
        <f t="shared" si="65"/>
        <v>72</v>
      </c>
      <c r="I65" s="1">
        <f t="shared" si="65"/>
        <v>73</v>
      </c>
      <c r="J65" s="1">
        <f t="shared" si="65"/>
        <v>74</v>
      </c>
      <c r="K65" s="1">
        <f t="shared" si="65"/>
        <v>75</v>
      </c>
      <c r="L65" s="1">
        <f t="shared" si="65"/>
        <v>76</v>
      </c>
      <c r="M65" s="1">
        <f t="shared" si="65"/>
        <v>77</v>
      </c>
      <c r="N65" s="1">
        <f t="shared" si="65"/>
        <v>78</v>
      </c>
      <c r="O65" s="1">
        <f t="shared" si="65"/>
        <v>79</v>
      </c>
      <c r="P65" s="1">
        <f t="shared" si="65"/>
        <v>80</v>
      </c>
      <c r="Q65" s="1">
        <f t="shared" si="65"/>
        <v>81</v>
      </c>
      <c r="R65" s="1">
        <f t="shared" si="65"/>
        <v>82</v>
      </c>
      <c r="S65" s="1">
        <f t="shared" si="65"/>
        <v>83</v>
      </c>
      <c r="T65" s="1">
        <f t="shared" si="65"/>
        <v>84</v>
      </c>
      <c r="U65" s="1">
        <f t="shared" si="65"/>
        <v>85</v>
      </c>
      <c r="V65" s="1">
        <f t="shared" si="65"/>
        <v>86</v>
      </c>
      <c r="W65" s="1">
        <f t="shared" si="65"/>
        <v>87</v>
      </c>
      <c r="X65" s="1">
        <f t="shared" si="65"/>
        <v>89</v>
      </c>
      <c r="Y65" s="1">
        <f t="shared" si="65"/>
        <v>90</v>
      </c>
      <c r="Z65" s="1">
        <f t="shared" si="65"/>
        <v>91</v>
      </c>
      <c r="AA65" s="1">
        <f t="shared" si="65"/>
        <v>93</v>
      </c>
      <c r="AB65" s="1">
        <f t="shared" si="65"/>
        <v>95</v>
      </c>
      <c r="AC65" s="1">
        <f t="shared" si="65"/>
        <v>97</v>
      </c>
      <c r="AD65" s="1">
        <f t="shared" si="65"/>
        <v>98</v>
      </c>
      <c r="AE65" s="1">
        <f t="shared" si="65"/>
        <v>99</v>
      </c>
      <c r="AF65" s="1">
        <f t="shared" si="65"/>
        <v>101</v>
      </c>
      <c r="AG65" s="1">
        <f t="shared" si="65"/>
        <v>103</v>
      </c>
      <c r="AH65" s="1">
        <f t="shared" si="65"/>
        <v>104</v>
      </c>
      <c r="AI65" s="1">
        <f t="shared" si="65"/>
        <v>105</v>
      </c>
      <c r="AJ65" s="1">
        <f t="shared" si="65"/>
        <v>107</v>
      </c>
      <c r="AK65" s="1">
        <f t="shared" si="65"/>
        <v>110</v>
      </c>
      <c r="AL65" s="1">
        <f t="shared" si="65"/>
        <v>113</v>
      </c>
      <c r="AM65" s="1">
        <f t="shared" si="65"/>
        <v>115</v>
      </c>
      <c r="AN65" s="1">
        <f t="shared" si="65"/>
        <v>116</v>
      </c>
      <c r="AO65" s="1">
        <f t="shared" si="65"/>
        <v>119</v>
      </c>
      <c r="AP65" s="1">
        <f t="shared" si="65"/>
        <v>125</v>
      </c>
      <c r="AR65" s="8">
        <f>COUNTIFS(score3pijlen,AP65)</f>
        <v>28</v>
      </c>
    </row>
    <row r="66">
      <c r="A66" s="2">
        <v>66.0</v>
      </c>
      <c r="B66" s="1">
        <f t="shared" si="2"/>
        <v>67</v>
      </c>
      <c r="C66" s="1">
        <f t="shared" ref="C66:AP66" si="66">C$1+$A66</f>
        <v>68</v>
      </c>
      <c r="D66" s="1">
        <f t="shared" si="66"/>
        <v>69</v>
      </c>
      <c r="E66" s="1">
        <f t="shared" si="66"/>
        <v>70</v>
      </c>
      <c r="F66" s="1">
        <f t="shared" si="66"/>
        <v>71</v>
      </c>
      <c r="G66" s="1">
        <f t="shared" si="66"/>
        <v>72</v>
      </c>
      <c r="H66" s="1">
        <f t="shared" si="66"/>
        <v>73</v>
      </c>
      <c r="I66" s="1">
        <f t="shared" si="66"/>
        <v>74</v>
      </c>
      <c r="J66" s="1">
        <f t="shared" si="66"/>
        <v>75</v>
      </c>
      <c r="K66" s="1">
        <f t="shared" si="66"/>
        <v>76</v>
      </c>
      <c r="L66" s="1">
        <f t="shared" si="66"/>
        <v>77</v>
      </c>
      <c r="M66" s="1">
        <f t="shared" si="66"/>
        <v>78</v>
      </c>
      <c r="N66" s="1">
        <f t="shared" si="66"/>
        <v>79</v>
      </c>
      <c r="O66" s="1">
        <f t="shared" si="66"/>
        <v>80</v>
      </c>
      <c r="P66" s="1">
        <f t="shared" si="66"/>
        <v>81</v>
      </c>
      <c r="Q66" s="1">
        <f t="shared" si="66"/>
        <v>82</v>
      </c>
      <c r="R66" s="1">
        <f t="shared" si="66"/>
        <v>83</v>
      </c>
      <c r="S66" s="1">
        <f t="shared" si="66"/>
        <v>84</v>
      </c>
      <c r="T66" s="1">
        <f t="shared" si="66"/>
        <v>85</v>
      </c>
      <c r="U66" s="1">
        <f t="shared" si="66"/>
        <v>86</v>
      </c>
      <c r="V66" s="1">
        <f t="shared" si="66"/>
        <v>87</v>
      </c>
      <c r="W66" s="1">
        <f t="shared" si="66"/>
        <v>88</v>
      </c>
      <c r="X66" s="1">
        <f t="shared" si="66"/>
        <v>90</v>
      </c>
      <c r="Y66" s="1">
        <f t="shared" si="66"/>
        <v>91</v>
      </c>
      <c r="Z66" s="1">
        <f t="shared" si="66"/>
        <v>92</v>
      </c>
      <c r="AA66" s="1">
        <f t="shared" si="66"/>
        <v>94</v>
      </c>
      <c r="AB66" s="1">
        <f t="shared" si="66"/>
        <v>96</v>
      </c>
      <c r="AC66" s="1">
        <f t="shared" si="66"/>
        <v>98</v>
      </c>
      <c r="AD66" s="1">
        <f t="shared" si="66"/>
        <v>99</v>
      </c>
      <c r="AE66" s="1">
        <f t="shared" si="66"/>
        <v>100</v>
      </c>
      <c r="AF66" s="1">
        <f t="shared" si="66"/>
        <v>102</v>
      </c>
      <c r="AG66" s="1">
        <f t="shared" si="66"/>
        <v>104</v>
      </c>
      <c r="AH66" s="1">
        <f t="shared" si="66"/>
        <v>105</v>
      </c>
      <c r="AI66" s="1">
        <f t="shared" si="66"/>
        <v>106</v>
      </c>
      <c r="AJ66" s="1">
        <f t="shared" si="66"/>
        <v>108</v>
      </c>
      <c r="AK66" s="1">
        <f t="shared" si="66"/>
        <v>111</v>
      </c>
      <c r="AL66" s="1">
        <f t="shared" si="66"/>
        <v>114</v>
      </c>
      <c r="AM66" s="1">
        <f t="shared" si="66"/>
        <v>116</v>
      </c>
      <c r="AN66" s="1">
        <f t="shared" si="66"/>
        <v>117</v>
      </c>
      <c r="AO66" s="1">
        <f t="shared" si="66"/>
        <v>120</v>
      </c>
      <c r="AP66" s="1">
        <f t="shared" si="66"/>
        <v>126</v>
      </c>
      <c r="AR66" s="8">
        <f>COUNTIFS(score3pijlen,AP66)</f>
        <v>28</v>
      </c>
    </row>
    <row r="67">
      <c r="A67" s="2">
        <v>67.0</v>
      </c>
      <c r="B67" s="1">
        <f t="shared" si="2"/>
        <v>68</v>
      </c>
      <c r="C67" s="1">
        <f t="shared" ref="C67:AP67" si="67">C$1+$A67</f>
        <v>69</v>
      </c>
      <c r="D67" s="1">
        <f t="shared" si="67"/>
        <v>70</v>
      </c>
      <c r="E67" s="1">
        <f t="shared" si="67"/>
        <v>71</v>
      </c>
      <c r="F67" s="1">
        <f t="shared" si="67"/>
        <v>72</v>
      </c>
      <c r="G67" s="1">
        <f t="shared" si="67"/>
        <v>73</v>
      </c>
      <c r="H67" s="1">
        <f t="shared" si="67"/>
        <v>74</v>
      </c>
      <c r="I67" s="1">
        <f t="shared" si="67"/>
        <v>75</v>
      </c>
      <c r="J67" s="1">
        <f t="shared" si="67"/>
        <v>76</v>
      </c>
      <c r="K67" s="1">
        <f t="shared" si="67"/>
        <v>77</v>
      </c>
      <c r="L67" s="1">
        <f t="shared" si="67"/>
        <v>78</v>
      </c>
      <c r="M67" s="1">
        <f t="shared" si="67"/>
        <v>79</v>
      </c>
      <c r="N67" s="1">
        <f t="shared" si="67"/>
        <v>80</v>
      </c>
      <c r="O67" s="1">
        <f t="shared" si="67"/>
        <v>81</v>
      </c>
      <c r="P67" s="1">
        <f t="shared" si="67"/>
        <v>82</v>
      </c>
      <c r="Q67" s="1">
        <f t="shared" si="67"/>
        <v>83</v>
      </c>
      <c r="R67" s="1">
        <f t="shared" si="67"/>
        <v>84</v>
      </c>
      <c r="S67" s="1">
        <f t="shared" si="67"/>
        <v>85</v>
      </c>
      <c r="T67" s="1">
        <f t="shared" si="67"/>
        <v>86</v>
      </c>
      <c r="U67" s="1">
        <f t="shared" si="67"/>
        <v>87</v>
      </c>
      <c r="V67" s="1">
        <f t="shared" si="67"/>
        <v>88</v>
      </c>
      <c r="W67" s="1">
        <f t="shared" si="67"/>
        <v>89</v>
      </c>
      <c r="X67" s="1">
        <f t="shared" si="67"/>
        <v>91</v>
      </c>
      <c r="Y67" s="1">
        <f t="shared" si="67"/>
        <v>92</v>
      </c>
      <c r="Z67" s="1">
        <f t="shared" si="67"/>
        <v>93</v>
      </c>
      <c r="AA67" s="1">
        <f t="shared" si="67"/>
        <v>95</v>
      </c>
      <c r="AB67" s="1">
        <f t="shared" si="67"/>
        <v>97</v>
      </c>
      <c r="AC67" s="1">
        <f t="shared" si="67"/>
        <v>99</v>
      </c>
      <c r="AD67" s="1">
        <f t="shared" si="67"/>
        <v>100</v>
      </c>
      <c r="AE67" s="1">
        <f t="shared" si="67"/>
        <v>101</v>
      </c>
      <c r="AF67" s="1">
        <f t="shared" si="67"/>
        <v>103</v>
      </c>
      <c r="AG67" s="1">
        <f t="shared" si="67"/>
        <v>105</v>
      </c>
      <c r="AH67" s="1">
        <f t="shared" si="67"/>
        <v>106</v>
      </c>
      <c r="AI67" s="1">
        <f t="shared" si="67"/>
        <v>107</v>
      </c>
      <c r="AJ67" s="1">
        <f t="shared" si="67"/>
        <v>109</v>
      </c>
      <c r="AK67" s="1">
        <f t="shared" si="67"/>
        <v>112</v>
      </c>
      <c r="AL67" s="1">
        <f t="shared" si="67"/>
        <v>115</v>
      </c>
      <c r="AM67" s="1">
        <f t="shared" si="67"/>
        <v>117</v>
      </c>
      <c r="AN67" s="1">
        <f t="shared" si="67"/>
        <v>118</v>
      </c>
      <c r="AO67" s="1">
        <f t="shared" si="67"/>
        <v>121</v>
      </c>
      <c r="AP67" s="1">
        <f t="shared" si="67"/>
        <v>127</v>
      </c>
      <c r="AR67" s="8">
        <f>COUNTIFS(score3pijlen,AP67)</f>
        <v>26</v>
      </c>
    </row>
    <row r="68">
      <c r="A68" s="2">
        <v>68.0</v>
      </c>
      <c r="B68" s="1">
        <f t="shared" si="2"/>
        <v>69</v>
      </c>
      <c r="C68" s="1">
        <f t="shared" ref="C68:AP68" si="68">C$1+$A68</f>
        <v>70</v>
      </c>
      <c r="D68" s="1">
        <f t="shared" si="68"/>
        <v>71</v>
      </c>
      <c r="E68" s="1">
        <f t="shared" si="68"/>
        <v>72</v>
      </c>
      <c r="F68" s="1">
        <f t="shared" si="68"/>
        <v>73</v>
      </c>
      <c r="G68" s="1">
        <f t="shared" si="68"/>
        <v>74</v>
      </c>
      <c r="H68" s="1">
        <f t="shared" si="68"/>
        <v>75</v>
      </c>
      <c r="I68" s="1">
        <f t="shared" si="68"/>
        <v>76</v>
      </c>
      <c r="J68" s="1">
        <f t="shared" si="68"/>
        <v>77</v>
      </c>
      <c r="K68" s="1">
        <f t="shared" si="68"/>
        <v>78</v>
      </c>
      <c r="L68" s="1">
        <f t="shared" si="68"/>
        <v>79</v>
      </c>
      <c r="M68" s="1">
        <f t="shared" si="68"/>
        <v>80</v>
      </c>
      <c r="N68" s="1">
        <f t="shared" si="68"/>
        <v>81</v>
      </c>
      <c r="O68" s="1">
        <f t="shared" si="68"/>
        <v>82</v>
      </c>
      <c r="P68" s="1">
        <f t="shared" si="68"/>
        <v>83</v>
      </c>
      <c r="Q68" s="1">
        <f t="shared" si="68"/>
        <v>84</v>
      </c>
      <c r="R68" s="1">
        <f t="shared" si="68"/>
        <v>85</v>
      </c>
      <c r="S68" s="1">
        <f t="shared" si="68"/>
        <v>86</v>
      </c>
      <c r="T68" s="1">
        <f t="shared" si="68"/>
        <v>87</v>
      </c>
      <c r="U68" s="1">
        <f t="shared" si="68"/>
        <v>88</v>
      </c>
      <c r="V68" s="1">
        <f t="shared" si="68"/>
        <v>89</v>
      </c>
      <c r="W68" s="1">
        <f t="shared" si="68"/>
        <v>90</v>
      </c>
      <c r="X68" s="1">
        <f t="shared" si="68"/>
        <v>92</v>
      </c>
      <c r="Y68" s="1">
        <f t="shared" si="68"/>
        <v>93</v>
      </c>
      <c r="Z68" s="1">
        <f t="shared" si="68"/>
        <v>94</v>
      </c>
      <c r="AA68" s="1">
        <f t="shared" si="68"/>
        <v>96</v>
      </c>
      <c r="AB68" s="1">
        <f t="shared" si="68"/>
        <v>98</v>
      </c>
      <c r="AC68" s="1">
        <f t="shared" si="68"/>
        <v>100</v>
      </c>
      <c r="AD68" s="1">
        <f t="shared" si="68"/>
        <v>101</v>
      </c>
      <c r="AE68" s="1">
        <f t="shared" si="68"/>
        <v>102</v>
      </c>
      <c r="AF68" s="1">
        <f t="shared" si="68"/>
        <v>104</v>
      </c>
      <c r="AG68" s="1">
        <f t="shared" si="68"/>
        <v>106</v>
      </c>
      <c r="AH68" s="1">
        <f t="shared" si="68"/>
        <v>107</v>
      </c>
      <c r="AI68" s="1">
        <f t="shared" si="68"/>
        <v>108</v>
      </c>
      <c r="AJ68" s="1">
        <f t="shared" si="68"/>
        <v>110</v>
      </c>
      <c r="AK68" s="1">
        <f t="shared" si="68"/>
        <v>113</v>
      </c>
      <c r="AL68" s="1">
        <f t="shared" si="68"/>
        <v>116</v>
      </c>
      <c r="AM68" s="1">
        <f t="shared" si="68"/>
        <v>118</v>
      </c>
      <c r="AN68" s="1">
        <f t="shared" si="68"/>
        <v>119</v>
      </c>
      <c r="AO68" s="1">
        <f t="shared" si="68"/>
        <v>122</v>
      </c>
      <c r="AP68" s="1">
        <f t="shared" si="68"/>
        <v>128</v>
      </c>
      <c r="AR68" s="8">
        <f>COUNTIFS(score3pijlen,AP68)</f>
        <v>25</v>
      </c>
    </row>
    <row r="69">
      <c r="A69" s="2">
        <v>69.0</v>
      </c>
      <c r="B69" s="1">
        <f t="shared" si="2"/>
        <v>70</v>
      </c>
      <c r="C69" s="1">
        <f t="shared" ref="C69:AP69" si="69">C$1+$A69</f>
        <v>71</v>
      </c>
      <c r="D69" s="1">
        <f t="shared" si="69"/>
        <v>72</v>
      </c>
      <c r="E69" s="1">
        <f t="shared" si="69"/>
        <v>73</v>
      </c>
      <c r="F69" s="1">
        <f t="shared" si="69"/>
        <v>74</v>
      </c>
      <c r="G69" s="1">
        <f t="shared" si="69"/>
        <v>75</v>
      </c>
      <c r="H69" s="1">
        <f t="shared" si="69"/>
        <v>76</v>
      </c>
      <c r="I69" s="1">
        <f t="shared" si="69"/>
        <v>77</v>
      </c>
      <c r="J69" s="1">
        <f t="shared" si="69"/>
        <v>78</v>
      </c>
      <c r="K69" s="1">
        <f t="shared" si="69"/>
        <v>79</v>
      </c>
      <c r="L69" s="1">
        <f t="shared" si="69"/>
        <v>80</v>
      </c>
      <c r="M69" s="1">
        <f t="shared" si="69"/>
        <v>81</v>
      </c>
      <c r="N69" s="1">
        <f t="shared" si="69"/>
        <v>82</v>
      </c>
      <c r="O69" s="1">
        <f t="shared" si="69"/>
        <v>83</v>
      </c>
      <c r="P69" s="1">
        <f t="shared" si="69"/>
        <v>84</v>
      </c>
      <c r="Q69" s="1">
        <f t="shared" si="69"/>
        <v>85</v>
      </c>
      <c r="R69" s="1">
        <f t="shared" si="69"/>
        <v>86</v>
      </c>
      <c r="S69" s="1">
        <f t="shared" si="69"/>
        <v>87</v>
      </c>
      <c r="T69" s="1">
        <f t="shared" si="69"/>
        <v>88</v>
      </c>
      <c r="U69" s="1">
        <f t="shared" si="69"/>
        <v>89</v>
      </c>
      <c r="V69" s="1">
        <f t="shared" si="69"/>
        <v>90</v>
      </c>
      <c r="W69" s="1">
        <f t="shared" si="69"/>
        <v>91</v>
      </c>
      <c r="X69" s="1">
        <f t="shared" si="69"/>
        <v>93</v>
      </c>
      <c r="Y69" s="1">
        <f t="shared" si="69"/>
        <v>94</v>
      </c>
      <c r="Z69" s="1">
        <f t="shared" si="69"/>
        <v>95</v>
      </c>
      <c r="AA69" s="1">
        <f t="shared" si="69"/>
        <v>97</v>
      </c>
      <c r="AB69" s="1">
        <f t="shared" si="69"/>
        <v>99</v>
      </c>
      <c r="AC69" s="1">
        <f t="shared" si="69"/>
        <v>101</v>
      </c>
      <c r="AD69" s="1">
        <f t="shared" si="69"/>
        <v>102</v>
      </c>
      <c r="AE69" s="1">
        <f t="shared" si="69"/>
        <v>103</v>
      </c>
      <c r="AF69" s="1">
        <f t="shared" si="69"/>
        <v>105</v>
      </c>
      <c r="AG69" s="1">
        <f t="shared" si="69"/>
        <v>107</v>
      </c>
      <c r="AH69" s="1">
        <f t="shared" si="69"/>
        <v>108</v>
      </c>
      <c r="AI69" s="1">
        <f t="shared" si="69"/>
        <v>109</v>
      </c>
      <c r="AJ69" s="1">
        <f t="shared" si="69"/>
        <v>111</v>
      </c>
      <c r="AK69" s="1">
        <f t="shared" si="69"/>
        <v>114</v>
      </c>
      <c r="AL69" s="1">
        <f t="shared" si="69"/>
        <v>117</v>
      </c>
      <c r="AM69" s="1">
        <f t="shared" si="69"/>
        <v>119</v>
      </c>
      <c r="AN69" s="1">
        <f t="shared" si="69"/>
        <v>120</v>
      </c>
      <c r="AO69" s="1">
        <f t="shared" si="69"/>
        <v>123</v>
      </c>
      <c r="AP69" s="1">
        <f t="shared" si="69"/>
        <v>129</v>
      </c>
      <c r="AR69" s="8">
        <f>COUNTIFS(score3pijlen,AP69)</f>
        <v>25</v>
      </c>
    </row>
    <row r="70">
      <c r="A70" s="2">
        <v>70.0</v>
      </c>
      <c r="B70" s="1">
        <f t="shared" si="2"/>
        <v>71</v>
      </c>
      <c r="C70" s="1">
        <f t="shared" ref="C70:AP70" si="70">C$1+$A70</f>
        <v>72</v>
      </c>
      <c r="D70" s="1">
        <f t="shared" si="70"/>
        <v>73</v>
      </c>
      <c r="E70" s="1">
        <f t="shared" si="70"/>
        <v>74</v>
      </c>
      <c r="F70" s="1">
        <f t="shared" si="70"/>
        <v>75</v>
      </c>
      <c r="G70" s="1">
        <f t="shared" si="70"/>
        <v>76</v>
      </c>
      <c r="H70" s="1">
        <f t="shared" si="70"/>
        <v>77</v>
      </c>
      <c r="I70" s="1">
        <f t="shared" si="70"/>
        <v>78</v>
      </c>
      <c r="J70" s="1">
        <f t="shared" si="70"/>
        <v>79</v>
      </c>
      <c r="K70" s="1">
        <f t="shared" si="70"/>
        <v>80</v>
      </c>
      <c r="L70" s="1">
        <f t="shared" si="70"/>
        <v>81</v>
      </c>
      <c r="M70" s="1">
        <f t="shared" si="70"/>
        <v>82</v>
      </c>
      <c r="N70" s="1">
        <f t="shared" si="70"/>
        <v>83</v>
      </c>
      <c r="O70" s="1">
        <f t="shared" si="70"/>
        <v>84</v>
      </c>
      <c r="P70" s="1">
        <f t="shared" si="70"/>
        <v>85</v>
      </c>
      <c r="Q70" s="1">
        <f t="shared" si="70"/>
        <v>86</v>
      </c>
      <c r="R70" s="1">
        <f t="shared" si="70"/>
        <v>87</v>
      </c>
      <c r="S70" s="1">
        <f t="shared" si="70"/>
        <v>88</v>
      </c>
      <c r="T70" s="1">
        <f t="shared" si="70"/>
        <v>89</v>
      </c>
      <c r="U70" s="1">
        <f t="shared" si="70"/>
        <v>90</v>
      </c>
      <c r="V70" s="1">
        <f t="shared" si="70"/>
        <v>91</v>
      </c>
      <c r="W70" s="1">
        <f t="shared" si="70"/>
        <v>92</v>
      </c>
      <c r="X70" s="1">
        <f t="shared" si="70"/>
        <v>94</v>
      </c>
      <c r="Y70" s="1">
        <f t="shared" si="70"/>
        <v>95</v>
      </c>
      <c r="Z70" s="1">
        <f t="shared" si="70"/>
        <v>96</v>
      </c>
      <c r="AA70" s="1">
        <f t="shared" si="70"/>
        <v>98</v>
      </c>
      <c r="AB70" s="1">
        <f t="shared" si="70"/>
        <v>100</v>
      </c>
      <c r="AC70" s="1">
        <f t="shared" si="70"/>
        <v>102</v>
      </c>
      <c r="AD70" s="1">
        <f t="shared" si="70"/>
        <v>103</v>
      </c>
      <c r="AE70" s="1">
        <f t="shared" si="70"/>
        <v>104</v>
      </c>
      <c r="AF70" s="1">
        <f t="shared" si="70"/>
        <v>106</v>
      </c>
      <c r="AG70" s="1">
        <f t="shared" si="70"/>
        <v>108</v>
      </c>
      <c r="AH70" s="1">
        <f t="shared" si="70"/>
        <v>109</v>
      </c>
      <c r="AI70" s="1">
        <f t="shared" si="70"/>
        <v>110</v>
      </c>
      <c r="AJ70" s="1">
        <f t="shared" si="70"/>
        <v>112</v>
      </c>
      <c r="AK70" s="1">
        <f t="shared" si="70"/>
        <v>115</v>
      </c>
      <c r="AL70" s="1">
        <f t="shared" si="70"/>
        <v>118</v>
      </c>
      <c r="AM70" s="1">
        <f t="shared" si="70"/>
        <v>120</v>
      </c>
      <c r="AN70" s="1">
        <f t="shared" si="70"/>
        <v>121</v>
      </c>
      <c r="AO70" s="1">
        <f t="shared" si="70"/>
        <v>124</v>
      </c>
      <c r="AP70" s="1">
        <f t="shared" si="70"/>
        <v>130</v>
      </c>
      <c r="AR70" s="8">
        <f>COUNTIFS(score3pijlen,AP70)</f>
        <v>24</v>
      </c>
    </row>
    <row r="71">
      <c r="A71" s="2">
        <v>71.0</v>
      </c>
      <c r="B71" s="1">
        <f t="shared" si="2"/>
        <v>72</v>
      </c>
      <c r="C71" s="1">
        <f t="shared" ref="C71:AP71" si="71">C$1+$A71</f>
        <v>73</v>
      </c>
      <c r="D71" s="1">
        <f t="shared" si="71"/>
        <v>74</v>
      </c>
      <c r="E71" s="1">
        <f t="shared" si="71"/>
        <v>75</v>
      </c>
      <c r="F71" s="1">
        <f t="shared" si="71"/>
        <v>76</v>
      </c>
      <c r="G71" s="1">
        <f t="shared" si="71"/>
        <v>77</v>
      </c>
      <c r="H71" s="1">
        <f t="shared" si="71"/>
        <v>78</v>
      </c>
      <c r="I71" s="1">
        <f t="shared" si="71"/>
        <v>79</v>
      </c>
      <c r="J71" s="1">
        <f t="shared" si="71"/>
        <v>80</v>
      </c>
      <c r="K71" s="1">
        <f t="shared" si="71"/>
        <v>81</v>
      </c>
      <c r="L71" s="1">
        <f t="shared" si="71"/>
        <v>82</v>
      </c>
      <c r="M71" s="1">
        <f t="shared" si="71"/>
        <v>83</v>
      </c>
      <c r="N71" s="1">
        <f t="shared" si="71"/>
        <v>84</v>
      </c>
      <c r="O71" s="1">
        <f t="shared" si="71"/>
        <v>85</v>
      </c>
      <c r="P71" s="1">
        <f t="shared" si="71"/>
        <v>86</v>
      </c>
      <c r="Q71" s="1">
        <f t="shared" si="71"/>
        <v>87</v>
      </c>
      <c r="R71" s="1">
        <f t="shared" si="71"/>
        <v>88</v>
      </c>
      <c r="S71" s="1">
        <f t="shared" si="71"/>
        <v>89</v>
      </c>
      <c r="T71" s="1">
        <f t="shared" si="71"/>
        <v>90</v>
      </c>
      <c r="U71" s="1">
        <f t="shared" si="71"/>
        <v>91</v>
      </c>
      <c r="V71" s="1">
        <f t="shared" si="71"/>
        <v>92</v>
      </c>
      <c r="W71" s="1">
        <f t="shared" si="71"/>
        <v>93</v>
      </c>
      <c r="X71" s="1">
        <f t="shared" si="71"/>
        <v>95</v>
      </c>
      <c r="Y71" s="1">
        <f t="shared" si="71"/>
        <v>96</v>
      </c>
      <c r="Z71" s="1">
        <f t="shared" si="71"/>
        <v>97</v>
      </c>
      <c r="AA71" s="1">
        <f t="shared" si="71"/>
        <v>99</v>
      </c>
      <c r="AB71" s="1">
        <f t="shared" si="71"/>
        <v>101</v>
      </c>
      <c r="AC71" s="1">
        <f t="shared" si="71"/>
        <v>103</v>
      </c>
      <c r="AD71" s="1">
        <f t="shared" si="71"/>
        <v>104</v>
      </c>
      <c r="AE71" s="1">
        <f t="shared" si="71"/>
        <v>105</v>
      </c>
      <c r="AF71" s="1">
        <f t="shared" si="71"/>
        <v>107</v>
      </c>
      <c r="AG71" s="1">
        <f t="shared" si="71"/>
        <v>109</v>
      </c>
      <c r="AH71" s="1">
        <f t="shared" si="71"/>
        <v>110</v>
      </c>
      <c r="AI71" s="1">
        <f t="shared" si="71"/>
        <v>111</v>
      </c>
      <c r="AJ71" s="1">
        <f t="shared" si="71"/>
        <v>113</v>
      </c>
      <c r="AK71" s="1">
        <f t="shared" si="71"/>
        <v>116</v>
      </c>
      <c r="AL71" s="1">
        <f t="shared" si="71"/>
        <v>119</v>
      </c>
      <c r="AM71" s="1">
        <f t="shared" si="71"/>
        <v>121</v>
      </c>
      <c r="AN71" s="1">
        <f t="shared" si="71"/>
        <v>122</v>
      </c>
      <c r="AO71" s="1">
        <f t="shared" si="71"/>
        <v>125</v>
      </c>
      <c r="AP71" s="1">
        <f t="shared" si="71"/>
        <v>131</v>
      </c>
      <c r="AR71" s="8">
        <f>COUNTIFS(score3pijlen,AP71)</f>
        <v>22</v>
      </c>
    </row>
    <row r="72">
      <c r="A72" s="2">
        <v>72.0</v>
      </c>
      <c r="B72" s="1">
        <f t="shared" si="2"/>
        <v>73</v>
      </c>
      <c r="C72" s="1">
        <f t="shared" ref="C72:AP72" si="72">C$1+$A72</f>
        <v>74</v>
      </c>
      <c r="D72" s="1">
        <f t="shared" si="72"/>
        <v>75</v>
      </c>
      <c r="E72" s="1">
        <f t="shared" si="72"/>
        <v>76</v>
      </c>
      <c r="F72" s="1">
        <f t="shared" si="72"/>
        <v>77</v>
      </c>
      <c r="G72" s="1">
        <f t="shared" si="72"/>
        <v>78</v>
      </c>
      <c r="H72" s="1">
        <f t="shared" si="72"/>
        <v>79</v>
      </c>
      <c r="I72" s="1">
        <f t="shared" si="72"/>
        <v>80</v>
      </c>
      <c r="J72" s="1">
        <f t="shared" si="72"/>
        <v>81</v>
      </c>
      <c r="K72" s="1">
        <f t="shared" si="72"/>
        <v>82</v>
      </c>
      <c r="L72" s="1">
        <f t="shared" si="72"/>
        <v>83</v>
      </c>
      <c r="M72" s="1">
        <f t="shared" si="72"/>
        <v>84</v>
      </c>
      <c r="N72" s="1">
        <f t="shared" si="72"/>
        <v>85</v>
      </c>
      <c r="O72" s="1">
        <f t="shared" si="72"/>
        <v>86</v>
      </c>
      <c r="P72" s="1">
        <f t="shared" si="72"/>
        <v>87</v>
      </c>
      <c r="Q72" s="1">
        <f t="shared" si="72"/>
        <v>88</v>
      </c>
      <c r="R72" s="1">
        <f t="shared" si="72"/>
        <v>89</v>
      </c>
      <c r="S72" s="1">
        <f t="shared" si="72"/>
        <v>90</v>
      </c>
      <c r="T72" s="1">
        <f t="shared" si="72"/>
        <v>91</v>
      </c>
      <c r="U72" s="1">
        <f t="shared" si="72"/>
        <v>92</v>
      </c>
      <c r="V72" s="1">
        <f t="shared" si="72"/>
        <v>93</v>
      </c>
      <c r="W72" s="1">
        <f t="shared" si="72"/>
        <v>94</v>
      </c>
      <c r="X72" s="1">
        <f t="shared" si="72"/>
        <v>96</v>
      </c>
      <c r="Y72" s="1">
        <f t="shared" si="72"/>
        <v>97</v>
      </c>
      <c r="Z72" s="1">
        <f t="shared" si="72"/>
        <v>98</v>
      </c>
      <c r="AA72" s="1">
        <f t="shared" si="72"/>
        <v>100</v>
      </c>
      <c r="AB72" s="1">
        <f t="shared" si="72"/>
        <v>102</v>
      </c>
      <c r="AC72" s="1">
        <f t="shared" si="72"/>
        <v>104</v>
      </c>
      <c r="AD72" s="1">
        <f t="shared" si="72"/>
        <v>105</v>
      </c>
      <c r="AE72" s="1">
        <f t="shared" si="72"/>
        <v>106</v>
      </c>
      <c r="AF72" s="1">
        <f t="shared" si="72"/>
        <v>108</v>
      </c>
      <c r="AG72" s="1">
        <f t="shared" si="72"/>
        <v>110</v>
      </c>
      <c r="AH72" s="1">
        <f t="shared" si="72"/>
        <v>111</v>
      </c>
      <c r="AI72" s="1">
        <f t="shared" si="72"/>
        <v>112</v>
      </c>
      <c r="AJ72" s="1">
        <f t="shared" si="72"/>
        <v>114</v>
      </c>
      <c r="AK72" s="1">
        <f t="shared" si="72"/>
        <v>117</v>
      </c>
      <c r="AL72" s="1">
        <f t="shared" si="72"/>
        <v>120</v>
      </c>
      <c r="AM72" s="1">
        <f t="shared" si="72"/>
        <v>122</v>
      </c>
      <c r="AN72" s="1">
        <f t="shared" si="72"/>
        <v>123</v>
      </c>
      <c r="AO72" s="1">
        <f t="shared" si="72"/>
        <v>126</v>
      </c>
      <c r="AP72" s="1">
        <f t="shared" si="72"/>
        <v>132</v>
      </c>
      <c r="AR72" s="8">
        <f>COUNTIFS(score3pijlen,AP72)</f>
        <v>23</v>
      </c>
    </row>
    <row r="73">
      <c r="A73" s="2">
        <v>73.0</v>
      </c>
      <c r="B73" s="1">
        <f t="shared" si="2"/>
        <v>74</v>
      </c>
      <c r="C73" s="1">
        <f t="shared" ref="C73:AP73" si="73">C$1+$A73</f>
        <v>75</v>
      </c>
      <c r="D73" s="1">
        <f t="shared" si="73"/>
        <v>76</v>
      </c>
      <c r="E73" s="1">
        <f t="shared" si="73"/>
        <v>77</v>
      </c>
      <c r="F73" s="1">
        <f t="shared" si="73"/>
        <v>78</v>
      </c>
      <c r="G73" s="1">
        <f t="shared" si="73"/>
        <v>79</v>
      </c>
      <c r="H73" s="1">
        <f t="shared" si="73"/>
        <v>80</v>
      </c>
      <c r="I73" s="1">
        <f t="shared" si="73"/>
        <v>81</v>
      </c>
      <c r="J73" s="1">
        <f t="shared" si="73"/>
        <v>82</v>
      </c>
      <c r="K73" s="1">
        <f t="shared" si="73"/>
        <v>83</v>
      </c>
      <c r="L73" s="1">
        <f t="shared" si="73"/>
        <v>84</v>
      </c>
      <c r="M73" s="1">
        <f t="shared" si="73"/>
        <v>85</v>
      </c>
      <c r="N73" s="1">
        <f t="shared" si="73"/>
        <v>86</v>
      </c>
      <c r="O73" s="1">
        <f t="shared" si="73"/>
        <v>87</v>
      </c>
      <c r="P73" s="1">
        <f t="shared" si="73"/>
        <v>88</v>
      </c>
      <c r="Q73" s="1">
        <f t="shared" si="73"/>
        <v>89</v>
      </c>
      <c r="R73" s="1">
        <f t="shared" si="73"/>
        <v>90</v>
      </c>
      <c r="S73" s="1">
        <f t="shared" si="73"/>
        <v>91</v>
      </c>
      <c r="T73" s="1">
        <f t="shared" si="73"/>
        <v>92</v>
      </c>
      <c r="U73" s="1">
        <f t="shared" si="73"/>
        <v>93</v>
      </c>
      <c r="V73" s="1">
        <f t="shared" si="73"/>
        <v>94</v>
      </c>
      <c r="W73" s="1">
        <f t="shared" si="73"/>
        <v>95</v>
      </c>
      <c r="X73" s="1">
        <f t="shared" si="73"/>
        <v>97</v>
      </c>
      <c r="Y73" s="1">
        <f t="shared" si="73"/>
        <v>98</v>
      </c>
      <c r="Z73" s="1">
        <f t="shared" si="73"/>
        <v>99</v>
      </c>
      <c r="AA73" s="1">
        <f t="shared" si="73"/>
        <v>101</v>
      </c>
      <c r="AB73" s="1">
        <f t="shared" si="73"/>
        <v>103</v>
      </c>
      <c r="AC73" s="1">
        <f t="shared" si="73"/>
        <v>105</v>
      </c>
      <c r="AD73" s="1">
        <f t="shared" si="73"/>
        <v>106</v>
      </c>
      <c r="AE73" s="1">
        <f t="shared" si="73"/>
        <v>107</v>
      </c>
      <c r="AF73" s="1">
        <f t="shared" si="73"/>
        <v>109</v>
      </c>
      <c r="AG73" s="1">
        <f t="shared" si="73"/>
        <v>111</v>
      </c>
      <c r="AH73" s="1">
        <f t="shared" si="73"/>
        <v>112</v>
      </c>
      <c r="AI73" s="1">
        <f t="shared" si="73"/>
        <v>113</v>
      </c>
      <c r="AJ73" s="1">
        <f t="shared" si="73"/>
        <v>115</v>
      </c>
      <c r="AK73" s="1">
        <f t="shared" si="73"/>
        <v>118</v>
      </c>
      <c r="AL73" s="1">
        <f t="shared" si="73"/>
        <v>121</v>
      </c>
      <c r="AM73" s="1">
        <f t="shared" si="73"/>
        <v>123</v>
      </c>
      <c r="AN73" s="1">
        <f t="shared" si="73"/>
        <v>124</v>
      </c>
      <c r="AO73" s="1">
        <f t="shared" si="73"/>
        <v>127</v>
      </c>
      <c r="AP73" s="1">
        <f t="shared" si="73"/>
        <v>133</v>
      </c>
      <c r="AR73" s="8">
        <f>COUNTIFS(score3pijlen,AP73)</f>
        <v>21</v>
      </c>
    </row>
    <row r="74">
      <c r="A74" s="2">
        <v>74.0</v>
      </c>
      <c r="B74" s="1">
        <f t="shared" si="2"/>
        <v>75</v>
      </c>
      <c r="C74" s="1">
        <f t="shared" ref="C74:AP74" si="74">C$1+$A74</f>
        <v>76</v>
      </c>
      <c r="D74" s="1">
        <f t="shared" si="74"/>
        <v>77</v>
      </c>
      <c r="E74" s="1">
        <f t="shared" si="74"/>
        <v>78</v>
      </c>
      <c r="F74" s="1">
        <f t="shared" si="74"/>
        <v>79</v>
      </c>
      <c r="G74" s="1">
        <f t="shared" si="74"/>
        <v>80</v>
      </c>
      <c r="H74" s="1">
        <f t="shared" si="74"/>
        <v>81</v>
      </c>
      <c r="I74" s="1">
        <f t="shared" si="74"/>
        <v>82</v>
      </c>
      <c r="J74" s="1">
        <f t="shared" si="74"/>
        <v>83</v>
      </c>
      <c r="K74" s="1">
        <f t="shared" si="74"/>
        <v>84</v>
      </c>
      <c r="L74" s="1">
        <f t="shared" si="74"/>
        <v>85</v>
      </c>
      <c r="M74" s="1">
        <f t="shared" si="74"/>
        <v>86</v>
      </c>
      <c r="N74" s="1">
        <f t="shared" si="74"/>
        <v>87</v>
      </c>
      <c r="O74" s="1">
        <f t="shared" si="74"/>
        <v>88</v>
      </c>
      <c r="P74" s="1">
        <f t="shared" si="74"/>
        <v>89</v>
      </c>
      <c r="Q74" s="1">
        <f t="shared" si="74"/>
        <v>90</v>
      </c>
      <c r="R74" s="1">
        <f t="shared" si="74"/>
        <v>91</v>
      </c>
      <c r="S74" s="1">
        <f t="shared" si="74"/>
        <v>92</v>
      </c>
      <c r="T74" s="1">
        <f t="shared" si="74"/>
        <v>93</v>
      </c>
      <c r="U74" s="1">
        <f t="shared" si="74"/>
        <v>94</v>
      </c>
      <c r="V74" s="1">
        <f t="shared" si="74"/>
        <v>95</v>
      </c>
      <c r="W74" s="1">
        <f t="shared" si="74"/>
        <v>96</v>
      </c>
      <c r="X74" s="1">
        <f t="shared" si="74"/>
        <v>98</v>
      </c>
      <c r="Y74" s="1">
        <f t="shared" si="74"/>
        <v>99</v>
      </c>
      <c r="Z74" s="1">
        <f t="shared" si="74"/>
        <v>100</v>
      </c>
      <c r="AA74" s="1">
        <f t="shared" si="74"/>
        <v>102</v>
      </c>
      <c r="AB74" s="1">
        <f t="shared" si="74"/>
        <v>104</v>
      </c>
      <c r="AC74" s="1">
        <f t="shared" si="74"/>
        <v>106</v>
      </c>
      <c r="AD74" s="1">
        <f t="shared" si="74"/>
        <v>107</v>
      </c>
      <c r="AE74" s="1">
        <f t="shared" si="74"/>
        <v>108</v>
      </c>
      <c r="AF74" s="1">
        <f t="shared" si="74"/>
        <v>110</v>
      </c>
      <c r="AG74" s="1">
        <f t="shared" si="74"/>
        <v>112</v>
      </c>
      <c r="AH74" s="1">
        <f t="shared" si="74"/>
        <v>113</v>
      </c>
      <c r="AI74" s="1">
        <f t="shared" si="74"/>
        <v>114</v>
      </c>
      <c r="AJ74" s="1">
        <f t="shared" si="74"/>
        <v>116</v>
      </c>
      <c r="AK74" s="1">
        <f t="shared" si="74"/>
        <v>119</v>
      </c>
      <c r="AL74" s="1">
        <f t="shared" si="74"/>
        <v>122</v>
      </c>
      <c r="AM74" s="1">
        <f t="shared" si="74"/>
        <v>124</v>
      </c>
      <c r="AN74" s="1">
        <f t="shared" si="74"/>
        <v>125</v>
      </c>
      <c r="AO74" s="1">
        <f t="shared" si="74"/>
        <v>128</v>
      </c>
      <c r="AP74" s="1">
        <f t="shared" si="74"/>
        <v>134</v>
      </c>
      <c r="AR74" s="8">
        <f>COUNTIFS(score3pijlen,AP74)</f>
        <v>20</v>
      </c>
    </row>
    <row r="75">
      <c r="A75" s="2">
        <v>75.0</v>
      </c>
      <c r="B75" s="1">
        <f t="shared" si="2"/>
        <v>76</v>
      </c>
      <c r="C75" s="1">
        <f t="shared" ref="C75:AP75" si="75">C$1+$A75</f>
        <v>77</v>
      </c>
      <c r="D75" s="1">
        <f t="shared" si="75"/>
        <v>78</v>
      </c>
      <c r="E75" s="1">
        <f t="shared" si="75"/>
        <v>79</v>
      </c>
      <c r="F75" s="1">
        <f t="shared" si="75"/>
        <v>80</v>
      </c>
      <c r="G75" s="1">
        <f t="shared" si="75"/>
        <v>81</v>
      </c>
      <c r="H75" s="1">
        <f t="shared" si="75"/>
        <v>82</v>
      </c>
      <c r="I75" s="1">
        <f t="shared" si="75"/>
        <v>83</v>
      </c>
      <c r="J75" s="1">
        <f t="shared" si="75"/>
        <v>84</v>
      </c>
      <c r="K75" s="1">
        <f t="shared" si="75"/>
        <v>85</v>
      </c>
      <c r="L75" s="1">
        <f t="shared" si="75"/>
        <v>86</v>
      </c>
      <c r="M75" s="1">
        <f t="shared" si="75"/>
        <v>87</v>
      </c>
      <c r="N75" s="1">
        <f t="shared" si="75"/>
        <v>88</v>
      </c>
      <c r="O75" s="1">
        <f t="shared" si="75"/>
        <v>89</v>
      </c>
      <c r="P75" s="1">
        <f t="shared" si="75"/>
        <v>90</v>
      </c>
      <c r="Q75" s="1">
        <f t="shared" si="75"/>
        <v>91</v>
      </c>
      <c r="R75" s="1">
        <f t="shared" si="75"/>
        <v>92</v>
      </c>
      <c r="S75" s="1">
        <f t="shared" si="75"/>
        <v>93</v>
      </c>
      <c r="T75" s="1">
        <f t="shared" si="75"/>
        <v>94</v>
      </c>
      <c r="U75" s="1">
        <f t="shared" si="75"/>
        <v>95</v>
      </c>
      <c r="V75" s="1">
        <f t="shared" si="75"/>
        <v>96</v>
      </c>
      <c r="W75" s="1">
        <f t="shared" si="75"/>
        <v>97</v>
      </c>
      <c r="X75" s="1">
        <f t="shared" si="75"/>
        <v>99</v>
      </c>
      <c r="Y75" s="1">
        <f t="shared" si="75"/>
        <v>100</v>
      </c>
      <c r="Z75" s="1">
        <f t="shared" si="75"/>
        <v>101</v>
      </c>
      <c r="AA75" s="1">
        <f t="shared" si="75"/>
        <v>103</v>
      </c>
      <c r="AB75" s="1">
        <f t="shared" si="75"/>
        <v>105</v>
      </c>
      <c r="AC75" s="1">
        <f t="shared" si="75"/>
        <v>107</v>
      </c>
      <c r="AD75" s="1">
        <f t="shared" si="75"/>
        <v>108</v>
      </c>
      <c r="AE75" s="1">
        <f t="shared" si="75"/>
        <v>109</v>
      </c>
      <c r="AF75" s="1">
        <f t="shared" si="75"/>
        <v>111</v>
      </c>
      <c r="AG75" s="1">
        <f t="shared" si="75"/>
        <v>113</v>
      </c>
      <c r="AH75" s="1">
        <f t="shared" si="75"/>
        <v>114</v>
      </c>
      <c r="AI75" s="1">
        <f t="shared" si="75"/>
        <v>115</v>
      </c>
      <c r="AJ75" s="1">
        <f t="shared" si="75"/>
        <v>117</v>
      </c>
      <c r="AK75" s="1">
        <f t="shared" si="75"/>
        <v>120</v>
      </c>
      <c r="AL75" s="1">
        <f t="shared" si="75"/>
        <v>123</v>
      </c>
      <c r="AM75" s="1">
        <f t="shared" si="75"/>
        <v>125</v>
      </c>
      <c r="AN75" s="1">
        <f t="shared" si="75"/>
        <v>126</v>
      </c>
      <c r="AO75" s="1">
        <f t="shared" si="75"/>
        <v>129</v>
      </c>
      <c r="AP75" s="1">
        <f t="shared" si="75"/>
        <v>135</v>
      </c>
      <c r="AR75" s="8">
        <f>COUNTIFS(score3pijlen,AP75)</f>
        <v>20</v>
      </c>
    </row>
    <row r="76">
      <c r="A76" s="2">
        <v>76.0</v>
      </c>
      <c r="B76" s="1">
        <f t="shared" si="2"/>
        <v>77</v>
      </c>
      <c r="C76" s="1">
        <f t="shared" ref="C76:AP76" si="76">C$1+$A76</f>
        <v>78</v>
      </c>
      <c r="D76" s="1">
        <f t="shared" si="76"/>
        <v>79</v>
      </c>
      <c r="E76" s="1">
        <f t="shared" si="76"/>
        <v>80</v>
      </c>
      <c r="F76" s="1">
        <f t="shared" si="76"/>
        <v>81</v>
      </c>
      <c r="G76" s="1">
        <f t="shared" si="76"/>
        <v>82</v>
      </c>
      <c r="H76" s="1">
        <f t="shared" si="76"/>
        <v>83</v>
      </c>
      <c r="I76" s="1">
        <f t="shared" si="76"/>
        <v>84</v>
      </c>
      <c r="J76" s="1">
        <f t="shared" si="76"/>
        <v>85</v>
      </c>
      <c r="K76" s="1">
        <f t="shared" si="76"/>
        <v>86</v>
      </c>
      <c r="L76" s="1">
        <f t="shared" si="76"/>
        <v>87</v>
      </c>
      <c r="M76" s="1">
        <f t="shared" si="76"/>
        <v>88</v>
      </c>
      <c r="N76" s="1">
        <f t="shared" si="76"/>
        <v>89</v>
      </c>
      <c r="O76" s="1">
        <f t="shared" si="76"/>
        <v>90</v>
      </c>
      <c r="P76" s="1">
        <f t="shared" si="76"/>
        <v>91</v>
      </c>
      <c r="Q76" s="1">
        <f t="shared" si="76"/>
        <v>92</v>
      </c>
      <c r="R76" s="1">
        <f t="shared" si="76"/>
        <v>93</v>
      </c>
      <c r="S76" s="1">
        <f t="shared" si="76"/>
        <v>94</v>
      </c>
      <c r="T76" s="1">
        <f t="shared" si="76"/>
        <v>95</v>
      </c>
      <c r="U76" s="1">
        <f t="shared" si="76"/>
        <v>96</v>
      </c>
      <c r="V76" s="1">
        <f t="shared" si="76"/>
        <v>97</v>
      </c>
      <c r="W76" s="1">
        <f t="shared" si="76"/>
        <v>98</v>
      </c>
      <c r="X76" s="1">
        <f t="shared" si="76"/>
        <v>100</v>
      </c>
      <c r="Y76" s="1">
        <f t="shared" si="76"/>
        <v>101</v>
      </c>
      <c r="Z76" s="1">
        <f t="shared" si="76"/>
        <v>102</v>
      </c>
      <c r="AA76" s="1">
        <f t="shared" si="76"/>
        <v>104</v>
      </c>
      <c r="AB76" s="1">
        <f t="shared" si="76"/>
        <v>106</v>
      </c>
      <c r="AC76" s="1">
        <f t="shared" si="76"/>
        <v>108</v>
      </c>
      <c r="AD76" s="1">
        <f t="shared" si="76"/>
        <v>109</v>
      </c>
      <c r="AE76" s="1">
        <f t="shared" si="76"/>
        <v>110</v>
      </c>
      <c r="AF76" s="1">
        <f t="shared" si="76"/>
        <v>112</v>
      </c>
      <c r="AG76" s="1">
        <f t="shared" si="76"/>
        <v>114</v>
      </c>
      <c r="AH76" s="1">
        <f t="shared" si="76"/>
        <v>115</v>
      </c>
      <c r="AI76" s="1">
        <f t="shared" si="76"/>
        <v>116</v>
      </c>
      <c r="AJ76" s="1">
        <f t="shared" si="76"/>
        <v>118</v>
      </c>
      <c r="AK76" s="1">
        <f t="shared" si="76"/>
        <v>121</v>
      </c>
      <c r="AL76" s="1">
        <f t="shared" si="76"/>
        <v>124</v>
      </c>
      <c r="AM76" s="1">
        <f t="shared" si="76"/>
        <v>126</v>
      </c>
      <c r="AN76" s="1">
        <f t="shared" si="76"/>
        <v>127</v>
      </c>
      <c r="AO76" s="1">
        <f t="shared" si="76"/>
        <v>130</v>
      </c>
      <c r="AP76" s="1">
        <f t="shared" si="76"/>
        <v>136</v>
      </c>
      <c r="AR76" s="8">
        <f>COUNTIFS(score3pijlen,AP76)</f>
        <v>19</v>
      </c>
    </row>
    <row r="77">
      <c r="A77" s="2">
        <v>77.0</v>
      </c>
      <c r="B77" s="1">
        <f t="shared" si="2"/>
        <v>78</v>
      </c>
      <c r="C77" s="1">
        <f t="shared" ref="C77:AP77" si="77">C$1+$A77</f>
        <v>79</v>
      </c>
      <c r="D77" s="1">
        <f t="shared" si="77"/>
        <v>80</v>
      </c>
      <c r="E77" s="1">
        <f t="shared" si="77"/>
        <v>81</v>
      </c>
      <c r="F77" s="1">
        <f t="shared" si="77"/>
        <v>82</v>
      </c>
      <c r="G77" s="1">
        <f t="shared" si="77"/>
        <v>83</v>
      </c>
      <c r="H77" s="1">
        <f t="shared" si="77"/>
        <v>84</v>
      </c>
      <c r="I77" s="1">
        <f t="shared" si="77"/>
        <v>85</v>
      </c>
      <c r="J77" s="1">
        <f t="shared" si="77"/>
        <v>86</v>
      </c>
      <c r="K77" s="1">
        <f t="shared" si="77"/>
        <v>87</v>
      </c>
      <c r="L77" s="1">
        <f t="shared" si="77"/>
        <v>88</v>
      </c>
      <c r="M77" s="1">
        <f t="shared" si="77"/>
        <v>89</v>
      </c>
      <c r="N77" s="1">
        <f t="shared" si="77"/>
        <v>90</v>
      </c>
      <c r="O77" s="1">
        <f t="shared" si="77"/>
        <v>91</v>
      </c>
      <c r="P77" s="1">
        <f t="shared" si="77"/>
        <v>92</v>
      </c>
      <c r="Q77" s="1">
        <f t="shared" si="77"/>
        <v>93</v>
      </c>
      <c r="R77" s="1">
        <f t="shared" si="77"/>
        <v>94</v>
      </c>
      <c r="S77" s="1">
        <f t="shared" si="77"/>
        <v>95</v>
      </c>
      <c r="T77" s="1">
        <f t="shared" si="77"/>
        <v>96</v>
      </c>
      <c r="U77" s="1">
        <f t="shared" si="77"/>
        <v>97</v>
      </c>
      <c r="V77" s="1">
        <f t="shared" si="77"/>
        <v>98</v>
      </c>
      <c r="W77" s="1">
        <f t="shared" si="77"/>
        <v>99</v>
      </c>
      <c r="X77" s="1">
        <f t="shared" si="77"/>
        <v>101</v>
      </c>
      <c r="Y77" s="1">
        <f t="shared" si="77"/>
        <v>102</v>
      </c>
      <c r="Z77" s="1">
        <f t="shared" si="77"/>
        <v>103</v>
      </c>
      <c r="AA77" s="1">
        <f t="shared" si="77"/>
        <v>105</v>
      </c>
      <c r="AB77" s="1">
        <f t="shared" si="77"/>
        <v>107</v>
      </c>
      <c r="AC77" s="1">
        <f t="shared" si="77"/>
        <v>109</v>
      </c>
      <c r="AD77" s="1">
        <f t="shared" si="77"/>
        <v>110</v>
      </c>
      <c r="AE77" s="1">
        <f t="shared" si="77"/>
        <v>111</v>
      </c>
      <c r="AF77" s="1">
        <f t="shared" si="77"/>
        <v>113</v>
      </c>
      <c r="AG77" s="1">
        <f t="shared" si="77"/>
        <v>115</v>
      </c>
      <c r="AH77" s="1">
        <f t="shared" si="77"/>
        <v>116</v>
      </c>
      <c r="AI77" s="1">
        <f t="shared" si="77"/>
        <v>117</v>
      </c>
      <c r="AJ77" s="1">
        <f t="shared" si="77"/>
        <v>119</v>
      </c>
      <c r="AK77" s="1">
        <f t="shared" si="77"/>
        <v>122</v>
      </c>
      <c r="AL77" s="1">
        <f t="shared" si="77"/>
        <v>125</v>
      </c>
      <c r="AM77" s="1">
        <f t="shared" si="77"/>
        <v>127</v>
      </c>
      <c r="AN77" s="1">
        <f t="shared" si="77"/>
        <v>128</v>
      </c>
      <c r="AO77" s="1">
        <f t="shared" si="77"/>
        <v>131</v>
      </c>
      <c r="AP77" s="1">
        <f t="shared" si="77"/>
        <v>137</v>
      </c>
      <c r="AR77" s="8">
        <f>COUNTIFS(score3pijlen,AP77)</f>
        <v>17</v>
      </c>
    </row>
    <row r="78">
      <c r="A78" s="2">
        <v>78.0</v>
      </c>
      <c r="B78" s="1">
        <f t="shared" si="2"/>
        <v>79</v>
      </c>
      <c r="C78" s="1">
        <f t="shared" ref="C78:AP78" si="78">C$1+$A78</f>
        <v>80</v>
      </c>
      <c r="D78" s="1">
        <f t="shared" si="78"/>
        <v>81</v>
      </c>
      <c r="E78" s="1">
        <f t="shared" si="78"/>
        <v>82</v>
      </c>
      <c r="F78" s="1">
        <f t="shared" si="78"/>
        <v>83</v>
      </c>
      <c r="G78" s="1">
        <f t="shared" si="78"/>
        <v>84</v>
      </c>
      <c r="H78" s="1">
        <f t="shared" si="78"/>
        <v>85</v>
      </c>
      <c r="I78" s="1">
        <f t="shared" si="78"/>
        <v>86</v>
      </c>
      <c r="J78" s="1">
        <f t="shared" si="78"/>
        <v>87</v>
      </c>
      <c r="K78" s="1">
        <f t="shared" si="78"/>
        <v>88</v>
      </c>
      <c r="L78" s="1">
        <f t="shared" si="78"/>
        <v>89</v>
      </c>
      <c r="M78" s="1">
        <f t="shared" si="78"/>
        <v>90</v>
      </c>
      <c r="N78" s="1">
        <f t="shared" si="78"/>
        <v>91</v>
      </c>
      <c r="O78" s="1">
        <f t="shared" si="78"/>
        <v>92</v>
      </c>
      <c r="P78" s="1">
        <f t="shared" si="78"/>
        <v>93</v>
      </c>
      <c r="Q78" s="1">
        <f t="shared" si="78"/>
        <v>94</v>
      </c>
      <c r="R78" s="1">
        <f t="shared" si="78"/>
        <v>95</v>
      </c>
      <c r="S78" s="1">
        <f t="shared" si="78"/>
        <v>96</v>
      </c>
      <c r="T78" s="1">
        <f t="shared" si="78"/>
        <v>97</v>
      </c>
      <c r="U78" s="1">
        <f t="shared" si="78"/>
        <v>98</v>
      </c>
      <c r="V78" s="1">
        <f t="shared" si="78"/>
        <v>99</v>
      </c>
      <c r="W78" s="1">
        <f t="shared" si="78"/>
        <v>100</v>
      </c>
      <c r="X78" s="1">
        <f t="shared" si="78"/>
        <v>102</v>
      </c>
      <c r="Y78" s="1">
        <f t="shared" si="78"/>
        <v>103</v>
      </c>
      <c r="Z78" s="1">
        <f t="shared" si="78"/>
        <v>104</v>
      </c>
      <c r="AA78" s="1">
        <f t="shared" si="78"/>
        <v>106</v>
      </c>
      <c r="AB78" s="1">
        <f t="shared" si="78"/>
        <v>108</v>
      </c>
      <c r="AC78" s="1">
        <f t="shared" si="78"/>
        <v>110</v>
      </c>
      <c r="AD78" s="1">
        <f t="shared" si="78"/>
        <v>111</v>
      </c>
      <c r="AE78" s="1">
        <f t="shared" si="78"/>
        <v>112</v>
      </c>
      <c r="AF78" s="1">
        <f t="shared" si="78"/>
        <v>114</v>
      </c>
      <c r="AG78" s="1">
        <f t="shared" si="78"/>
        <v>116</v>
      </c>
      <c r="AH78" s="1">
        <f t="shared" si="78"/>
        <v>117</v>
      </c>
      <c r="AI78" s="1">
        <f t="shared" si="78"/>
        <v>118</v>
      </c>
      <c r="AJ78" s="1">
        <f t="shared" si="78"/>
        <v>120</v>
      </c>
      <c r="AK78" s="1">
        <f t="shared" si="78"/>
        <v>123</v>
      </c>
      <c r="AL78" s="1">
        <f t="shared" si="78"/>
        <v>126</v>
      </c>
      <c r="AM78" s="1">
        <f t="shared" si="78"/>
        <v>128</v>
      </c>
      <c r="AN78" s="1">
        <f t="shared" si="78"/>
        <v>129</v>
      </c>
      <c r="AO78" s="1">
        <f t="shared" si="78"/>
        <v>132</v>
      </c>
      <c r="AP78" s="1">
        <f t="shared" si="78"/>
        <v>138</v>
      </c>
      <c r="AR78" s="8">
        <f>COUNTIFS(score3pijlen,AP78)</f>
        <v>18</v>
      </c>
    </row>
    <row r="79">
      <c r="A79" s="2">
        <v>79.0</v>
      </c>
      <c r="B79" s="1">
        <f t="shared" si="2"/>
        <v>80</v>
      </c>
      <c r="C79" s="1">
        <f t="shared" ref="C79:AP79" si="79">C$1+$A79</f>
        <v>81</v>
      </c>
      <c r="D79" s="1">
        <f t="shared" si="79"/>
        <v>82</v>
      </c>
      <c r="E79" s="1">
        <f t="shared" si="79"/>
        <v>83</v>
      </c>
      <c r="F79" s="1">
        <f t="shared" si="79"/>
        <v>84</v>
      </c>
      <c r="G79" s="1">
        <f t="shared" si="79"/>
        <v>85</v>
      </c>
      <c r="H79" s="1">
        <f t="shared" si="79"/>
        <v>86</v>
      </c>
      <c r="I79" s="1">
        <f t="shared" si="79"/>
        <v>87</v>
      </c>
      <c r="J79" s="1">
        <f t="shared" si="79"/>
        <v>88</v>
      </c>
      <c r="K79" s="1">
        <f t="shared" si="79"/>
        <v>89</v>
      </c>
      <c r="L79" s="1">
        <f t="shared" si="79"/>
        <v>90</v>
      </c>
      <c r="M79" s="1">
        <f t="shared" si="79"/>
        <v>91</v>
      </c>
      <c r="N79" s="1">
        <f t="shared" si="79"/>
        <v>92</v>
      </c>
      <c r="O79" s="1">
        <f t="shared" si="79"/>
        <v>93</v>
      </c>
      <c r="P79" s="1">
        <f t="shared" si="79"/>
        <v>94</v>
      </c>
      <c r="Q79" s="1">
        <f t="shared" si="79"/>
        <v>95</v>
      </c>
      <c r="R79" s="1">
        <f t="shared" si="79"/>
        <v>96</v>
      </c>
      <c r="S79" s="1">
        <f t="shared" si="79"/>
        <v>97</v>
      </c>
      <c r="T79" s="1">
        <f t="shared" si="79"/>
        <v>98</v>
      </c>
      <c r="U79" s="1">
        <f t="shared" si="79"/>
        <v>99</v>
      </c>
      <c r="V79" s="1">
        <f t="shared" si="79"/>
        <v>100</v>
      </c>
      <c r="W79" s="1">
        <f t="shared" si="79"/>
        <v>101</v>
      </c>
      <c r="X79" s="1">
        <f t="shared" si="79"/>
        <v>103</v>
      </c>
      <c r="Y79" s="1">
        <f t="shared" si="79"/>
        <v>104</v>
      </c>
      <c r="Z79" s="1">
        <f t="shared" si="79"/>
        <v>105</v>
      </c>
      <c r="AA79" s="1">
        <f t="shared" si="79"/>
        <v>107</v>
      </c>
      <c r="AB79" s="1">
        <f t="shared" si="79"/>
        <v>109</v>
      </c>
      <c r="AC79" s="1">
        <f t="shared" si="79"/>
        <v>111</v>
      </c>
      <c r="AD79" s="1">
        <f t="shared" si="79"/>
        <v>112</v>
      </c>
      <c r="AE79" s="1">
        <f t="shared" si="79"/>
        <v>113</v>
      </c>
      <c r="AF79" s="1">
        <f t="shared" si="79"/>
        <v>115</v>
      </c>
      <c r="AG79" s="1">
        <f t="shared" si="79"/>
        <v>117</v>
      </c>
      <c r="AH79" s="1">
        <f t="shared" si="79"/>
        <v>118</v>
      </c>
      <c r="AI79" s="1">
        <f t="shared" si="79"/>
        <v>119</v>
      </c>
      <c r="AJ79" s="1">
        <f t="shared" si="79"/>
        <v>121</v>
      </c>
      <c r="AK79" s="1">
        <f t="shared" si="79"/>
        <v>124</v>
      </c>
      <c r="AL79" s="1">
        <f t="shared" si="79"/>
        <v>127</v>
      </c>
      <c r="AM79" s="1">
        <f t="shared" si="79"/>
        <v>129</v>
      </c>
      <c r="AN79" s="1">
        <f t="shared" si="79"/>
        <v>130</v>
      </c>
      <c r="AO79" s="1">
        <f t="shared" si="79"/>
        <v>133</v>
      </c>
      <c r="AP79" s="1">
        <f t="shared" si="79"/>
        <v>139</v>
      </c>
      <c r="AR79" s="8">
        <f>COUNTIFS(score3pijlen,AP79)</f>
        <v>16</v>
      </c>
    </row>
    <row r="80">
      <c r="A80" s="2">
        <v>80.0</v>
      </c>
      <c r="B80" s="1">
        <f t="shared" si="2"/>
        <v>81</v>
      </c>
      <c r="C80" s="1">
        <f t="shared" ref="C80:AP80" si="80">C$1+$A80</f>
        <v>82</v>
      </c>
      <c r="D80" s="1">
        <f t="shared" si="80"/>
        <v>83</v>
      </c>
      <c r="E80" s="1">
        <f t="shared" si="80"/>
        <v>84</v>
      </c>
      <c r="F80" s="1">
        <f t="shared" si="80"/>
        <v>85</v>
      </c>
      <c r="G80" s="1">
        <f t="shared" si="80"/>
        <v>86</v>
      </c>
      <c r="H80" s="1">
        <f t="shared" si="80"/>
        <v>87</v>
      </c>
      <c r="I80" s="1">
        <f t="shared" si="80"/>
        <v>88</v>
      </c>
      <c r="J80" s="1">
        <f t="shared" si="80"/>
        <v>89</v>
      </c>
      <c r="K80" s="1">
        <f t="shared" si="80"/>
        <v>90</v>
      </c>
      <c r="L80" s="1">
        <f t="shared" si="80"/>
        <v>91</v>
      </c>
      <c r="M80" s="1">
        <f t="shared" si="80"/>
        <v>92</v>
      </c>
      <c r="N80" s="1">
        <f t="shared" si="80"/>
        <v>93</v>
      </c>
      <c r="O80" s="1">
        <f t="shared" si="80"/>
        <v>94</v>
      </c>
      <c r="P80" s="1">
        <f t="shared" si="80"/>
        <v>95</v>
      </c>
      <c r="Q80" s="1">
        <f t="shared" si="80"/>
        <v>96</v>
      </c>
      <c r="R80" s="1">
        <f t="shared" si="80"/>
        <v>97</v>
      </c>
      <c r="S80" s="1">
        <f t="shared" si="80"/>
        <v>98</v>
      </c>
      <c r="T80" s="1">
        <f t="shared" si="80"/>
        <v>99</v>
      </c>
      <c r="U80" s="1">
        <f t="shared" si="80"/>
        <v>100</v>
      </c>
      <c r="V80" s="1">
        <f t="shared" si="80"/>
        <v>101</v>
      </c>
      <c r="W80" s="1">
        <f t="shared" si="80"/>
        <v>102</v>
      </c>
      <c r="X80" s="1">
        <f t="shared" si="80"/>
        <v>104</v>
      </c>
      <c r="Y80" s="1">
        <f t="shared" si="80"/>
        <v>105</v>
      </c>
      <c r="Z80" s="1">
        <f t="shared" si="80"/>
        <v>106</v>
      </c>
      <c r="AA80" s="1">
        <f t="shared" si="80"/>
        <v>108</v>
      </c>
      <c r="AB80" s="1">
        <f t="shared" si="80"/>
        <v>110</v>
      </c>
      <c r="AC80" s="1">
        <f t="shared" si="80"/>
        <v>112</v>
      </c>
      <c r="AD80" s="1">
        <f t="shared" si="80"/>
        <v>113</v>
      </c>
      <c r="AE80" s="1">
        <f t="shared" si="80"/>
        <v>114</v>
      </c>
      <c r="AF80" s="1">
        <f t="shared" si="80"/>
        <v>116</v>
      </c>
      <c r="AG80" s="1">
        <f t="shared" si="80"/>
        <v>118</v>
      </c>
      <c r="AH80" s="1">
        <f t="shared" si="80"/>
        <v>119</v>
      </c>
      <c r="AI80" s="1">
        <f t="shared" si="80"/>
        <v>120</v>
      </c>
      <c r="AJ80" s="1">
        <f t="shared" si="80"/>
        <v>122</v>
      </c>
      <c r="AK80" s="1">
        <f t="shared" si="80"/>
        <v>125</v>
      </c>
      <c r="AL80" s="1">
        <f t="shared" si="80"/>
        <v>128</v>
      </c>
      <c r="AM80" s="1">
        <f t="shared" si="80"/>
        <v>130</v>
      </c>
      <c r="AN80" s="1">
        <f t="shared" si="80"/>
        <v>131</v>
      </c>
      <c r="AO80" s="1">
        <f t="shared" si="80"/>
        <v>134</v>
      </c>
      <c r="AP80" s="1">
        <f t="shared" si="80"/>
        <v>140</v>
      </c>
      <c r="AR80" s="8">
        <f>COUNTIFS(score3pijlen,AP80)</f>
        <v>16</v>
      </c>
    </row>
    <row r="81">
      <c r="A81" s="2">
        <v>81.0</v>
      </c>
      <c r="B81" s="1">
        <f t="shared" si="2"/>
        <v>82</v>
      </c>
      <c r="C81" s="1">
        <f t="shared" ref="C81:AP81" si="81">C$1+$A81</f>
        <v>83</v>
      </c>
      <c r="D81" s="1">
        <f t="shared" si="81"/>
        <v>84</v>
      </c>
      <c r="E81" s="1">
        <f t="shared" si="81"/>
        <v>85</v>
      </c>
      <c r="F81" s="1">
        <f t="shared" si="81"/>
        <v>86</v>
      </c>
      <c r="G81" s="1">
        <f t="shared" si="81"/>
        <v>87</v>
      </c>
      <c r="H81" s="1">
        <f t="shared" si="81"/>
        <v>88</v>
      </c>
      <c r="I81" s="1">
        <f t="shared" si="81"/>
        <v>89</v>
      </c>
      <c r="J81" s="1">
        <f t="shared" si="81"/>
        <v>90</v>
      </c>
      <c r="K81" s="1">
        <f t="shared" si="81"/>
        <v>91</v>
      </c>
      <c r="L81" s="1">
        <f t="shared" si="81"/>
        <v>92</v>
      </c>
      <c r="M81" s="1">
        <f t="shared" si="81"/>
        <v>93</v>
      </c>
      <c r="N81" s="1">
        <f t="shared" si="81"/>
        <v>94</v>
      </c>
      <c r="O81" s="1">
        <f t="shared" si="81"/>
        <v>95</v>
      </c>
      <c r="P81" s="1">
        <f t="shared" si="81"/>
        <v>96</v>
      </c>
      <c r="Q81" s="1">
        <f t="shared" si="81"/>
        <v>97</v>
      </c>
      <c r="R81" s="1">
        <f t="shared" si="81"/>
        <v>98</v>
      </c>
      <c r="S81" s="1">
        <f t="shared" si="81"/>
        <v>99</v>
      </c>
      <c r="T81" s="1">
        <f t="shared" si="81"/>
        <v>100</v>
      </c>
      <c r="U81" s="1">
        <f t="shared" si="81"/>
        <v>101</v>
      </c>
      <c r="V81" s="1">
        <f t="shared" si="81"/>
        <v>102</v>
      </c>
      <c r="W81" s="1">
        <f t="shared" si="81"/>
        <v>103</v>
      </c>
      <c r="X81" s="1">
        <f t="shared" si="81"/>
        <v>105</v>
      </c>
      <c r="Y81" s="1">
        <f t="shared" si="81"/>
        <v>106</v>
      </c>
      <c r="Z81" s="1">
        <f t="shared" si="81"/>
        <v>107</v>
      </c>
      <c r="AA81" s="1">
        <f t="shared" si="81"/>
        <v>109</v>
      </c>
      <c r="AB81" s="1">
        <f t="shared" si="81"/>
        <v>111</v>
      </c>
      <c r="AC81" s="1">
        <f t="shared" si="81"/>
        <v>113</v>
      </c>
      <c r="AD81" s="1">
        <f t="shared" si="81"/>
        <v>114</v>
      </c>
      <c r="AE81" s="1">
        <f t="shared" si="81"/>
        <v>115</v>
      </c>
      <c r="AF81" s="1">
        <f t="shared" si="81"/>
        <v>117</v>
      </c>
      <c r="AG81" s="1">
        <f t="shared" si="81"/>
        <v>119</v>
      </c>
      <c r="AH81" s="1">
        <f t="shared" si="81"/>
        <v>120</v>
      </c>
      <c r="AI81" s="1">
        <f t="shared" si="81"/>
        <v>121</v>
      </c>
      <c r="AJ81" s="1">
        <f t="shared" si="81"/>
        <v>123</v>
      </c>
      <c r="AK81" s="1">
        <f t="shared" si="81"/>
        <v>126</v>
      </c>
      <c r="AL81" s="1">
        <f t="shared" si="81"/>
        <v>129</v>
      </c>
      <c r="AM81" s="1">
        <f t="shared" si="81"/>
        <v>131</v>
      </c>
      <c r="AN81" s="1">
        <f t="shared" si="81"/>
        <v>132</v>
      </c>
      <c r="AO81" s="1">
        <f t="shared" si="81"/>
        <v>135</v>
      </c>
      <c r="AP81" s="1">
        <f t="shared" si="81"/>
        <v>141</v>
      </c>
      <c r="AR81" s="8">
        <f>COUNTIFS(score3pijlen,AP81)</f>
        <v>15</v>
      </c>
    </row>
    <row r="82">
      <c r="A82" s="2">
        <v>82.0</v>
      </c>
      <c r="B82" s="1">
        <f t="shared" si="2"/>
        <v>83</v>
      </c>
      <c r="C82" s="1">
        <f t="shared" ref="C82:AP82" si="82">C$1+$A82</f>
        <v>84</v>
      </c>
      <c r="D82" s="1">
        <f t="shared" si="82"/>
        <v>85</v>
      </c>
      <c r="E82" s="1">
        <f t="shared" si="82"/>
        <v>86</v>
      </c>
      <c r="F82" s="1">
        <f t="shared" si="82"/>
        <v>87</v>
      </c>
      <c r="G82" s="1">
        <f t="shared" si="82"/>
        <v>88</v>
      </c>
      <c r="H82" s="1">
        <f t="shared" si="82"/>
        <v>89</v>
      </c>
      <c r="I82" s="1">
        <f t="shared" si="82"/>
        <v>90</v>
      </c>
      <c r="J82" s="1">
        <f t="shared" si="82"/>
        <v>91</v>
      </c>
      <c r="K82" s="1">
        <f t="shared" si="82"/>
        <v>92</v>
      </c>
      <c r="L82" s="1">
        <f t="shared" si="82"/>
        <v>93</v>
      </c>
      <c r="M82" s="1">
        <f t="shared" si="82"/>
        <v>94</v>
      </c>
      <c r="N82" s="1">
        <f t="shared" si="82"/>
        <v>95</v>
      </c>
      <c r="O82" s="1">
        <f t="shared" si="82"/>
        <v>96</v>
      </c>
      <c r="P82" s="1">
        <f t="shared" si="82"/>
        <v>97</v>
      </c>
      <c r="Q82" s="1">
        <f t="shared" si="82"/>
        <v>98</v>
      </c>
      <c r="R82" s="1">
        <f t="shared" si="82"/>
        <v>99</v>
      </c>
      <c r="S82" s="1">
        <f t="shared" si="82"/>
        <v>100</v>
      </c>
      <c r="T82" s="1">
        <f t="shared" si="82"/>
        <v>101</v>
      </c>
      <c r="U82" s="1">
        <f t="shared" si="82"/>
        <v>102</v>
      </c>
      <c r="V82" s="1">
        <f t="shared" si="82"/>
        <v>103</v>
      </c>
      <c r="W82" s="1">
        <f t="shared" si="82"/>
        <v>104</v>
      </c>
      <c r="X82" s="1">
        <f t="shared" si="82"/>
        <v>106</v>
      </c>
      <c r="Y82" s="1">
        <f t="shared" si="82"/>
        <v>107</v>
      </c>
      <c r="Z82" s="1">
        <f t="shared" si="82"/>
        <v>108</v>
      </c>
      <c r="AA82" s="1">
        <f t="shared" si="82"/>
        <v>110</v>
      </c>
      <c r="AB82" s="1">
        <f t="shared" si="82"/>
        <v>112</v>
      </c>
      <c r="AC82" s="1">
        <f t="shared" si="82"/>
        <v>114</v>
      </c>
      <c r="AD82" s="1">
        <f t="shared" si="82"/>
        <v>115</v>
      </c>
      <c r="AE82" s="1">
        <f t="shared" si="82"/>
        <v>116</v>
      </c>
      <c r="AF82" s="1">
        <f t="shared" si="82"/>
        <v>118</v>
      </c>
      <c r="AG82" s="1">
        <f t="shared" si="82"/>
        <v>120</v>
      </c>
      <c r="AH82" s="1">
        <f t="shared" si="82"/>
        <v>121</v>
      </c>
      <c r="AI82" s="1">
        <f t="shared" si="82"/>
        <v>122</v>
      </c>
      <c r="AJ82" s="1">
        <f t="shared" si="82"/>
        <v>124</v>
      </c>
      <c r="AK82" s="1">
        <f t="shared" si="82"/>
        <v>127</v>
      </c>
      <c r="AL82" s="1">
        <f t="shared" si="82"/>
        <v>130</v>
      </c>
      <c r="AM82" s="1">
        <f t="shared" si="82"/>
        <v>132</v>
      </c>
      <c r="AN82" s="1">
        <f t="shared" si="82"/>
        <v>133</v>
      </c>
      <c r="AO82" s="1">
        <f t="shared" si="82"/>
        <v>136</v>
      </c>
      <c r="AP82" s="1">
        <f t="shared" si="82"/>
        <v>142</v>
      </c>
      <c r="AR82" s="8">
        <f>COUNTIFS(score3pijlen,AP82)</f>
        <v>14</v>
      </c>
    </row>
    <row r="83">
      <c r="A83" s="2">
        <v>83.0</v>
      </c>
      <c r="B83" s="1">
        <f t="shared" si="2"/>
        <v>84</v>
      </c>
      <c r="C83" s="1">
        <f t="shared" ref="C83:AP83" si="83">C$1+$A83</f>
        <v>85</v>
      </c>
      <c r="D83" s="1">
        <f t="shared" si="83"/>
        <v>86</v>
      </c>
      <c r="E83" s="1">
        <f t="shared" si="83"/>
        <v>87</v>
      </c>
      <c r="F83" s="1">
        <f t="shared" si="83"/>
        <v>88</v>
      </c>
      <c r="G83" s="1">
        <f t="shared" si="83"/>
        <v>89</v>
      </c>
      <c r="H83" s="1">
        <f t="shared" si="83"/>
        <v>90</v>
      </c>
      <c r="I83" s="1">
        <f t="shared" si="83"/>
        <v>91</v>
      </c>
      <c r="J83" s="1">
        <f t="shared" si="83"/>
        <v>92</v>
      </c>
      <c r="K83" s="1">
        <f t="shared" si="83"/>
        <v>93</v>
      </c>
      <c r="L83" s="1">
        <f t="shared" si="83"/>
        <v>94</v>
      </c>
      <c r="M83" s="1">
        <f t="shared" si="83"/>
        <v>95</v>
      </c>
      <c r="N83" s="1">
        <f t="shared" si="83"/>
        <v>96</v>
      </c>
      <c r="O83" s="1">
        <f t="shared" si="83"/>
        <v>97</v>
      </c>
      <c r="P83" s="1">
        <f t="shared" si="83"/>
        <v>98</v>
      </c>
      <c r="Q83" s="1">
        <f t="shared" si="83"/>
        <v>99</v>
      </c>
      <c r="R83" s="1">
        <f t="shared" si="83"/>
        <v>100</v>
      </c>
      <c r="S83" s="1">
        <f t="shared" si="83"/>
        <v>101</v>
      </c>
      <c r="T83" s="1">
        <f t="shared" si="83"/>
        <v>102</v>
      </c>
      <c r="U83" s="1">
        <f t="shared" si="83"/>
        <v>103</v>
      </c>
      <c r="V83" s="1">
        <f t="shared" si="83"/>
        <v>104</v>
      </c>
      <c r="W83" s="1">
        <f t="shared" si="83"/>
        <v>105</v>
      </c>
      <c r="X83" s="1">
        <f t="shared" si="83"/>
        <v>107</v>
      </c>
      <c r="Y83" s="1">
        <f t="shared" si="83"/>
        <v>108</v>
      </c>
      <c r="Z83" s="1">
        <f t="shared" si="83"/>
        <v>109</v>
      </c>
      <c r="AA83" s="1">
        <f t="shared" si="83"/>
        <v>111</v>
      </c>
      <c r="AB83" s="1">
        <f t="shared" si="83"/>
        <v>113</v>
      </c>
      <c r="AC83" s="1">
        <f t="shared" si="83"/>
        <v>115</v>
      </c>
      <c r="AD83" s="1">
        <f t="shared" si="83"/>
        <v>116</v>
      </c>
      <c r="AE83" s="1">
        <f t="shared" si="83"/>
        <v>117</v>
      </c>
      <c r="AF83" s="1">
        <f t="shared" si="83"/>
        <v>119</v>
      </c>
      <c r="AG83" s="1">
        <f t="shared" si="83"/>
        <v>121</v>
      </c>
      <c r="AH83" s="1">
        <f t="shared" si="83"/>
        <v>122</v>
      </c>
      <c r="AI83" s="1">
        <f t="shared" si="83"/>
        <v>123</v>
      </c>
      <c r="AJ83" s="1">
        <f t="shared" si="83"/>
        <v>125</v>
      </c>
      <c r="AK83" s="1">
        <f t="shared" si="83"/>
        <v>128</v>
      </c>
      <c r="AL83" s="1">
        <f t="shared" si="83"/>
        <v>131</v>
      </c>
      <c r="AM83" s="1">
        <f t="shared" si="83"/>
        <v>133</v>
      </c>
      <c r="AN83" s="1">
        <f t="shared" si="83"/>
        <v>134</v>
      </c>
      <c r="AO83" s="1">
        <f t="shared" si="83"/>
        <v>137</v>
      </c>
      <c r="AP83" s="1">
        <f t="shared" si="83"/>
        <v>143</v>
      </c>
      <c r="AR83" s="8">
        <f>COUNTIFS(score3pijlen,AP83)</f>
        <v>13</v>
      </c>
    </row>
    <row r="84">
      <c r="A84" s="2">
        <v>84.0</v>
      </c>
      <c r="B84" s="1">
        <f t="shared" si="2"/>
        <v>85</v>
      </c>
      <c r="C84" s="1">
        <f t="shared" ref="C84:AP84" si="84">C$1+$A84</f>
        <v>86</v>
      </c>
      <c r="D84" s="1">
        <f t="shared" si="84"/>
        <v>87</v>
      </c>
      <c r="E84" s="1">
        <f t="shared" si="84"/>
        <v>88</v>
      </c>
      <c r="F84" s="1">
        <f t="shared" si="84"/>
        <v>89</v>
      </c>
      <c r="G84" s="1">
        <f t="shared" si="84"/>
        <v>90</v>
      </c>
      <c r="H84" s="1">
        <f t="shared" si="84"/>
        <v>91</v>
      </c>
      <c r="I84" s="1">
        <f t="shared" si="84"/>
        <v>92</v>
      </c>
      <c r="J84" s="1">
        <f t="shared" si="84"/>
        <v>93</v>
      </c>
      <c r="K84" s="1">
        <f t="shared" si="84"/>
        <v>94</v>
      </c>
      <c r="L84" s="1">
        <f t="shared" si="84"/>
        <v>95</v>
      </c>
      <c r="M84" s="1">
        <f t="shared" si="84"/>
        <v>96</v>
      </c>
      <c r="N84" s="1">
        <f t="shared" si="84"/>
        <v>97</v>
      </c>
      <c r="O84" s="1">
        <f t="shared" si="84"/>
        <v>98</v>
      </c>
      <c r="P84" s="1">
        <f t="shared" si="84"/>
        <v>99</v>
      </c>
      <c r="Q84" s="1">
        <f t="shared" si="84"/>
        <v>100</v>
      </c>
      <c r="R84" s="1">
        <f t="shared" si="84"/>
        <v>101</v>
      </c>
      <c r="S84" s="1">
        <f t="shared" si="84"/>
        <v>102</v>
      </c>
      <c r="T84" s="1">
        <f t="shared" si="84"/>
        <v>103</v>
      </c>
      <c r="U84" s="1">
        <f t="shared" si="84"/>
        <v>104</v>
      </c>
      <c r="V84" s="1">
        <f t="shared" si="84"/>
        <v>105</v>
      </c>
      <c r="W84" s="1">
        <f t="shared" si="84"/>
        <v>106</v>
      </c>
      <c r="X84" s="1">
        <f t="shared" si="84"/>
        <v>108</v>
      </c>
      <c r="Y84" s="1">
        <f t="shared" si="84"/>
        <v>109</v>
      </c>
      <c r="Z84" s="1">
        <f t="shared" si="84"/>
        <v>110</v>
      </c>
      <c r="AA84" s="1">
        <f t="shared" si="84"/>
        <v>112</v>
      </c>
      <c r="AB84" s="1">
        <f t="shared" si="84"/>
        <v>114</v>
      </c>
      <c r="AC84" s="1">
        <f t="shared" si="84"/>
        <v>116</v>
      </c>
      <c r="AD84" s="1">
        <f t="shared" si="84"/>
        <v>117</v>
      </c>
      <c r="AE84" s="1">
        <f t="shared" si="84"/>
        <v>118</v>
      </c>
      <c r="AF84" s="1">
        <f t="shared" si="84"/>
        <v>120</v>
      </c>
      <c r="AG84" s="1">
        <f t="shared" si="84"/>
        <v>122</v>
      </c>
      <c r="AH84" s="1">
        <f t="shared" si="84"/>
        <v>123</v>
      </c>
      <c r="AI84" s="1">
        <f t="shared" si="84"/>
        <v>124</v>
      </c>
      <c r="AJ84" s="1">
        <f t="shared" si="84"/>
        <v>126</v>
      </c>
      <c r="AK84" s="1">
        <f t="shared" si="84"/>
        <v>129</v>
      </c>
      <c r="AL84" s="1">
        <f t="shared" si="84"/>
        <v>132</v>
      </c>
      <c r="AM84" s="1">
        <f t="shared" si="84"/>
        <v>134</v>
      </c>
      <c r="AN84" s="1">
        <f t="shared" si="84"/>
        <v>135</v>
      </c>
      <c r="AO84" s="1">
        <f t="shared" si="84"/>
        <v>138</v>
      </c>
      <c r="AP84" s="1">
        <f t="shared" si="84"/>
        <v>144</v>
      </c>
      <c r="AR84" s="8">
        <f>COUNTIFS(score3pijlen,AP84)</f>
        <v>14</v>
      </c>
    </row>
    <row r="85">
      <c r="A85" s="2">
        <v>85.0</v>
      </c>
      <c r="B85" s="1">
        <f t="shared" si="2"/>
        <v>86</v>
      </c>
      <c r="C85" s="1">
        <f t="shared" ref="C85:AP85" si="85">C$1+$A85</f>
        <v>87</v>
      </c>
      <c r="D85" s="1">
        <f t="shared" si="85"/>
        <v>88</v>
      </c>
      <c r="E85" s="1">
        <f t="shared" si="85"/>
        <v>89</v>
      </c>
      <c r="F85" s="1">
        <f t="shared" si="85"/>
        <v>90</v>
      </c>
      <c r="G85" s="1">
        <f t="shared" si="85"/>
        <v>91</v>
      </c>
      <c r="H85" s="1">
        <f t="shared" si="85"/>
        <v>92</v>
      </c>
      <c r="I85" s="1">
        <f t="shared" si="85"/>
        <v>93</v>
      </c>
      <c r="J85" s="1">
        <f t="shared" si="85"/>
        <v>94</v>
      </c>
      <c r="K85" s="1">
        <f t="shared" si="85"/>
        <v>95</v>
      </c>
      <c r="L85" s="1">
        <f t="shared" si="85"/>
        <v>96</v>
      </c>
      <c r="M85" s="1">
        <f t="shared" si="85"/>
        <v>97</v>
      </c>
      <c r="N85" s="1">
        <f t="shared" si="85"/>
        <v>98</v>
      </c>
      <c r="O85" s="1">
        <f t="shared" si="85"/>
        <v>99</v>
      </c>
      <c r="P85" s="1">
        <f t="shared" si="85"/>
        <v>100</v>
      </c>
      <c r="Q85" s="1">
        <f t="shared" si="85"/>
        <v>101</v>
      </c>
      <c r="R85" s="1">
        <f t="shared" si="85"/>
        <v>102</v>
      </c>
      <c r="S85" s="1">
        <f t="shared" si="85"/>
        <v>103</v>
      </c>
      <c r="T85" s="1">
        <f t="shared" si="85"/>
        <v>104</v>
      </c>
      <c r="U85" s="1">
        <f t="shared" si="85"/>
        <v>105</v>
      </c>
      <c r="V85" s="1">
        <f t="shared" si="85"/>
        <v>106</v>
      </c>
      <c r="W85" s="1">
        <f t="shared" si="85"/>
        <v>107</v>
      </c>
      <c r="X85" s="1">
        <f t="shared" si="85"/>
        <v>109</v>
      </c>
      <c r="Y85" s="1">
        <f t="shared" si="85"/>
        <v>110</v>
      </c>
      <c r="Z85" s="1">
        <f t="shared" si="85"/>
        <v>111</v>
      </c>
      <c r="AA85" s="1">
        <f t="shared" si="85"/>
        <v>113</v>
      </c>
      <c r="AB85" s="1">
        <f t="shared" si="85"/>
        <v>115</v>
      </c>
      <c r="AC85" s="1">
        <f t="shared" si="85"/>
        <v>117</v>
      </c>
      <c r="AD85" s="1">
        <f t="shared" si="85"/>
        <v>118</v>
      </c>
      <c r="AE85" s="1">
        <f t="shared" si="85"/>
        <v>119</v>
      </c>
      <c r="AF85" s="1">
        <f t="shared" si="85"/>
        <v>121</v>
      </c>
      <c r="AG85" s="1">
        <f t="shared" si="85"/>
        <v>123</v>
      </c>
      <c r="AH85" s="1">
        <f t="shared" si="85"/>
        <v>124</v>
      </c>
      <c r="AI85" s="1">
        <f t="shared" si="85"/>
        <v>125</v>
      </c>
      <c r="AJ85" s="1">
        <f t="shared" si="85"/>
        <v>127</v>
      </c>
      <c r="AK85" s="1">
        <f t="shared" si="85"/>
        <v>130</v>
      </c>
      <c r="AL85" s="1">
        <f t="shared" si="85"/>
        <v>133</v>
      </c>
      <c r="AM85" s="1">
        <f t="shared" si="85"/>
        <v>135</v>
      </c>
      <c r="AN85" s="1">
        <f t="shared" si="85"/>
        <v>136</v>
      </c>
      <c r="AO85" s="1">
        <f t="shared" si="85"/>
        <v>139</v>
      </c>
      <c r="AP85" s="1">
        <f t="shared" si="85"/>
        <v>145</v>
      </c>
      <c r="AR85" s="8">
        <f>COUNTIFS(score3pijlen,AP85)</f>
        <v>11</v>
      </c>
    </row>
    <row r="86">
      <c r="A86" s="2">
        <v>86.0</v>
      </c>
      <c r="B86" s="1">
        <f t="shared" si="2"/>
        <v>87</v>
      </c>
      <c r="C86" s="1">
        <f t="shared" ref="C86:AP86" si="86">C$1+$A86</f>
        <v>88</v>
      </c>
      <c r="D86" s="1">
        <f t="shared" si="86"/>
        <v>89</v>
      </c>
      <c r="E86" s="1">
        <f t="shared" si="86"/>
        <v>90</v>
      </c>
      <c r="F86" s="1">
        <f t="shared" si="86"/>
        <v>91</v>
      </c>
      <c r="G86" s="1">
        <f t="shared" si="86"/>
        <v>92</v>
      </c>
      <c r="H86" s="1">
        <f t="shared" si="86"/>
        <v>93</v>
      </c>
      <c r="I86" s="1">
        <f t="shared" si="86"/>
        <v>94</v>
      </c>
      <c r="J86" s="1">
        <f t="shared" si="86"/>
        <v>95</v>
      </c>
      <c r="K86" s="1">
        <f t="shared" si="86"/>
        <v>96</v>
      </c>
      <c r="L86" s="1">
        <f t="shared" si="86"/>
        <v>97</v>
      </c>
      <c r="M86" s="1">
        <f t="shared" si="86"/>
        <v>98</v>
      </c>
      <c r="N86" s="1">
        <f t="shared" si="86"/>
        <v>99</v>
      </c>
      <c r="O86" s="1">
        <f t="shared" si="86"/>
        <v>100</v>
      </c>
      <c r="P86" s="1">
        <f t="shared" si="86"/>
        <v>101</v>
      </c>
      <c r="Q86" s="1">
        <f t="shared" si="86"/>
        <v>102</v>
      </c>
      <c r="R86" s="1">
        <f t="shared" si="86"/>
        <v>103</v>
      </c>
      <c r="S86" s="1">
        <f t="shared" si="86"/>
        <v>104</v>
      </c>
      <c r="T86" s="1">
        <f t="shared" si="86"/>
        <v>105</v>
      </c>
      <c r="U86" s="1">
        <f t="shared" si="86"/>
        <v>106</v>
      </c>
      <c r="V86" s="1">
        <f t="shared" si="86"/>
        <v>107</v>
      </c>
      <c r="W86" s="1">
        <f t="shared" si="86"/>
        <v>108</v>
      </c>
      <c r="X86" s="1">
        <f t="shared" si="86"/>
        <v>110</v>
      </c>
      <c r="Y86" s="1">
        <f t="shared" si="86"/>
        <v>111</v>
      </c>
      <c r="Z86" s="1">
        <f t="shared" si="86"/>
        <v>112</v>
      </c>
      <c r="AA86" s="1">
        <f t="shared" si="86"/>
        <v>114</v>
      </c>
      <c r="AB86" s="1">
        <f t="shared" si="86"/>
        <v>116</v>
      </c>
      <c r="AC86" s="1">
        <f t="shared" si="86"/>
        <v>118</v>
      </c>
      <c r="AD86" s="1">
        <f t="shared" si="86"/>
        <v>119</v>
      </c>
      <c r="AE86" s="1">
        <f t="shared" si="86"/>
        <v>120</v>
      </c>
      <c r="AF86" s="1">
        <f t="shared" si="86"/>
        <v>122</v>
      </c>
      <c r="AG86" s="1">
        <f t="shared" si="86"/>
        <v>124</v>
      </c>
      <c r="AH86" s="1">
        <f t="shared" si="86"/>
        <v>125</v>
      </c>
      <c r="AI86" s="1">
        <f t="shared" si="86"/>
        <v>126</v>
      </c>
      <c r="AJ86" s="1">
        <f t="shared" si="86"/>
        <v>128</v>
      </c>
      <c r="AK86" s="1">
        <f t="shared" si="86"/>
        <v>131</v>
      </c>
      <c r="AL86" s="1">
        <f t="shared" si="86"/>
        <v>134</v>
      </c>
      <c r="AM86" s="1">
        <f t="shared" si="86"/>
        <v>136</v>
      </c>
      <c r="AN86" s="1">
        <f t="shared" si="86"/>
        <v>137</v>
      </c>
      <c r="AO86" s="1">
        <f t="shared" si="86"/>
        <v>140</v>
      </c>
      <c r="AP86" s="1">
        <f t="shared" si="86"/>
        <v>146</v>
      </c>
      <c r="AR86" s="8">
        <f>COUNTIFS(score3pijlen,AP86)</f>
        <v>12</v>
      </c>
    </row>
    <row r="87">
      <c r="A87" s="2">
        <v>87.0</v>
      </c>
      <c r="B87" s="1">
        <f t="shared" si="2"/>
        <v>88</v>
      </c>
      <c r="C87" s="1">
        <f t="shared" ref="C87:AP87" si="87">C$1+$A87</f>
        <v>89</v>
      </c>
      <c r="D87" s="1">
        <f t="shared" si="87"/>
        <v>90</v>
      </c>
      <c r="E87" s="1">
        <f t="shared" si="87"/>
        <v>91</v>
      </c>
      <c r="F87" s="1">
        <f t="shared" si="87"/>
        <v>92</v>
      </c>
      <c r="G87" s="1">
        <f t="shared" si="87"/>
        <v>93</v>
      </c>
      <c r="H87" s="1">
        <f t="shared" si="87"/>
        <v>94</v>
      </c>
      <c r="I87" s="1">
        <f t="shared" si="87"/>
        <v>95</v>
      </c>
      <c r="J87" s="1">
        <f t="shared" si="87"/>
        <v>96</v>
      </c>
      <c r="K87" s="1">
        <f t="shared" si="87"/>
        <v>97</v>
      </c>
      <c r="L87" s="1">
        <f t="shared" si="87"/>
        <v>98</v>
      </c>
      <c r="M87" s="1">
        <f t="shared" si="87"/>
        <v>99</v>
      </c>
      <c r="N87" s="1">
        <f t="shared" si="87"/>
        <v>100</v>
      </c>
      <c r="O87" s="1">
        <f t="shared" si="87"/>
        <v>101</v>
      </c>
      <c r="P87" s="1">
        <f t="shared" si="87"/>
        <v>102</v>
      </c>
      <c r="Q87" s="1">
        <f t="shared" si="87"/>
        <v>103</v>
      </c>
      <c r="R87" s="1">
        <f t="shared" si="87"/>
        <v>104</v>
      </c>
      <c r="S87" s="1">
        <f t="shared" si="87"/>
        <v>105</v>
      </c>
      <c r="T87" s="1">
        <f t="shared" si="87"/>
        <v>106</v>
      </c>
      <c r="U87" s="1">
        <f t="shared" si="87"/>
        <v>107</v>
      </c>
      <c r="V87" s="1">
        <f t="shared" si="87"/>
        <v>108</v>
      </c>
      <c r="W87" s="1">
        <f t="shared" si="87"/>
        <v>109</v>
      </c>
      <c r="X87" s="1">
        <f t="shared" si="87"/>
        <v>111</v>
      </c>
      <c r="Y87" s="1">
        <f t="shared" si="87"/>
        <v>112</v>
      </c>
      <c r="Z87" s="1">
        <f t="shared" si="87"/>
        <v>113</v>
      </c>
      <c r="AA87" s="1">
        <f t="shared" si="87"/>
        <v>115</v>
      </c>
      <c r="AB87" s="1">
        <f t="shared" si="87"/>
        <v>117</v>
      </c>
      <c r="AC87" s="1">
        <f t="shared" si="87"/>
        <v>119</v>
      </c>
      <c r="AD87" s="1">
        <f t="shared" si="87"/>
        <v>120</v>
      </c>
      <c r="AE87" s="1">
        <f t="shared" si="87"/>
        <v>121</v>
      </c>
      <c r="AF87" s="1">
        <f t="shared" si="87"/>
        <v>123</v>
      </c>
      <c r="AG87" s="1">
        <f t="shared" si="87"/>
        <v>125</v>
      </c>
      <c r="AH87" s="1">
        <f t="shared" si="87"/>
        <v>126</v>
      </c>
      <c r="AI87" s="1">
        <f t="shared" si="87"/>
        <v>127</v>
      </c>
      <c r="AJ87" s="1">
        <f t="shared" si="87"/>
        <v>129</v>
      </c>
      <c r="AK87" s="1">
        <f t="shared" si="87"/>
        <v>132</v>
      </c>
      <c r="AL87" s="1">
        <f t="shared" si="87"/>
        <v>135</v>
      </c>
      <c r="AM87" s="1">
        <f t="shared" si="87"/>
        <v>137</v>
      </c>
      <c r="AN87" s="1">
        <f t="shared" si="87"/>
        <v>138</v>
      </c>
      <c r="AO87" s="1">
        <f t="shared" si="87"/>
        <v>141</v>
      </c>
      <c r="AP87" s="1">
        <f t="shared" si="87"/>
        <v>147</v>
      </c>
      <c r="AR87" s="8">
        <f>COUNTIFS(score3pijlen,AP87)</f>
        <v>12</v>
      </c>
    </row>
    <row r="88">
      <c r="A88" s="2">
        <v>88.0</v>
      </c>
      <c r="B88" s="1">
        <f t="shared" si="2"/>
        <v>89</v>
      </c>
      <c r="C88" s="1">
        <f t="shared" ref="C88:AP88" si="88">C$1+$A88</f>
        <v>90</v>
      </c>
      <c r="D88" s="1">
        <f t="shared" si="88"/>
        <v>91</v>
      </c>
      <c r="E88" s="1">
        <f t="shared" si="88"/>
        <v>92</v>
      </c>
      <c r="F88" s="1">
        <f t="shared" si="88"/>
        <v>93</v>
      </c>
      <c r="G88" s="1">
        <f t="shared" si="88"/>
        <v>94</v>
      </c>
      <c r="H88" s="1">
        <f t="shared" si="88"/>
        <v>95</v>
      </c>
      <c r="I88" s="1">
        <f t="shared" si="88"/>
        <v>96</v>
      </c>
      <c r="J88" s="1">
        <f t="shared" si="88"/>
        <v>97</v>
      </c>
      <c r="K88" s="1">
        <f t="shared" si="88"/>
        <v>98</v>
      </c>
      <c r="L88" s="1">
        <f t="shared" si="88"/>
        <v>99</v>
      </c>
      <c r="M88" s="1">
        <f t="shared" si="88"/>
        <v>100</v>
      </c>
      <c r="N88" s="1">
        <f t="shared" si="88"/>
        <v>101</v>
      </c>
      <c r="O88" s="1">
        <f t="shared" si="88"/>
        <v>102</v>
      </c>
      <c r="P88" s="1">
        <f t="shared" si="88"/>
        <v>103</v>
      </c>
      <c r="Q88" s="1">
        <f t="shared" si="88"/>
        <v>104</v>
      </c>
      <c r="R88" s="1">
        <f t="shared" si="88"/>
        <v>105</v>
      </c>
      <c r="S88" s="1">
        <f t="shared" si="88"/>
        <v>106</v>
      </c>
      <c r="T88" s="1">
        <f t="shared" si="88"/>
        <v>107</v>
      </c>
      <c r="U88" s="1">
        <f t="shared" si="88"/>
        <v>108</v>
      </c>
      <c r="V88" s="1">
        <f t="shared" si="88"/>
        <v>109</v>
      </c>
      <c r="W88" s="1">
        <f t="shared" si="88"/>
        <v>110</v>
      </c>
      <c r="X88" s="1">
        <f t="shared" si="88"/>
        <v>112</v>
      </c>
      <c r="Y88" s="1">
        <f t="shared" si="88"/>
        <v>113</v>
      </c>
      <c r="Z88" s="1">
        <f t="shared" si="88"/>
        <v>114</v>
      </c>
      <c r="AA88" s="1">
        <f t="shared" si="88"/>
        <v>116</v>
      </c>
      <c r="AB88" s="1">
        <f t="shared" si="88"/>
        <v>118</v>
      </c>
      <c r="AC88" s="1">
        <f t="shared" si="88"/>
        <v>120</v>
      </c>
      <c r="AD88" s="1">
        <f t="shared" si="88"/>
        <v>121</v>
      </c>
      <c r="AE88" s="1">
        <f t="shared" si="88"/>
        <v>122</v>
      </c>
      <c r="AF88" s="1">
        <f t="shared" si="88"/>
        <v>124</v>
      </c>
      <c r="AG88" s="1">
        <f t="shared" si="88"/>
        <v>126</v>
      </c>
      <c r="AH88" s="1">
        <f t="shared" si="88"/>
        <v>127</v>
      </c>
      <c r="AI88" s="1">
        <f t="shared" si="88"/>
        <v>128</v>
      </c>
      <c r="AJ88" s="1">
        <f t="shared" si="88"/>
        <v>130</v>
      </c>
      <c r="AK88" s="1">
        <f t="shared" si="88"/>
        <v>133</v>
      </c>
      <c r="AL88" s="1">
        <f t="shared" si="88"/>
        <v>136</v>
      </c>
      <c r="AM88" s="1">
        <f t="shared" si="88"/>
        <v>138</v>
      </c>
      <c r="AN88" s="1">
        <f t="shared" si="88"/>
        <v>139</v>
      </c>
      <c r="AO88" s="1">
        <f t="shared" si="88"/>
        <v>142</v>
      </c>
      <c r="AP88" s="1">
        <f t="shared" si="88"/>
        <v>148</v>
      </c>
      <c r="AR88" s="8">
        <f>COUNTIFS(score3pijlen,AP88)</f>
        <v>9</v>
      </c>
    </row>
    <row r="89">
      <c r="A89" s="2">
        <v>89.0</v>
      </c>
      <c r="B89" s="1">
        <f t="shared" si="2"/>
        <v>90</v>
      </c>
      <c r="C89" s="1">
        <f t="shared" ref="C89:AP89" si="89">C$1+$A89</f>
        <v>91</v>
      </c>
      <c r="D89" s="1">
        <f t="shared" si="89"/>
        <v>92</v>
      </c>
      <c r="E89" s="1">
        <f t="shared" si="89"/>
        <v>93</v>
      </c>
      <c r="F89" s="1">
        <f t="shared" si="89"/>
        <v>94</v>
      </c>
      <c r="G89" s="1">
        <f t="shared" si="89"/>
        <v>95</v>
      </c>
      <c r="H89" s="1">
        <f t="shared" si="89"/>
        <v>96</v>
      </c>
      <c r="I89" s="1">
        <f t="shared" si="89"/>
        <v>97</v>
      </c>
      <c r="J89" s="1">
        <f t="shared" si="89"/>
        <v>98</v>
      </c>
      <c r="K89" s="1">
        <f t="shared" si="89"/>
        <v>99</v>
      </c>
      <c r="L89" s="1">
        <f t="shared" si="89"/>
        <v>100</v>
      </c>
      <c r="M89" s="1">
        <f t="shared" si="89"/>
        <v>101</v>
      </c>
      <c r="N89" s="1">
        <f t="shared" si="89"/>
        <v>102</v>
      </c>
      <c r="O89" s="1">
        <f t="shared" si="89"/>
        <v>103</v>
      </c>
      <c r="P89" s="1">
        <f t="shared" si="89"/>
        <v>104</v>
      </c>
      <c r="Q89" s="1">
        <f t="shared" si="89"/>
        <v>105</v>
      </c>
      <c r="R89" s="1">
        <f t="shared" si="89"/>
        <v>106</v>
      </c>
      <c r="S89" s="1">
        <f t="shared" si="89"/>
        <v>107</v>
      </c>
      <c r="T89" s="1">
        <f t="shared" si="89"/>
        <v>108</v>
      </c>
      <c r="U89" s="1">
        <f t="shared" si="89"/>
        <v>109</v>
      </c>
      <c r="V89" s="1">
        <f t="shared" si="89"/>
        <v>110</v>
      </c>
      <c r="W89" s="1">
        <f t="shared" si="89"/>
        <v>111</v>
      </c>
      <c r="X89" s="1">
        <f t="shared" si="89"/>
        <v>113</v>
      </c>
      <c r="Y89" s="1">
        <f t="shared" si="89"/>
        <v>114</v>
      </c>
      <c r="Z89" s="1">
        <f t="shared" si="89"/>
        <v>115</v>
      </c>
      <c r="AA89" s="1">
        <f t="shared" si="89"/>
        <v>117</v>
      </c>
      <c r="AB89" s="1">
        <f t="shared" si="89"/>
        <v>119</v>
      </c>
      <c r="AC89" s="1">
        <f t="shared" si="89"/>
        <v>121</v>
      </c>
      <c r="AD89" s="1">
        <f t="shared" si="89"/>
        <v>122</v>
      </c>
      <c r="AE89" s="1">
        <f t="shared" si="89"/>
        <v>123</v>
      </c>
      <c r="AF89" s="1">
        <f t="shared" si="89"/>
        <v>125</v>
      </c>
      <c r="AG89" s="1">
        <f t="shared" si="89"/>
        <v>127</v>
      </c>
      <c r="AH89" s="1">
        <f t="shared" si="89"/>
        <v>128</v>
      </c>
      <c r="AI89" s="1">
        <f t="shared" si="89"/>
        <v>129</v>
      </c>
      <c r="AJ89" s="1">
        <f t="shared" si="89"/>
        <v>131</v>
      </c>
      <c r="AK89" s="1">
        <f t="shared" si="89"/>
        <v>134</v>
      </c>
      <c r="AL89" s="1">
        <f t="shared" si="89"/>
        <v>137</v>
      </c>
      <c r="AM89" s="1">
        <f t="shared" si="89"/>
        <v>139</v>
      </c>
      <c r="AN89" s="1">
        <f t="shared" si="89"/>
        <v>140</v>
      </c>
      <c r="AO89" s="1">
        <f t="shared" si="89"/>
        <v>143</v>
      </c>
      <c r="AP89" s="1">
        <f t="shared" si="89"/>
        <v>149</v>
      </c>
      <c r="AR89" s="8">
        <f>COUNTIFS(score3pijlen,AP89)</f>
        <v>10</v>
      </c>
    </row>
    <row r="90">
      <c r="A90" s="2">
        <v>90.0</v>
      </c>
      <c r="B90" s="1">
        <f t="shared" si="2"/>
        <v>91</v>
      </c>
      <c r="C90" s="1">
        <f t="shared" ref="C90:AP90" si="90">C$1+$A90</f>
        <v>92</v>
      </c>
      <c r="D90" s="1">
        <f t="shared" si="90"/>
        <v>93</v>
      </c>
      <c r="E90" s="1">
        <f t="shared" si="90"/>
        <v>94</v>
      </c>
      <c r="F90" s="1">
        <f t="shared" si="90"/>
        <v>95</v>
      </c>
      <c r="G90" s="1">
        <f t="shared" si="90"/>
        <v>96</v>
      </c>
      <c r="H90" s="1">
        <f t="shared" si="90"/>
        <v>97</v>
      </c>
      <c r="I90" s="1">
        <f t="shared" si="90"/>
        <v>98</v>
      </c>
      <c r="J90" s="1">
        <f t="shared" si="90"/>
        <v>99</v>
      </c>
      <c r="K90" s="1">
        <f t="shared" si="90"/>
        <v>100</v>
      </c>
      <c r="L90" s="1">
        <f t="shared" si="90"/>
        <v>101</v>
      </c>
      <c r="M90" s="1">
        <f t="shared" si="90"/>
        <v>102</v>
      </c>
      <c r="N90" s="1">
        <f t="shared" si="90"/>
        <v>103</v>
      </c>
      <c r="O90" s="1">
        <f t="shared" si="90"/>
        <v>104</v>
      </c>
      <c r="P90" s="1">
        <f t="shared" si="90"/>
        <v>105</v>
      </c>
      <c r="Q90" s="1">
        <f t="shared" si="90"/>
        <v>106</v>
      </c>
      <c r="R90" s="1">
        <f t="shared" si="90"/>
        <v>107</v>
      </c>
      <c r="S90" s="1">
        <f t="shared" si="90"/>
        <v>108</v>
      </c>
      <c r="T90" s="1">
        <f t="shared" si="90"/>
        <v>109</v>
      </c>
      <c r="U90" s="1">
        <f t="shared" si="90"/>
        <v>110</v>
      </c>
      <c r="V90" s="1">
        <f t="shared" si="90"/>
        <v>111</v>
      </c>
      <c r="W90" s="1">
        <f t="shared" si="90"/>
        <v>112</v>
      </c>
      <c r="X90" s="1">
        <f t="shared" si="90"/>
        <v>114</v>
      </c>
      <c r="Y90" s="1">
        <f t="shared" si="90"/>
        <v>115</v>
      </c>
      <c r="Z90" s="1">
        <f t="shared" si="90"/>
        <v>116</v>
      </c>
      <c r="AA90" s="1">
        <f t="shared" si="90"/>
        <v>118</v>
      </c>
      <c r="AB90" s="1">
        <f t="shared" si="90"/>
        <v>120</v>
      </c>
      <c r="AC90" s="1">
        <f t="shared" si="90"/>
        <v>122</v>
      </c>
      <c r="AD90" s="1">
        <f t="shared" si="90"/>
        <v>123</v>
      </c>
      <c r="AE90" s="1">
        <f t="shared" si="90"/>
        <v>124</v>
      </c>
      <c r="AF90" s="1">
        <f t="shared" si="90"/>
        <v>126</v>
      </c>
      <c r="AG90" s="1">
        <f t="shared" si="90"/>
        <v>128</v>
      </c>
      <c r="AH90" s="1">
        <f t="shared" si="90"/>
        <v>129</v>
      </c>
      <c r="AI90" s="1">
        <f t="shared" si="90"/>
        <v>130</v>
      </c>
      <c r="AJ90" s="1">
        <f t="shared" si="90"/>
        <v>132</v>
      </c>
      <c r="AK90" s="1">
        <f t="shared" si="90"/>
        <v>135</v>
      </c>
      <c r="AL90" s="1">
        <f t="shared" si="90"/>
        <v>138</v>
      </c>
      <c r="AM90" s="1">
        <f t="shared" si="90"/>
        <v>140</v>
      </c>
      <c r="AN90" s="1">
        <f t="shared" si="90"/>
        <v>141</v>
      </c>
      <c r="AO90" s="1">
        <f t="shared" si="90"/>
        <v>144</v>
      </c>
      <c r="AP90" s="1">
        <f t="shared" si="90"/>
        <v>150</v>
      </c>
      <c r="AR90" s="8">
        <f>COUNTIFS(score3pijlen,AP90)</f>
        <v>12</v>
      </c>
    </row>
    <row r="91">
      <c r="A91" s="2">
        <v>91.0</v>
      </c>
      <c r="B91" s="1">
        <f t="shared" si="2"/>
        <v>92</v>
      </c>
      <c r="C91" s="1">
        <f t="shared" ref="C91:AP91" si="91">C$1+$A91</f>
        <v>93</v>
      </c>
      <c r="D91" s="1">
        <f t="shared" si="91"/>
        <v>94</v>
      </c>
      <c r="E91" s="1">
        <f t="shared" si="91"/>
        <v>95</v>
      </c>
      <c r="F91" s="1">
        <f t="shared" si="91"/>
        <v>96</v>
      </c>
      <c r="G91" s="1">
        <f t="shared" si="91"/>
        <v>97</v>
      </c>
      <c r="H91" s="1">
        <f t="shared" si="91"/>
        <v>98</v>
      </c>
      <c r="I91" s="1">
        <f t="shared" si="91"/>
        <v>99</v>
      </c>
      <c r="J91" s="1">
        <f t="shared" si="91"/>
        <v>100</v>
      </c>
      <c r="K91" s="1">
        <f t="shared" si="91"/>
        <v>101</v>
      </c>
      <c r="L91" s="1">
        <f t="shared" si="91"/>
        <v>102</v>
      </c>
      <c r="M91" s="1">
        <f t="shared" si="91"/>
        <v>103</v>
      </c>
      <c r="N91" s="1">
        <f t="shared" si="91"/>
        <v>104</v>
      </c>
      <c r="O91" s="1">
        <f t="shared" si="91"/>
        <v>105</v>
      </c>
      <c r="P91" s="1">
        <f t="shared" si="91"/>
        <v>106</v>
      </c>
      <c r="Q91" s="1">
        <f t="shared" si="91"/>
        <v>107</v>
      </c>
      <c r="R91" s="1">
        <f t="shared" si="91"/>
        <v>108</v>
      </c>
      <c r="S91" s="1">
        <f t="shared" si="91"/>
        <v>109</v>
      </c>
      <c r="T91" s="1">
        <f t="shared" si="91"/>
        <v>110</v>
      </c>
      <c r="U91" s="1">
        <f t="shared" si="91"/>
        <v>111</v>
      </c>
      <c r="V91" s="1">
        <f t="shared" si="91"/>
        <v>112</v>
      </c>
      <c r="W91" s="1">
        <f t="shared" si="91"/>
        <v>113</v>
      </c>
      <c r="X91" s="1">
        <f t="shared" si="91"/>
        <v>115</v>
      </c>
      <c r="Y91" s="1">
        <f t="shared" si="91"/>
        <v>116</v>
      </c>
      <c r="Z91" s="1">
        <f t="shared" si="91"/>
        <v>117</v>
      </c>
      <c r="AA91" s="1">
        <f t="shared" si="91"/>
        <v>119</v>
      </c>
      <c r="AB91" s="1">
        <f t="shared" si="91"/>
        <v>121</v>
      </c>
      <c r="AC91" s="1">
        <f t="shared" si="91"/>
        <v>123</v>
      </c>
      <c r="AD91" s="1">
        <f t="shared" si="91"/>
        <v>124</v>
      </c>
      <c r="AE91" s="1">
        <f t="shared" si="91"/>
        <v>125</v>
      </c>
      <c r="AF91" s="1">
        <f t="shared" si="91"/>
        <v>127</v>
      </c>
      <c r="AG91" s="1">
        <f t="shared" si="91"/>
        <v>129</v>
      </c>
      <c r="AH91" s="1">
        <f t="shared" si="91"/>
        <v>130</v>
      </c>
      <c r="AI91" s="1">
        <f t="shared" si="91"/>
        <v>131</v>
      </c>
      <c r="AJ91" s="1">
        <f t="shared" si="91"/>
        <v>133</v>
      </c>
      <c r="AK91" s="1">
        <f t="shared" si="91"/>
        <v>136</v>
      </c>
      <c r="AL91" s="1">
        <f t="shared" si="91"/>
        <v>139</v>
      </c>
      <c r="AM91" s="1">
        <f t="shared" si="91"/>
        <v>141</v>
      </c>
      <c r="AN91" s="1">
        <f t="shared" si="91"/>
        <v>142</v>
      </c>
      <c r="AO91" s="1">
        <f t="shared" si="91"/>
        <v>145</v>
      </c>
      <c r="AP91" s="1">
        <f t="shared" si="91"/>
        <v>151</v>
      </c>
      <c r="AR91" s="8">
        <f>COUNTIFS(score3pijlen,AP91)</f>
        <v>6</v>
      </c>
    </row>
    <row r="92">
      <c r="A92" s="2">
        <v>92.0</v>
      </c>
      <c r="B92" s="1">
        <f t="shared" si="2"/>
        <v>93</v>
      </c>
      <c r="C92" s="1">
        <f t="shared" ref="C92:AP92" si="92">C$1+$A92</f>
        <v>94</v>
      </c>
      <c r="D92" s="1">
        <f t="shared" si="92"/>
        <v>95</v>
      </c>
      <c r="E92" s="1">
        <f t="shared" si="92"/>
        <v>96</v>
      </c>
      <c r="F92" s="1">
        <f t="shared" si="92"/>
        <v>97</v>
      </c>
      <c r="G92" s="1">
        <f t="shared" si="92"/>
        <v>98</v>
      </c>
      <c r="H92" s="1">
        <f t="shared" si="92"/>
        <v>99</v>
      </c>
      <c r="I92" s="1">
        <f t="shared" si="92"/>
        <v>100</v>
      </c>
      <c r="J92" s="1">
        <f t="shared" si="92"/>
        <v>101</v>
      </c>
      <c r="K92" s="1">
        <f t="shared" si="92"/>
        <v>102</v>
      </c>
      <c r="L92" s="1">
        <f t="shared" si="92"/>
        <v>103</v>
      </c>
      <c r="M92" s="1">
        <f t="shared" si="92"/>
        <v>104</v>
      </c>
      <c r="N92" s="1">
        <f t="shared" si="92"/>
        <v>105</v>
      </c>
      <c r="O92" s="1">
        <f t="shared" si="92"/>
        <v>106</v>
      </c>
      <c r="P92" s="1">
        <f t="shared" si="92"/>
        <v>107</v>
      </c>
      <c r="Q92" s="1">
        <f t="shared" si="92"/>
        <v>108</v>
      </c>
      <c r="R92" s="1">
        <f t="shared" si="92"/>
        <v>109</v>
      </c>
      <c r="S92" s="1">
        <f t="shared" si="92"/>
        <v>110</v>
      </c>
      <c r="T92" s="1">
        <f t="shared" si="92"/>
        <v>111</v>
      </c>
      <c r="U92" s="1">
        <f t="shared" si="92"/>
        <v>112</v>
      </c>
      <c r="V92" s="1">
        <f t="shared" si="92"/>
        <v>113</v>
      </c>
      <c r="W92" s="1">
        <f t="shared" si="92"/>
        <v>114</v>
      </c>
      <c r="X92" s="1">
        <f t="shared" si="92"/>
        <v>116</v>
      </c>
      <c r="Y92" s="1">
        <f t="shared" si="92"/>
        <v>117</v>
      </c>
      <c r="Z92" s="1">
        <f t="shared" si="92"/>
        <v>118</v>
      </c>
      <c r="AA92" s="1">
        <f t="shared" si="92"/>
        <v>120</v>
      </c>
      <c r="AB92" s="1">
        <f t="shared" si="92"/>
        <v>122</v>
      </c>
      <c r="AC92" s="1">
        <f t="shared" si="92"/>
        <v>124</v>
      </c>
      <c r="AD92" s="1">
        <f t="shared" si="92"/>
        <v>125</v>
      </c>
      <c r="AE92" s="1">
        <f t="shared" si="92"/>
        <v>126</v>
      </c>
      <c r="AF92" s="1">
        <f t="shared" si="92"/>
        <v>128</v>
      </c>
      <c r="AG92" s="1">
        <f t="shared" si="92"/>
        <v>130</v>
      </c>
      <c r="AH92" s="1">
        <f t="shared" si="92"/>
        <v>131</v>
      </c>
      <c r="AI92" s="1">
        <f t="shared" si="92"/>
        <v>132</v>
      </c>
      <c r="AJ92" s="1">
        <f t="shared" si="92"/>
        <v>134</v>
      </c>
      <c r="AK92" s="1">
        <f t="shared" si="92"/>
        <v>137</v>
      </c>
      <c r="AL92" s="1">
        <f t="shared" si="92"/>
        <v>140</v>
      </c>
      <c r="AM92" s="1">
        <f t="shared" si="92"/>
        <v>142</v>
      </c>
      <c r="AN92" s="1">
        <f t="shared" si="92"/>
        <v>143</v>
      </c>
      <c r="AO92" s="1">
        <f t="shared" si="92"/>
        <v>146</v>
      </c>
      <c r="AP92" s="1">
        <f t="shared" si="92"/>
        <v>152</v>
      </c>
      <c r="AR92" s="8">
        <f>COUNTIFS(score3pijlen,AP92)</f>
        <v>9</v>
      </c>
    </row>
    <row r="93">
      <c r="A93" s="2">
        <v>93.0</v>
      </c>
      <c r="B93" s="1">
        <f t="shared" si="2"/>
        <v>94</v>
      </c>
      <c r="C93" s="1">
        <f t="shared" ref="C93:AP93" si="93">C$1+$A93</f>
        <v>95</v>
      </c>
      <c r="D93" s="1">
        <f t="shared" si="93"/>
        <v>96</v>
      </c>
      <c r="E93" s="1">
        <f t="shared" si="93"/>
        <v>97</v>
      </c>
      <c r="F93" s="1">
        <f t="shared" si="93"/>
        <v>98</v>
      </c>
      <c r="G93" s="1">
        <f t="shared" si="93"/>
        <v>99</v>
      </c>
      <c r="H93" s="1">
        <f t="shared" si="93"/>
        <v>100</v>
      </c>
      <c r="I93" s="1">
        <f t="shared" si="93"/>
        <v>101</v>
      </c>
      <c r="J93" s="1">
        <f t="shared" si="93"/>
        <v>102</v>
      </c>
      <c r="K93" s="1">
        <f t="shared" si="93"/>
        <v>103</v>
      </c>
      <c r="L93" s="1">
        <f t="shared" si="93"/>
        <v>104</v>
      </c>
      <c r="M93" s="1">
        <f t="shared" si="93"/>
        <v>105</v>
      </c>
      <c r="N93" s="1">
        <f t="shared" si="93"/>
        <v>106</v>
      </c>
      <c r="O93" s="1">
        <f t="shared" si="93"/>
        <v>107</v>
      </c>
      <c r="P93" s="1">
        <f t="shared" si="93"/>
        <v>108</v>
      </c>
      <c r="Q93" s="1">
        <f t="shared" si="93"/>
        <v>109</v>
      </c>
      <c r="R93" s="1">
        <f t="shared" si="93"/>
        <v>110</v>
      </c>
      <c r="S93" s="1">
        <f t="shared" si="93"/>
        <v>111</v>
      </c>
      <c r="T93" s="1">
        <f t="shared" si="93"/>
        <v>112</v>
      </c>
      <c r="U93" s="1">
        <f t="shared" si="93"/>
        <v>113</v>
      </c>
      <c r="V93" s="1">
        <f t="shared" si="93"/>
        <v>114</v>
      </c>
      <c r="W93" s="1">
        <f t="shared" si="93"/>
        <v>115</v>
      </c>
      <c r="X93" s="1">
        <f t="shared" si="93"/>
        <v>117</v>
      </c>
      <c r="Y93" s="1">
        <f t="shared" si="93"/>
        <v>118</v>
      </c>
      <c r="Z93" s="1">
        <f t="shared" si="93"/>
        <v>119</v>
      </c>
      <c r="AA93" s="1">
        <f t="shared" si="93"/>
        <v>121</v>
      </c>
      <c r="AB93" s="1">
        <f t="shared" si="93"/>
        <v>123</v>
      </c>
      <c r="AC93" s="1">
        <f t="shared" si="93"/>
        <v>125</v>
      </c>
      <c r="AD93" s="1">
        <f t="shared" si="93"/>
        <v>126</v>
      </c>
      <c r="AE93" s="1">
        <f t="shared" si="93"/>
        <v>127</v>
      </c>
      <c r="AF93" s="1">
        <f t="shared" si="93"/>
        <v>129</v>
      </c>
      <c r="AG93" s="1">
        <f t="shared" si="93"/>
        <v>131</v>
      </c>
      <c r="AH93" s="1">
        <f t="shared" si="93"/>
        <v>132</v>
      </c>
      <c r="AI93" s="1">
        <f t="shared" si="93"/>
        <v>133</v>
      </c>
      <c r="AJ93" s="1">
        <f t="shared" si="93"/>
        <v>135</v>
      </c>
      <c r="AK93" s="1">
        <f t="shared" si="93"/>
        <v>138</v>
      </c>
      <c r="AL93" s="1">
        <f t="shared" si="93"/>
        <v>141</v>
      </c>
      <c r="AM93" s="1">
        <f t="shared" si="93"/>
        <v>143</v>
      </c>
      <c r="AN93" s="1">
        <f t="shared" si="93"/>
        <v>144</v>
      </c>
      <c r="AO93" s="1">
        <f t="shared" si="93"/>
        <v>147</v>
      </c>
      <c r="AP93" s="1">
        <f t="shared" si="93"/>
        <v>153</v>
      </c>
      <c r="AR93" s="8">
        <f>COUNTIFS(score3pijlen,AP93)</f>
        <v>9</v>
      </c>
    </row>
    <row r="94">
      <c r="A94" s="2">
        <v>94.0</v>
      </c>
      <c r="B94" s="1">
        <f t="shared" si="2"/>
        <v>95</v>
      </c>
      <c r="C94" s="1">
        <f t="shared" ref="C94:AP94" si="94">C$1+$A94</f>
        <v>96</v>
      </c>
      <c r="D94" s="1">
        <f t="shared" si="94"/>
        <v>97</v>
      </c>
      <c r="E94" s="1">
        <f t="shared" si="94"/>
        <v>98</v>
      </c>
      <c r="F94" s="1">
        <f t="shared" si="94"/>
        <v>99</v>
      </c>
      <c r="G94" s="1">
        <f t="shared" si="94"/>
        <v>100</v>
      </c>
      <c r="H94" s="1">
        <f t="shared" si="94"/>
        <v>101</v>
      </c>
      <c r="I94" s="1">
        <f t="shared" si="94"/>
        <v>102</v>
      </c>
      <c r="J94" s="1">
        <f t="shared" si="94"/>
        <v>103</v>
      </c>
      <c r="K94" s="1">
        <f t="shared" si="94"/>
        <v>104</v>
      </c>
      <c r="L94" s="1">
        <f t="shared" si="94"/>
        <v>105</v>
      </c>
      <c r="M94" s="1">
        <f t="shared" si="94"/>
        <v>106</v>
      </c>
      <c r="N94" s="1">
        <f t="shared" si="94"/>
        <v>107</v>
      </c>
      <c r="O94" s="1">
        <f t="shared" si="94"/>
        <v>108</v>
      </c>
      <c r="P94" s="1">
        <f t="shared" si="94"/>
        <v>109</v>
      </c>
      <c r="Q94" s="1">
        <f t="shared" si="94"/>
        <v>110</v>
      </c>
      <c r="R94" s="1">
        <f t="shared" si="94"/>
        <v>111</v>
      </c>
      <c r="S94" s="1">
        <f t="shared" si="94"/>
        <v>112</v>
      </c>
      <c r="T94" s="1">
        <f t="shared" si="94"/>
        <v>113</v>
      </c>
      <c r="U94" s="1">
        <f t="shared" si="94"/>
        <v>114</v>
      </c>
      <c r="V94" s="1">
        <f t="shared" si="94"/>
        <v>115</v>
      </c>
      <c r="W94" s="1">
        <f t="shared" si="94"/>
        <v>116</v>
      </c>
      <c r="X94" s="1">
        <f t="shared" si="94"/>
        <v>118</v>
      </c>
      <c r="Y94" s="1">
        <f t="shared" si="94"/>
        <v>119</v>
      </c>
      <c r="Z94" s="1">
        <f t="shared" si="94"/>
        <v>120</v>
      </c>
      <c r="AA94" s="1">
        <f t="shared" si="94"/>
        <v>122</v>
      </c>
      <c r="AB94" s="1">
        <f t="shared" si="94"/>
        <v>124</v>
      </c>
      <c r="AC94" s="1">
        <f t="shared" si="94"/>
        <v>126</v>
      </c>
      <c r="AD94" s="1">
        <f t="shared" si="94"/>
        <v>127</v>
      </c>
      <c r="AE94" s="1">
        <f t="shared" si="94"/>
        <v>128</v>
      </c>
      <c r="AF94" s="1">
        <f t="shared" si="94"/>
        <v>130</v>
      </c>
      <c r="AG94" s="1">
        <f t="shared" si="94"/>
        <v>132</v>
      </c>
      <c r="AH94" s="1">
        <f t="shared" si="94"/>
        <v>133</v>
      </c>
      <c r="AI94" s="1">
        <f t="shared" si="94"/>
        <v>134</v>
      </c>
      <c r="AJ94" s="1">
        <f t="shared" si="94"/>
        <v>136</v>
      </c>
      <c r="AK94" s="1">
        <f t="shared" si="94"/>
        <v>139</v>
      </c>
      <c r="AL94" s="1">
        <f t="shared" si="94"/>
        <v>142</v>
      </c>
      <c r="AM94" s="1">
        <f t="shared" si="94"/>
        <v>144</v>
      </c>
      <c r="AN94" s="1">
        <f t="shared" si="94"/>
        <v>145</v>
      </c>
      <c r="AO94" s="1">
        <f t="shared" si="94"/>
        <v>148</v>
      </c>
      <c r="AP94" s="1">
        <f t="shared" si="94"/>
        <v>154</v>
      </c>
      <c r="AR94" s="8">
        <f>COUNTIFS(score3pijlen,AP94)</f>
        <v>5</v>
      </c>
    </row>
    <row r="95">
      <c r="A95" s="2">
        <v>95.0</v>
      </c>
      <c r="B95" s="1">
        <f t="shared" si="2"/>
        <v>96</v>
      </c>
      <c r="C95" s="1">
        <f t="shared" ref="C95:AP95" si="95">C$1+$A95</f>
        <v>97</v>
      </c>
      <c r="D95" s="1">
        <f t="shared" si="95"/>
        <v>98</v>
      </c>
      <c r="E95" s="1">
        <f t="shared" si="95"/>
        <v>99</v>
      </c>
      <c r="F95" s="1">
        <f t="shared" si="95"/>
        <v>100</v>
      </c>
      <c r="G95" s="1">
        <f t="shared" si="95"/>
        <v>101</v>
      </c>
      <c r="H95" s="1">
        <f t="shared" si="95"/>
        <v>102</v>
      </c>
      <c r="I95" s="1">
        <f t="shared" si="95"/>
        <v>103</v>
      </c>
      <c r="J95" s="1">
        <f t="shared" si="95"/>
        <v>104</v>
      </c>
      <c r="K95" s="1">
        <f t="shared" si="95"/>
        <v>105</v>
      </c>
      <c r="L95" s="1">
        <f t="shared" si="95"/>
        <v>106</v>
      </c>
      <c r="M95" s="1">
        <f t="shared" si="95"/>
        <v>107</v>
      </c>
      <c r="N95" s="1">
        <f t="shared" si="95"/>
        <v>108</v>
      </c>
      <c r="O95" s="1">
        <f t="shared" si="95"/>
        <v>109</v>
      </c>
      <c r="P95" s="1">
        <f t="shared" si="95"/>
        <v>110</v>
      </c>
      <c r="Q95" s="1">
        <f t="shared" si="95"/>
        <v>111</v>
      </c>
      <c r="R95" s="1">
        <f t="shared" si="95"/>
        <v>112</v>
      </c>
      <c r="S95" s="1">
        <f t="shared" si="95"/>
        <v>113</v>
      </c>
      <c r="T95" s="1">
        <f t="shared" si="95"/>
        <v>114</v>
      </c>
      <c r="U95" s="1">
        <f t="shared" si="95"/>
        <v>115</v>
      </c>
      <c r="V95" s="1">
        <f t="shared" si="95"/>
        <v>116</v>
      </c>
      <c r="W95" s="1">
        <f t="shared" si="95"/>
        <v>117</v>
      </c>
      <c r="X95" s="1">
        <f t="shared" si="95"/>
        <v>119</v>
      </c>
      <c r="Y95" s="1">
        <f t="shared" si="95"/>
        <v>120</v>
      </c>
      <c r="Z95" s="1">
        <f t="shared" si="95"/>
        <v>121</v>
      </c>
      <c r="AA95" s="1">
        <f t="shared" si="95"/>
        <v>123</v>
      </c>
      <c r="AB95" s="1">
        <f t="shared" si="95"/>
        <v>125</v>
      </c>
      <c r="AC95" s="1">
        <f t="shared" si="95"/>
        <v>127</v>
      </c>
      <c r="AD95" s="1">
        <f t="shared" si="95"/>
        <v>128</v>
      </c>
      <c r="AE95" s="1">
        <f t="shared" si="95"/>
        <v>129</v>
      </c>
      <c r="AF95" s="1">
        <f t="shared" si="95"/>
        <v>131</v>
      </c>
      <c r="AG95" s="1">
        <f t="shared" si="95"/>
        <v>133</v>
      </c>
      <c r="AH95" s="1">
        <f t="shared" si="95"/>
        <v>134</v>
      </c>
      <c r="AI95" s="1">
        <f t="shared" si="95"/>
        <v>135</v>
      </c>
      <c r="AJ95" s="1">
        <f t="shared" si="95"/>
        <v>137</v>
      </c>
      <c r="AK95" s="1">
        <f t="shared" si="95"/>
        <v>140</v>
      </c>
      <c r="AL95" s="1">
        <f t="shared" si="95"/>
        <v>143</v>
      </c>
      <c r="AM95" s="1">
        <f t="shared" si="95"/>
        <v>145</v>
      </c>
      <c r="AN95" s="1">
        <f t="shared" si="95"/>
        <v>146</v>
      </c>
      <c r="AO95" s="1">
        <f t="shared" si="95"/>
        <v>149</v>
      </c>
      <c r="AP95" s="1">
        <f t="shared" si="95"/>
        <v>155</v>
      </c>
      <c r="AR95" s="8">
        <f>COUNTIFS(score3pijlen,AP95)</f>
        <v>7</v>
      </c>
    </row>
    <row r="96">
      <c r="A96" s="2">
        <v>96.0</v>
      </c>
      <c r="B96" s="1">
        <f t="shared" si="2"/>
        <v>97</v>
      </c>
      <c r="C96" s="1">
        <f t="shared" ref="C96:AP96" si="96">C$1+$A96</f>
        <v>98</v>
      </c>
      <c r="D96" s="1">
        <f t="shared" si="96"/>
        <v>99</v>
      </c>
      <c r="E96" s="1">
        <f t="shared" si="96"/>
        <v>100</v>
      </c>
      <c r="F96" s="1">
        <f t="shared" si="96"/>
        <v>101</v>
      </c>
      <c r="G96" s="1">
        <f t="shared" si="96"/>
        <v>102</v>
      </c>
      <c r="H96" s="1">
        <f t="shared" si="96"/>
        <v>103</v>
      </c>
      <c r="I96" s="1">
        <f t="shared" si="96"/>
        <v>104</v>
      </c>
      <c r="J96" s="1">
        <f t="shared" si="96"/>
        <v>105</v>
      </c>
      <c r="K96" s="1">
        <f t="shared" si="96"/>
        <v>106</v>
      </c>
      <c r="L96" s="1">
        <f t="shared" si="96"/>
        <v>107</v>
      </c>
      <c r="M96" s="1">
        <f t="shared" si="96"/>
        <v>108</v>
      </c>
      <c r="N96" s="1">
        <f t="shared" si="96"/>
        <v>109</v>
      </c>
      <c r="O96" s="1">
        <f t="shared" si="96"/>
        <v>110</v>
      </c>
      <c r="P96" s="1">
        <f t="shared" si="96"/>
        <v>111</v>
      </c>
      <c r="Q96" s="1">
        <f t="shared" si="96"/>
        <v>112</v>
      </c>
      <c r="R96" s="1">
        <f t="shared" si="96"/>
        <v>113</v>
      </c>
      <c r="S96" s="1">
        <f t="shared" si="96"/>
        <v>114</v>
      </c>
      <c r="T96" s="1">
        <f t="shared" si="96"/>
        <v>115</v>
      </c>
      <c r="U96" s="1">
        <f t="shared" si="96"/>
        <v>116</v>
      </c>
      <c r="V96" s="1">
        <f t="shared" si="96"/>
        <v>117</v>
      </c>
      <c r="W96" s="1">
        <f t="shared" si="96"/>
        <v>118</v>
      </c>
      <c r="X96" s="1">
        <f t="shared" si="96"/>
        <v>120</v>
      </c>
      <c r="Y96" s="1">
        <f t="shared" si="96"/>
        <v>121</v>
      </c>
      <c r="Z96" s="1">
        <f t="shared" si="96"/>
        <v>122</v>
      </c>
      <c r="AA96" s="1">
        <f t="shared" si="96"/>
        <v>124</v>
      </c>
      <c r="AB96" s="1">
        <f t="shared" si="96"/>
        <v>126</v>
      </c>
      <c r="AC96" s="1">
        <f t="shared" si="96"/>
        <v>128</v>
      </c>
      <c r="AD96" s="1">
        <f t="shared" si="96"/>
        <v>129</v>
      </c>
      <c r="AE96" s="1">
        <f t="shared" si="96"/>
        <v>130</v>
      </c>
      <c r="AF96" s="1">
        <f t="shared" si="96"/>
        <v>132</v>
      </c>
      <c r="AG96" s="1">
        <f t="shared" si="96"/>
        <v>134</v>
      </c>
      <c r="AH96" s="1">
        <f t="shared" si="96"/>
        <v>135</v>
      </c>
      <c r="AI96" s="1">
        <f t="shared" si="96"/>
        <v>136</v>
      </c>
      <c r="AJ96" s="1">
        <f t="shared" si="96"/>
        <v>138</v>
      </c>
      <c r="AK96" s="1">
        <f t="shared" si="96"/>
        <v>141</v>
      </c>
      <c r="AL96" s="1">
        <f t="shared" si="96"/>
        <v>144</v>
      </c>
      <c r="AM96" s="1">
        <f t="shared" si="96"/>
        <v>146</v>
      </c>
      <c r="AN96" s="1">
        <f t="shared" si="96"/>
        <v>147</v>
      </c>
      <c r="AO96" s="1">
        <f t="shared" si="96"/>
        <v>150</v>
      </c>
      <c r="AP96" s="1">
        <f t="shared" si="96"/>
        <v>156</v>
      </c>
      <c r="AR96" s="8">
        <f>COUNTIFS(score3pijlen,AP96)</f>
        <v>8</v>
      </c>
    </row>
    <row r="97">
      <c r="A97" s="2">
        <v>97.0</v>
      </c>
      <c r="B97" s="1">
        <f t="shared" si="2"/>
        <v>98</v>
      </c>
      <c r="C97" s="1">
        <f t="shared" ref="C97:AP97" si="97">C$1+$A97</f>
        <v>99</v>
      </c>
      <c r="D97" s="1">
        <f t="shared" si="97"/>
        <v>100</v>
      </c>
      <c r="E97" s="1">
        <f t="shared" si="97"/>
        <v>101</v>
      </c>
      <c r="F97" s="1">
        <f t="shared" si="97"/>
        <v>102</v>
      </c>
      <c r="G97" s="1">
        <f t="shared" si="97"/>
        <v>103</v>
      </c>
      <c r="H97" s="1">
        <f t="shared" si="97"/>
        <v>104</v>
      </c>
      <c r="I97" s="1">
        <f t="shared" si="97"/>
        <v>105</v>
      </c>
      <c r="J97" s="1">
        <f t="shared" si="97"/>
        <v>106</v>
      </c>
      <c r="K97" s="1">
        <f t="shared" si="97"/>
        <v>107</v>
      </c>
      <c r="L97" s="1">
        <f t="shared" si="97"/>
        <v>108</v>
      </c>
      <c r="M97" s="1">
        <f t="shared" si="97"/>
        <v>109</v>
      </c>
      <c r="N97" s="1">
        <f t="shared" si="97"/>
        <v>110</v>
      </c>
      <c r="O97" s="1">
        <f t="shared" si="97"/>
        <v>111</v>
      </c>
      <c r="P97" s="1">
        <f t="shared" si="97"/>
        <v>112</v>
      </c>
      <c r="Q97" s="1">
        <f t="shared" si="97"/>
        <v>113</v>
      </c>
      <c r="R97" s="1">
        <f t="shared" si="97"/>
        <v>114</v>
      </c>
      <c r="S97" s="1">
        <f t="shared" si="97"/>
        <v>115</v>
      </c>
      <c r="T97" s="1">
        <f t="shared" si="97"/>
        <v>116</v>
      </c>
      <c r="U97" s="1">
        <f t="shared" si="97"/>
        <v>117</v>
      </c>
      <c r="V97" s="1">
        <f t="shared" si="97"/>
        <v>118</v>
      </c>
      <c r="W97" s="1">
        <f t="shared" si="97"/>
        <v>119</v>
      </c>
      <c r="X97" s="1">
        <f t="shared" si="97"/>
        <v>121</v>
      </c>
      <c r="Y97" s="1">
        <f t="shared" si="97"/>
        <v>122</v>
      </c>
      <c r="Z97" s="1">
        <f t="shared" si="97"/>
        <v>123</v>
      </c>
      <c r="AA97" s="1">
        <f t="shared" si="97"/>
        <v>125</v>
      </c>
      <c r="AB97" s="1">
        <f t="shared" si="97"/>
        <v>127</v>
      </c>
      <c r="AC97" s="1">
        <f t="shared" si="97"/>
        <v>129</v>
      </c>
      <c r="AD97" s="1">
        <f t="shared" si="97"/>
        <v>130</v>
      </c>
      <c r="AE97" s="1">
        <f t="shared" si="97"/>
        <v>131</v>
      </c>
      <c r="AF97" s="1">
        <f t="shared" si="97"/>
        <v>133</v>
      </c>
      <c r="AG97" s="1">
        <f t="shared" si="97"/>
        <v>135</v>
      </c>
      <c r="AH97" s="1">
        <f t="shared" si="97"/>
        <v>136</v>
      </c>
      <c r="AI97" s="1">
        <f t="shared" si="97"/>
        <v>137</v>
      </c>
      <c r="AJ97" s="1">
        <f t="shared" si="97"/>
        <v>139</v>
      </c>
      <c r="AK97" s="1">
        <f t="shared" si="97"/>
        <v>142</v>
      </c>
      <c r="AL97" s="1">
        <f t="shared" si="97"/>
        <v>145</v>
      </c>
      <c r="AM97" s="1">
        <f t="shared" si="97"/>
        <v>147</v>
      </c>
      <c r="AN97" s="1">
        <f t="shared" si="97"/>
        <v>148</v>
      </c>
      <c r="AO97" s="1">
        <f t="shared" si="97"/>
        <v>151</v>
      </c>
      <c r="AP97" s="1">
        <f t="shared" si="97"/>
        <v>157</v>
      </c>
      <c r="AR97" s="8">
        <f>COUNTIFS(score3pijlen,AP97)</f>
        <v>3</v>
      </c>
    </row>
    <row r="98">
      <c r="A98" s="2">
        <v>98.0</v>
      </c>
      <c r="B98" s="1">
        <f t="shared" si="2"/>
        <v>99</v>
      </c>
      <c r="C98" s="1">
        <f t="shared" ref="C98:AP98" si="98">C$1+$A98</f>
        <v>100</v>
      </c>
      <c r="D98" s="1">
        <f t="shared" si="98"/>
        <v>101</v>
      </c>
      <c r="E98" s="1">
        <f t="shared" si="98"/>
        <v>102</v>
      </c>
      <c r="F98" s="1">
        <f t="shared" si="98"/>
        <v>103</v>
      </c>
      <c r="G98" s="1">
        <f t="shared" si="98"/>
        <v>104</v>
      </c>
      <c r="H98" s="1">
        <f t="shared" si="98"/>
        <v>105</v>
      </c>
      <c r="I98" s="1">
        <f t="shared" si="98"/>
        <v>106</v>
      </c>
      <c r="J98" s="1">
        <f t="shared" si="98"/>
        <v>107</v>
      </c>
      <c r="K98" s="1">
        <f t="shared" si="98"/>
        <v>108</v>
      </c>
      <c r="L98" s="1">
        <f t="shared" si="98"/>
        <v>109</v>
      </c>
      <c r="M98" s="1">
        <f t="shared" si="98"/>
        <v>110</v>
      </c>
      <c r="N98" s="1">
        <f t="shared" si="98"/>
        <v>111</v>
      </c>
      <c r="O98" s="1">
        <f t="shared" si="98"/>
        <v>112</v>
      </c>
      <c r="P98" s="1">
        <f t="shared" si="98"/>
        <v>113</v>
      </c>
      <c r="Q98" s="1">
        <f t="shared" si="98"/>
        <v>114</v>
      </c>
      <c r="R98" s="1">
        <f t="shared" si="98"/>
        <v>115</v>
      </c>
      <c r="S98" s="1">
        <f t="shared" si="98"/>
        <v>116</v>
      </c>
      <c r="T98" s="1">
        <f t="shared" si="98"/>
        <v>117</v>
      </c>
      <c r="U98" s="1">
        <f t="shared" si="98"/>
        <v>118</v>
      </c>
      <c r="V98" s="1">
        <f t="shared" si="98"/>
        <v>119</v>
      </c>
      <c r="W98" s="1">
        <f t="shared" si="98"/>
        <v>120</v>
      </c>
      <c r="X98" s="1">
        <f t="shared" si="98"/>
        <v>122</v>
      </c>
      <c r="Y98" s="1">
        <f t="shared" si="98"/>
        <v>123</v>
      </c>
      <c r="Z98" s="1">
        <f t="shared" si="98"/>
        <v>124</v>
      </c>
      <c r="AA98" s="1">
        <f t="shared" si="98"/>
        <v>126</v>
      </c>
      <c r="AB98" s="1">
        <f t="shared" si="98"/>
        <v>128</v>
      </c>
      <c r="AC98" s="1">
        <f t="shared" si="98"/>
        <v>130</v>
      </c>
      <c r="AD98" s="1">
        <f t="shared" si="98"/>
        <v>131</v>
      </c>
      <c r="AE98" s="1">
        <f t="shared" si="98"/>
        <v>132</v>
      </c>
      <c r="AF98" s="1">
        <f t="shared" si="98"/>
        <v>134</v>
      </c>
      <c r="AG98" s="1">
        <f t="shared" si="98"/>
        <v>136</v>
      </c>
      <c r="AH98" s="1">
        <f t="shared" si="98"/>
        <v>137</v>
      </c>
      <c r="AI98" s="1">
        <f t="shared" si="98"/>
        <v>138</v>
      </c>
      <c r="AJ98" s="1">
        <f t="shared" si="98"/>
        <v>140</v>
      </c>
      <c r="AK98" s="1">
        <f t="shared" si="98"/>
        <v>143</v>
      </c>
      <c r="AL98" s="1">
        <f t="shared" si="98"/>
        <v>146</v>
      </c>
      <c r="AM98" s="1">
        <f t="shared" si="98"/>
        <v>148</v>
      </c>
      <c r="AN98" s="1">
        <f t="shared" si="98"/>
        <v>149</v>
      </c>
      <c r="AO98" s="1">
        <f t="shared" si="98"/>
        <v>152</v>
      </c>
      <c r="AP98" s="1">
        <f t="shared" si="98"/>
        <v>158</v>
      </c>
      <c r="AR98" s="8">
        <f>COUNTIFS(score3pijlen,AP98)</f>
        <v>6</v>
      </c>
    </row>
    <row r="99">
      <c r="A99" s="2">
        <v>99.0</v>
      </c>
      <c r="B99" s="1">
        <f t="shared" si="2"/>
        <v>100</v>
      </c>
      <c r="C99" s="1">
        <f t="shared" ref="C99:AP99" si="99">C$1+$A99</f>
        <v>101</v>
      </c>
      <c r="D99" s="1">
        <f t="shared" si="99"/>
        <v>102</v>
      </c>
      <c r="E99" s="1">
        <f t="shared" si="99"/>
        <v>103</v>
      </c>
      <c r="F99" s="1">
        <f t="shared" si="99"/>
        <v>104</v>
      </c>
      <c r="G99" s="1">
        <f t="shared" si="99"/>
        <v>105</v>
      </c>
      <c r="H99" s="1">
        <f t="shared" si="99"/>
        <v>106</v>
      </c>
      <c r="I99" s="1">
        <f t="shared" si="99"/>
        <v>107</v>
      </c>
      <c r="J99" s="1">
        <f t="shared" si="99"/>
        <v>108</v>
      </c>
      <c r="K99" s="1">
        <f t="shared" si="99"/>
        <v>109</v>
      </c>
      <c r="L99" s="1">
        <f t="shared" si="99"/>
        <v>110</v>
      </c>
      <c r="M99" s="1">
        <f t="shared" si="99"/>
        <v>111</v>
      </c>
      <c r="N99" s="1">
        <f t="shared" si="99"/>
        <v>112</v>
      </c>
      <c r="O99" s="1">
        <f t="shared" si="99"/>
        <v>113</v>
      </c>
      <c r="P99" s="1">
        <f t="shared" si="99"/>
        <v>114</v>
      </c>
      <c r="Q99" s="1">
        <f t="shared" si="99"/>
        <v>115</v>
      </c>
      <c r="R99" s="1">
        <f t="shared" si="99"/>
        <v>116</v>
      </c>
      <c r="S99" s="1">
        <f t="shared" si="99"/>
        <v>117</v>
      </c>
      <c r="T99" s="1">
        <f t="shared" si="99"/>
        <v>118</v>
      </c>
      <c r="U99" s="1">
        <f t="shared" si="99"/>
        <v>119</v>
      </c>
      <c r="V99" s="1">
        <f t="shared" si="99"/>
        <v>120</v>
      </c>
      <c r="W99" s="1">
        <f t="shared" si="99"/>
        <v>121</v>
      </c>
      <c r="X99" s="1">
        <f t="shared" si="99"/>
        <v>123</v>
      </c>
      <c r="Y99" s="1">
        <f t="shared" si="99"/>
        <v>124</v>
      </c>
      <c r="Z99" s="1">
        <f t="shared" si="99"/>
        <v>125</v>
      </c>
      <c r="AA99" s="1">
        <f t="shared" si="99"/>
        <v>127</v>
      </c>
      <c r="AB99" s="1">
        <f t="shared" si="99"/>
        <v>129</v>
      </c>
      <c r="AC99" s="1">
        <f t="shared" si="99"/>
        <v>131</v>
      </c>
      <c r="AD99" s="1">
        <f t="shared" si="99"/>
        <v>132</v>
      </c>
      <c r="AE99" s="1">
        <f t="shared" si="99"/>
        <v>133</v>
      </c>
      <c r="AF99" s="1">
        <f t="shared" si="99"/>
        <v>135</v>
      </c>
      <c r="AG99" s="1">
        <f t="shared" si="99"/>
        <v>137</v>
      </c>
      <c r="AH99" s="1">
        <f t="shared" si="99"/>
        <v>138</v>
      </c>
      <c r="AI99" s="1">
        <f t="shared" si="99"/>
        <v>139</v>
      </c>
      <c r="AJ99" s="1">
        <f t="shared" si="99"/>
        <v>141</v>
      </c>
      <c r="AK99" s="1">
        <f t="shared" si="99"/>
        <v>144</v>
      </c>
      <c r="AL99" s="1">
        <f t="shared" si="99"/>
        <v>147</v>
      </c>
      <c r="AM99" s="1">
        <f t="shared" si="99"/>
        <v>149</v>
      </c>
      <c r="AN99" s="1">
        <f t="shared" si="99"/>
        <v>150</v>
      </c>
      <c r="AO99" s="1">
        <f t="shared" si="99"/>
        <v>153</v>
      </c>
      <c r="AP99" s="1">
        <f t="shared" si="99"/>
        <v>159</v>
      </c>
      <c r="AR99" s="8">
        <f>COUNTIFS(score3pijlen,AP99)</f>
        <v>7</v>
      </c>
    </row>
    <row r="100">
      <c r="A100" s="2">
        <v>100.0</v>
      </c>
      <c r="B100" s="1">
        <f t="shared" si="2"/>
        <v>101</v>
      </c>
      <c r="C100" s="1">
        <f t="shared" ref="C100:AP100" si="100">C$1+$A100</f>
        <v>102</v>
      </c>
      <c r="D100" s="1">
        <f t="shared" si="100"/>
        <v>103</v>
      </c>
      <c r="E100" s="1">
        <f t="shared" si="100"/>
        <v>104</v>
      </c>
      <c r="F100" s="1">
        <f t="shared" si="100"/>
        <v>105</v>
      </c>
      <c r="G100" s="1">
        <f t="shared" si="100"/>
        <v>106</v>
      </c>
      <c r="H100" s="1">
        <f t="shared" si="100"/>
        <v>107</v>
      </c>
      <c r="I100" s="1">
        <f t="shared" si="100"/>
        <v>108</v>
      </c>
      <c r="J100" s="1">
        <f t="shared" si="100"/>
        <v>109</v>
      </c>
      <c r="K100" s="1">
        <f t="shared" si="100"/>
        <v>110</v>
      </c>
      <c r="L100" s="1">
        <f t="shared" si="100"/>
        <v>111</v>
      </c>
      <c r="M100" s="1">
        <f t="shared" si="100"/>
        <v>112</v>
      </c>
      <c r="N100" s="1">
        <f t="shared" si="100"/>
        <v>113</v>
      </c>
      <c r="O100" s="1">
        <f t="shared" si="100"/>
        <v>114</v>
      </c>
      <c r="P100" s="1">
        <f t="shared" si="100"/>
        <v>115</v>
      </c>
      <c r="Q100" s="1">
        <f t="shared" si="100"/>
        <v>116</v>
      </c>
      <c r="R100" s="1">
        <f t="shared" si="100"/>
        <v>117</v>
      </c>
      <c r="S100" s="1">
        <f t="shared" si="100"/>
        <v>118</v>
      </c>
      <c r="T100" s="1">
        <f t="shared" si="100"/>
        <v>119</v>
      </c>
      <c r="U100" s="1">
        <f t="shared" si="100"/>
        <v>120</v>
      </c>
      <c r="V100" s="1">
        <f t="shared" si="100"/>
        <v>121</v>
      </c>
      <c r="W100" s="1">
        <f t="shared" si="100"/>
        <v>122</v>
      </c>
      <c r="X100" s="1">
        <f t="shared" si="100"/>
        <v>124</v>
      </c>
      <c r="Y100" s="1">
        <f t="shared" si="100"/>
        <v>125</v>
      </c>
      <c r="Z100" s="1">
        <f t="shared" si="100"/>
        <v>126</v>
      </c>
      <c r="AA100" s="1">
        <f t="shared" si="100"/>
        <v>128</v>
      </c>
      <c r="AB100" s="1">
        <f t="shared" si="100"/>
        <v>130</v>
      </c>
      <c r="AC100" s="1">
        <f t="shared" si="100"/>
        <v>132</v>
      </c>
      <c r="AD100" s="1">
        <f t="shared" si="100"/>
        <v>133</v>
      </c>
      <c r="AE100" s="1">
        <f t="shared" si="100"/>
        <v>134</v>
      </c>
      <c r="AF100" s="1">
        <f t="shared" si="100"/>
        <v>136</v>
      </c>
      <c r="AG100" s="1">
        <f t="shared" si="100"/>
        <v>138</v>
      </c>
      <c r="AH100" s="1">
        <f t="shared" si="100"/>
        <v>139</v>
      </c>
      <c r="AI100" s="1">
        <f t="shared" si="100"/>
        <v>140</v>
      </c>
      <c r="AJ100" s="1">
        <f t="shared" si="100"/>
        <v>142</v>
      </c>
      <c r="AK100" s="1">
        <f t="shared" si="100"/>
        <v>145</v>
      </c>
      <c r="AL100" s="1">
        <f t="shared" si="100"/>
        <v>148</v>
      </c>
      <c r="AM100" s="1">
        <f t="shared" si="100"/>
        <v>150</v>
      </c>
      <c r="AN100" s="1">
        <f t="shared" si="100"/>
        <v>151</v>
      </c>
      <c r="AO100" s="1">
        <f t="shared" si="100"/>
        <v>154</v>
      </c>
      <c r="AP100" s="1">
        <f t="shared" si="100"/>
        <v>160</v>
      </c>
      <c r="AR100" s="8">
        <f>COUNTIFS(score3pijlen,AP100)</f>
        <v>3</v>
      </c>
    </row>
    <row r="101">
      <c r="A101" s="2">
        <v>101.0</v>
      </c>
      <c r="B101" s="1">
        <f t="shared" si="2"/>
        <v>102</v>
      </c>
      <c r="C101" s="1">
        <f t="shared" ref="C101:AP101" si="101">C$1+$A101</f>
        <v>103</v>
      </c>
      <c r="D101" s="1">
        <f t="shared" si="101"/>
        <v>104</v>
      </c>
      <c r="E101" s="1">
        <f t="shared" si="101"/>
        <v>105</v>
      </c>
      <c r="F101" s="1">
        <f t="shared" si="101"/>
        <v>106</v>
      </c>
      <c r="G101" s="1">
        <f t="shared" si="101"/>
        <v>107</v>
      </c>
      <c r="H101" s="1">
        <f t="shared" si="101"/>
        <v>108</v>
      </c>
      <c r="I101" s="1">
        <f t="shared" si="101"/>
        <v>109</v>
      </c>
      <c r="J101" s="1">
        <f t="shared" si="101"/>
        <v>110</v>
      </c>
      <c r="K101" s="1">
        <f t="shared" si="101"/>
        <v>111</v>
      </c>
      <c r="L101" s="1">
        <f t="shared" si="101"/>
        <v>112</v>
      </c>
      <c r="M101" s="1">
        <f t="shared" si="101"/>
        <v>113</v>
      </c>
      <c r="N101" s="1">
        <f t="shared" si="101"/>
        <v>114</v>
      </c>
      <c r="O101" s="1">
        <f t="shared" si="101"/>
        <v>115</v>
      </c>
      <c r="P101" s="1">
        <f t="shared" si="101"/>
        <v>116</v>
      </c>
      <c r="Q101" s="1">
        <f t="shared" si="101"/>
        <v>117</v>
      </c>
      <c r="R101" s="1">
        <f t="shared" si="101"/>
        <v>118</v>
      </c>
      <c r="S101" s="1">
        <f t="shared" si="101"/>
        <v>119</v>
      </c>
      <c r="T101" s="1">
        <f t="shared" si="101"/>
        <v>120</v>
      </c>
      <c r="U101" s="1">
        <f t="shared" si="101"/>
        <v>121</v>
      </c>
      <c r="V101" s="1">
        <f t="shared" si="101"/>
        <v>122</v>
      </c>
      <c r="W101" s="1">
        <f t="shared" si="101"/>
        <v>123</v>
      </c>
      <c r="X101" s="1">
        <f t="shared" si="101"/>
        <v>125</v>
      </c>
      <c r="Y101" s="1">
        <f t="shared" si="101"/>
        <v>126</v>
      </c>
      <c r="Z101" s="1">
        <f t="shared" si="101"/>
        <v>127</v>
      </c>
      <c r="AA101" s="1">
        <f t="shared" si="101"/>
        <v>129</v>
      </c>
      <c r="AB101" s="1">
        <f t="shared" si="101"/>
        <v>131</v>
      </c>
      <c r="AC101" s="1">
        <f t="shared" si="101"/>
        <v>133</v>
      </c>
      <c r="AD101" s="1">
        <f t="shared" si="101"/>
        <v>134</v>
      </c>
      <c r="AE101" s="1">
        <f t="shared" si="101"/>
        <v>135</v>
      </c>
      <c r="AF101" s="1">
        <f t="shared" si="101"/>
        <v>137</v>
      </c>
      <c r="AG101" s="1">
        <f t="shared" si="101"/>
        <v>139</v>
      </c>
      <c r="AH101" s="1">
        <f t="shared" si="101"/>
        <v>140</v>
      </c>
      <c r="AI101" s="1">
        <f t="shared" si="101"/>
        <v>141</v>
      </c>
      <c r="AJ101" s="1">
        <f t="shared" si="101"/>
        <v>143</v>
      </c>
      <c r="AK101" s="1">
        <f t="shared" si="101"/>
        <v>146</v>
      </c>
      <c r="AL101" s="1">
        <f t="shared" si="101"/>
        <v>149</v>
      </c>
      <c r="AM101" s="1">
        <f t="shared" si="101"/>
        <v>151</v>
      </c>
      <c r="AN101" s="1">
        <f t="shared" si="101"/>
        <v>152</v>
      </c>
      <c r="AO101" s="1">
        <f t="shared" si="101"/>
        <v>155</v>
      </c>
      <c r="AP101" s="1">
        <f t="shared" si="101"/>
        <v>161</v>
      </c>
      <c r="AR101" s="8">
        <f>COUNTIFS(score3pijlen,AP101)</f>
        <v>4</v>
      </c>
    </row>
    <row r="102">
      <c r="A102" s="2">
        <v>102.0</v>
      </c>
      <c r="B102" s="1">
        <f t="shared" si="2"/>
        <v>103</v>
      </c>
      <c r="C102" s="1">
        <f t="shared" ref="C102:AP102" si="102">C$1+$A102</f>
        <v>104</v>
      </c>
      <c r="D102" s="1">
        <f t="shared" si="102"/>
        <v>105</v>
      </c>
      <c r="E102" s="1">
        <f t="shared" si="102"/>
        <v>106</v>
      </c>
      <c r="F102" s="1">
        <f t="shared" si="102"/>
        <v>107</v>
      </c>
      <c r="G102" s="1">
        <f t="shared" si="102"/>
        <v>108</v>
      </c>
      <c r="H102" s="1">
        <f t="shared" si="102"/>
        <v>109</v>
      </c>
      <c r="I102" s="1">
        <f t="shared" si="102"/>
        <v>110</v>
      </c>
      <c r="J102" s="1">
        <f t="shared" si="102"/>
        <v>111</v>
      </c>
      <c r="K102" s="1">
        <f t="shared" si="102"/>
        <v>112</v>
      </c>
      <c r="L102" s="1">
        <f t="shared" si="102"/>
        <v>113</v>
      </c>
      <c r="M102" s="1">
        <f t="shared" si="102"/>
        <v>114</v>
      </c>
      <c r="N102" s="1">
        <f t="shared" si="102"/>
        <v>115</v>
      </c>
      <c r="O102" s="1">
        <f t="shared" si="102"/>
        <v>116</v>
      </c>
      <c r="P102" s="1">
        <f t="shared" si="102"/>
        <v>117</v>
      </c>
      <c r="Q102" s="1">
        <f t="shared" si="102"/>
        <v>118</v>
      </c>
      <c r="R102" s="1">
        <f t="shared" si="102"/>
        <v>119</v>
      </c>
      <c r="S102" s="1">
        <f t="shared" si="102"/>
        <v>120</v>
      </c>
      <c r="T102" s="1">
        <f t="shared" si="102"/>
        <v>121</v>
      </c>
      <c r="U102" s="1">
        <f t="shared" si="102"/>
        <v>122</v>
      </c>
      <c r="V102" s="1">
        <f t="shared" si="102"/>
        <v>123</v>
      </c>
      <c r="W102" s="1">
        <f t="shared" si="102"/>
        <v>124</v>
      </c>
      <c r="X102" s="1">
        <f t="shared" si="102"/>
        <v>126</v>
      </c>
      <c r="Y102" s="1">
        <f t="shared" si="102"/>
        <v>127</v>
      </c>
      <c r="Z102" s="1">
        <f t="shared" si="102"/>
        <v>128</v>
      </c>
      <c r="AA102" s="1">
        <f t="shared" si="102"/>
        <v>130</v>
      </c>
      <c r="AB102" s="1">
        <f t="shared" si="102"/>
        <v>132</v>
      </c>
      <c r="AC102" s="1">
        <f t="shared" si="102"/>
        <v>134</v>
      </c>
      <c r="AD102" s="1">
        <f t="shared" si="102"/>
        <v>135</v>
      </c>
      <c r="AE102" s="1">
        <f t="shared" si="102"/>
        <v>136</v>
      </c>
      <c r="AF102" s="1">
        <f t="shared" si="102"/>
        <v>138</v>
      </c>
      <c r="AG102" s="1">
        <f t="shared" si="102"/>
        <v>140</v>
      </c>
      <c r="AH102" s="1">
        <f t="shared" si="102"/>
        <v>141</v>
      </c>
      <c r="AI102" s="1">
        <f t="shared" si="102"/>
        <v>142</v>
      </c>
      <c r="AJ102" s="1">
        <f t="shared" si="102"/>
        <v>144</v>
      </c>
      <c r="AK102" s="1">
        <f t="shared" si="102"/>
        <v>147</v>
      </c>
      <c r="AL102" s="1">
        <f t="shared" si="102"/>
        <v>150</v>
      </c>
      <c r="AM102" s="1">
        <f t="shared" si="102"/>
        <v>152</v>
      </c>
      <c r="AN102" s="1">
        <f t="shared" si="102"/>
        <v>153</v>
      </c>
      <c r="AO102" s="1">
        <f t="shared" si="102"/>
        <v>156</v>
      </c>
      <c r="AP102" s="1">
        <f t="shared" si="102"/>
        <v>162</v>
      </c>
      <c r="AR102" s="8">
        <f>COUNTIFS(score3pijlen,AP102)</f>
        <v>6</v>
      </c>
    </row>
    <row r="103">
      <c r="A103" s="2">
        <v>104.0</v>
      </c>
      <c r="B103" s="1">
        <f t="shared" si="2"/>
        <v>105</v>
      </c>
      <c r="C103" s="1">
        <f t="shared" ref="C103:AP103" si="103">C$1+$A103</f>
        <v>106</v>
      </c>
      <c r="D103" s="1">
        <f t="shared" si="103"/>
        <v>107</v>
      </c>
      <c r="E103" s="1">
        <f t="shared" si="103"/>
        <v>108</v>
      </c>
      <c r="F103" s="1">
        <f t="shared" si="103"/>
        <v>109</v>
      </c>
      <c r="G103" s="1">
        <f t="shared" si="103"/>
        <v>110</v>
      </c>
      <c r="H103" s="1">
        <f t="shared" si="103"/>
        <v>111</v>
      </c>
      <c r="I103" s="1">
        <f t="shared" si="103"/>
        <v>112</v>
      </c>
      <c r="J103" s="1">
        <f t="shared" si="103"/>
        <v>113</v>
      </c>
      <c r="K103" s="1">
        <f t="shared" si="103"/>
        <v>114</v>
      </c>
      <c r="L103" s="1">
        <f t="shared" si="103"/>
        <v>115</v>
      </c>
      <c r="M103" s="1">
        <f t="shared" si="103"/>
        <v>116</v>
      </c>
      <c r="N103" s="1">
        <f t="shared" si="103"/>
        <v>117</v>
      </c>
      <c r="O103" s="1">
        <f t="shared" si="103"/>
        <v>118</v>
      </c>
      <c r="P103" s="1">
        <f t="shared" si="103"/>
        <v>119</v>
      </c>
      <c r="Q103" s="1">
        <f t="shared" si="103"/>
        <v>120</v>
      </c>
      <c r="R103" s="1">
        <f t="shared" si="103"/>
        <v>121</v>
      </c>
      <c r="S103" s="1">
        <f t="shared" si="103"/>
        <v>122</v>
      </c>
      <c r="T103" s="1">
        <f t="shared" si="103"/>
        <v>123</v>
      </c>
      <c r="U103" s="1">
        <f t="shared" si="103"/>
        <v>124</v>
      </c>
      <c r="V103" s="1">
        <f t="shared" si="103"/>
        <v>125</v>
      </c>
      <c r="W103" s="1">
        <f t="shared" si="103"/>
        <v>126</v>
      </c>
      <c r="X103" s="1">
        <f t="shared" si="103"/>
        <v>128</v>
      </c>
      <c r="Y103" s="1">
        <f t="shared" si="103"/>
        <v>129</v>
      </c>
      <c r="Z103" s="1">
        <f t="shared" si="103"/>
        <v>130</v>
      </c>
      <c r="AA103" s="1">
        <f t="shared" si="103"/>
        <v>132</v>
      </c>
      <c r="AB103" s="1">
        <f t="shared" si="103"/>
        <v>134</v>
      </c>
      <c r="AC103" s="1">
        <f t="shared" si="103"/>
        <v>136</v>
      </c>
      <c r="AD103" s="1">
        <f t="shared" si="103"/>
        <v>137</v>
      </c>
      <c r="AE103" s="1">
        <f t="shared" si="103"/>
        <v>138</v>
      </c>
      <c r="AF103" s="1">
        <f t="shared" si="103"/>
        <v>140</v>
      </c>
      <c r="AG103" s="1">
        <f t="shared" si="103"/>
        <v>142</v>
      </c>
      <c r="AH103" s="1">
        <f t="shared" si="103"/>
        <v>143</v>
      </c>
      <c r="AI103" s="1">
        <f t="shared" si="103"/>
        <v>144</v>
      </c>
      <c r="AJ103" s="1">
        <f t="shared" si="103"/>
        <v>146</v>
      </c>
      <c r="AK103" s="1">
        <f t="shared" si="103"/>
        <v>149</v>
      </c>
      <c r="AL103" s="1">
        <f t="shared" si="103"/>
        <v>152</v>
      </c>
      <c r="AM103" s="1">
        <f t="shared" si="103"/>
        <v>154</v>
      </c>
      <c r="AN103" s="1">
        <f t="shared" si="103"/>
        <v>155</v>
      </c>
      <c r="AO103" s="1">
        <f t="shared" si="103"/>
        <v>158</v>
      </c>
      <c r="AP103" s="1">
        <f t="shared" si="103"/>
        <v>164</v>
      </c>
      <c r="AR103" s="8">
        <f>COUNTIFS(score3pijlen,AP103)</f>
        <v>3</v>
      </c>
    </row>
    <row r="104">
      <c r="A104" s="2">
        <v>105.0</v>
      </c>
      <c r="B104" s="1">
        <f t="shared" si="2"/>
        <v>106</v>
      </c>
      <c r="C104" s="1">
        <f t="shared" ref="C104:AP104" si="104">C$1+$A104</f>
        <v>107</v>
      </c>
      <c r="D104" s="1">
        <f t="shared" si="104"/>
        <v>108</v>
      </c>
      <c r="E104" s="1">
        <f t="shared" si="104"/>
        <v>109</v>
      </c>
      <c r="F104" s="1">
        <f t="shared" si="104"/>
        <v>110</v>
      </c>
      <c r="G104" s="1">
        <f t="shared" si="104"/>
        <v>111</v>
      </c>
      <c r="H104" s="1">
        <f t="shared" si="104"/>
        <v>112</v>
      </c>
      <c r="I104" s="1">
        <f t="shared" si="104"/>
        <v>113</v>
      </c>
      <c r="J104" s="1">
        <f t="shared" si="104"/>
        <v>114</v>
      </c>
      <c r="K104" s="1">
        <f t="shared" si="104"/>
        <v>115</v>
      </c>
      <c r="L104" s="1">
        <f t="shared" si="104"/>
        <v>116</v>
      </c>
      <c r="M104" s="1">
        <f t="shared" si="104"/>
        <v>117</v>
      </c>
      <c r="N104" s="1">
        <f t="shared" si="104"/>
        <v>118</v>
      </c>
      <c r="O104" s="1">
        <f t="shared" si="104"/>
        <v>119</v>
      </c>
      <c r="P104" s="1">
        <f t="shared" si="104"/>
        <v>120</v>
      </c>
      <c r="Q104" s="1">
        <f t="shared" si="104"/>
        <v>121</v>
      </c>
      <c r="R104" s="1">
        <f t="shared" si="104"/>
        <v>122</v>
      </c>
      <c r="S104" s="1">
        <f t="shared" si="104"/>
        <v>123</v>
      </c>
      <c r="T104" s="1">
        <f t="shared" si="104"/>
        <v>124</v>
      </c>
      <c r="U104" s="1">
        <f t="shared" si="104"/>
        <v>125</v>
      </c>
      <c r="V104" s="1">
        <f t="shared" si="104"/>
        <v>126</v>
      </c>
      <c r="W104" s="1">
        <f t="shared" si="104"/>
        <v>127</v>
      </c>
      <c r="X104" s="1">
        <f t="shared" si="104"/>
        <v>129</v>
      </c>
      <c r="Y104" s="1">
        <f t="shared" si="104"/>
        <v>130</v>
      </c>
      <c r="Z104" s="1">
        <f t="shared" si="104"/>
        <v>131</v>
      </c>
      <c r="AA104" s="1">
        <f t="shared" si="104"/>
        <v>133</v>
      </c>
      <c r="AB104" s="1">
        <f t="shared" si="104"/>
        <v>135</v>
      </c>
      <c r="AC104" s="1">
        <f t="shared" si="104"/>
        <v>137</v>
      </c>
      <c r="AD104" s="1">
        <f t="shared" si="104"/>
        <v>138</v>
      </c>
      <c r="AE104" s="1">
        <f t="shared" si="104"/>
        <v>139</v>
      </c>
      <c r="AF104" s="1">
        <f t="shared" si="104"/>
        <v>141</v>
      </c>
      <c r="AG104" s="1">
        <f t="shared" si="104"/>
        <v>143</v>
      </c>
      <c r="AH104" s="1">
        <f t="shared" si="104"/>
        <v>144</v>
      </c>
      <c r="AI104" s="1">
        <f t="shared" si="104"/>
        <v>145</v>
      </c>
      <c r="AJ104" s="1">
        <f t="shared" si="104"/>
        <v>147</v>
      </c>
      <c r="AK104" s="1">
        <f t="shared" si="104"/>
        <v>150</v>
      </c>
      <c r="AL104" s="1">
        <f t="shared" si="104"/>
        <v>153</v>
      </c>
      <c r="AM104" s="1">
        <f t="shared" si="104"/>
        <v>155</v>
      </c>
      <c r="AN104" s="1">
        <f t="shared" si="104"/>
        <v>156</v>
      </c>
      <c r="AO104" s="1">
        <f t="shared" si="104"/>
        <v>159</v>
      </c>
      <c r="AP104" s="1">
        <f t="shared" si="104"/>
        <v>165</v>
      </c>
      <c r="AR104" s="8">
        <f>COUNTIFS(score3pijlen,AP104)</f>
        <v>5</v>
      </c>
    </row>
    <row r="105">
      <c r="A105" s="2">
        <v>107.0</v>
      </c>
      <c r="B105" s="1">
        <f t="shared" si="2"/>
        <v>108</v>
      </c>
      <c r="C105" s="1">
        <f t="shared" ref="C105:AP105" si="105">C$1+$A105</f>
        <v>109</v>
      </c>
      <c r="D105" s="1">
        <f t="shared" si="105"/>
        <v>110</v>
      </c>
      <c r="E105" s="1">
        <f t="shared" si="105"/>
        <v>111</v>
      </c>
      <c r="F105" s="1">
        <f t="shared" si="105"/>
        <v>112</v>
      </c>
      <c r="G105" s="1">
        <f t="shared" si="105"/>
        <v>113</v>
      </c>
      <c r="H105" s="1">
        <f t="shared" si="105"/>
        <v>114</v>
      </c>
      <c r="I105" s="1">
        <f t="shared" si="105"/>
        <v>115</v>
      </c>
      <c r="J105" s="1">
        <f t="shared" si="105"/>
        <v>116</v>
      </c>
      <c r="K105" s="1">
        <f t="shared" si="105"/>
        <v>117</v>
      </c>
      <c r="L105" s="1">
        <f t="shared" si="105"/>
        <v>118</v>
      </c>
      <c r="M105" s="1">
        <f t="shared" si="105"/>
        <v>119</v>
      </c>
      <c r="N105" s="1">
        <f t="shared" si="105"/>
        <v>120</v>
      </c>
      <c r="O105" s="1">
        <f t="shared" si="105"/>
        <v>121</v>
      </c>
      <c r="P105" s="1">
        <f t="shared" si="105"/>
        <v>122</v>
      </c>
      <c r="Q105" s="1">
        <f t="shared" si="105"/>
        <v>123</v>
      </c>
      <c r="R105" s="1">
        <f t="shared" si="105"/>
        <v>124</v>
      </c>
      <c r="S105" s="1">
        <f t="shared" si="105"/>
        <v>125</v>
      </c>
      <c r="T105" s="1">
        <f t="shared" si="105"/>
        <v>126</v>
      </c>
      <c r="U105" s="1">
        <f t="shared" si="105"/>
        <v>127</v>
      </c>
      <c r="V105" s="1">
        <f t="shared" si="105"/>
        <v>128</v>
      </c>
      <c r="W105" s="1">
        <f t="shared" si="105"/>
        <v>129</v>
      </c>
      <c r="X105" s="1">
        <f t="shared" si="105"/>
        <v>131</v>
      </c>
      <c r="Y105" s="1">
        <f t="shared" si="105"/>
        <v>132</v>
      </c>
      <c r="Z105" s="1">
        <f t="shared" si="105"/>
        <v>133</v>
      </c>
      <c r="AA105" s="1">
        <f t="shared" si="105"/>
        <v>135</v>
      </c>
      <c r="AB105" s="1">
        <f t="shared" si="105"/>
        <v>137</v>
      </c>
      <c r="AC105" s="1">
        <f t="shared" si="105"/>
        <v>139</v>
      </c>
      <c r="AD105" s="1">
        <f t="shared" si="105"/>
        <v>140</v>
      </c>
      <c r="AE105" s="1">
        <f t="shared" si="105"/>
        <v>141</v>
      </c>
      <c r="AF105" s="1">
        <f t="shared" si="105"/>
        <v>143</v>
      </c>
      <c r="AG105" s="1">
        <f t="shared" si="105"/>
        <v>145</v>
      </c>
      <c r="AH105" s="1">
        <f t="shared" si="105"/>
        <v>146</v>
      </c>
      <c r="AI105" s="1">
        <f t="shared" si="105"/>
        <v>147</v>
      </c>
      <c r="AJ105" s="1">
        <f t="shared" si="105"/>
        <v>149</v>
      </c>
      <c r="AK105" s="1">
        <f t="shared" si="105"/>
        <v>152</v>
      </c>
      <c r="AL105" s="1">
        <f t="shared" si="105"/>
        <v>155</v>
      </c>
      <c r="AM105" s="1">
        <f t="shared" si="105"/>
        <v>157</v>
      </c>
      <c r="AN105" s="1">
        <f t="shared" si="105"/>
        <v>158</v>
      </c>
      <c r="AO105" s="1">
        <f t="shared" si="105"/>
        <v>161</v>
      </c>
      <c r="AP105" s="1">
        <f t="shared" si="105"/>
        <v>167</v>
      </c>
      <c r="AR105" s="8">
        <f>COUNTIFS(score3pijlen,AP105)</f>
        <v>2</v>
      </c>
    </row>
    <row r="106">
      <c r="A106" s="2">
        <v>108.0</v>
      </c>
      <c r="B106" s="1">
        <f t="shared" si="2"/>
        <v>109</v>
      </c>
      <c r="C106" s="1">
        <f t="shared" ref="C106:AP106" si="106">C$1+$A106</f>
        <v>110</v>
      </c>
      <c r="D106" s="1">
        <f t="shared" si="106"/>
        <v>111</v>
      </c>
      <c r="E106" s="1">
        <f t="shared" si="106"/>
        <v>112</v>
      </c>
      <c r="F106" s="1">
        <f t="shared" si="106"/>
        <v>113</v>
      </c>
      <c r="G106" s="1">
        <f t="shared" si="106"/>
        <v>114</v>
      </c>
      <c r="H106" s="1">
        <f t="shared" si="106"/>
        <v>115</v>
      </c>
      <c r="I106" s="1">
        <f t="shared" si="106"/>
        <v>116</v>
      </c>
      <c r="J106" s="1">
        <f t="shared" si="106"/>
        <v>117</v>
      </c>
      <c r="K106" s="1">
        <f t="shared" si="106"/>
        <v>118</v>
      </c>
      <c r="L106" s="1">
        <f t="shared" si="106"/>
        <v>119</v>
      </c>
      <c r="M106" s="1">
        <f t="shared" si="106"/>
        <v>120</v>
      </c>
      <c r="N106" s="1">
        <f t="shared" si="106"/>
        <v>121</v>
      </c>
      <c r="O106" s="1">
        <f t="shared" si="106"/>
        <v>122</v>
      </c>
      <c r="P106" s="1">
        <f t="shared" si="106"/>
        <v>123</v>
      </c>
      <c r="Q106" s="1">
        <f t="shared" si="106"/>
        <v>124</v>
      </c>
      <c r="R106" s="1">
        <f t="shared" si="106"/>
        <v>125</v>
      </c>
      <c r="S106" s="1">
        <f t="shared" si="106"/>
        <v>126</v>
      </c>
      <c r="T106" s="1">
        <f t="shared" si="106"/>
        <v>127</v>
      </c>
      <c r="U106" s="1">
        <f t="shared" si="106"/>
        <v>128</v>
      </c>
      <c r="V106" s="1">
        <f t="shared" si="106"/>
        <v>129</v>
      </c>
      <c r="W106" s="1">
        <f t="shared" si="106"/>
        <v>130</v>
      </c>
      <c r="X106" s="1">
        <f t="shared" si="106"/>
        <v>132</v>
      </c>
      <c r="Y106" s="1">
        <f t="shared" si="106"/>
        <v>133</v>
      </c>
      <c r="Z106" s="1">
        <f t="shared" si="106"/>
        <v>134</v>
      </c>
      <c r="AA106" s="1">
        <f t="shared" si="106"/>
        <v>136</v>
      </c>
      <c r="AB106" s="1">
        <f t="shared" si="106"/>
        <v>138</v>
      </c>
      <c r="AC106" s="1">
        <f t="shared" si="106"/>
        <v>140</v>
      </c>
      <c r="AD106" s="1">
        <f t="shared" si="106"/>
        <v>141</v>
      </c>
      <c r="AE106" s="1">
        <f t="shared" si="106"/>
        <v>142</v>
      </c>
      <c r="AF106" s="1">
        <f t="shared" si="106"/>
        <v>144</v>
      </c>
      <c r="AG106" s="1">
        <f t="shared" si="106"/>
        <v>146</v>
      </c>
      <c r="AH106" s="1">
        <f t="shared" si="106"/>
        <v>147</v>
      </c>
      <c r="AI106" s="1">
        <f t="shared" si="106"/>
        <v>148</v>
      </c>
      <c r="AJ106" s="1">
        <f t="shared" si="106"/>
        <v>150</v>
      </c>
      <c r="AK106" s="1">
        <f t="shared" si="106"/>
        <v>153</v>
      </c>
      <c r="AL106" s="1">
        <f t="shared" si="106"/>
        <v>156</v>
      </c>
      <c r="AM106" s="1">
        <f t="shared" si="106"/>
        <v>158</v>
      </c>
      <c r="AN106" s="1">
        <f t="shared" si="106"/>
        <v>159</v>
      </c>
      <c r="AO106" s="1">
        <f t="shared" si="106"/>
        <v>162</v>
      </c>
      <c r="AP106" s="1">
        <f t="shared" si="106"/>
        <v>168</v>
      </c>
      <c r="AR106" s="8">
        <f>COUNTIFS(score3pijlen,AP106)</f>
        <v>4</v>
      </c>
    </row>
    <row r="107">
      <c r="A107" s="2">
        <v>110.0</v>
      </c>
      <c r="B107" s="1">
        <f t="shared" si="2"/>
        <v>111</v>
      </c>
      <c r="C107" s="1">
        <f t="shared" ref="C107:AP107" si="107">C$1+$A107</f>
        <v>112</v>
      </c>
      <c r="D107" s="1">
        <f t="shared" si="107"/>
        <v>113</v>
      </c>
      <c r="E107" s="1">
        <f t="shared" si="107"/>
        <v>114</v>
      </c>
      <c r="F107" s="1">
        <f t="shared" si="107"/>
        <v>115</v>
      </c>
      <c r="G107" s="1">
        <f t="shared" si="107"/>
        <v>116</v>
      </c>
      <c r="H107" s="1">
        <f t="shared" si="107"/>
        <v>117</v>
      </c>
      <c r="I107" s="1">
        <f t="shared" si="107"/>
        <v>118</v>
      </c>
      <c r="J107" s="1">
        <f t="shared" si="107"/>
        <v>119</v>
      </c>
      <c r="K107" s="1">
        <f t="shared" si="107"/>
        <v>120</v>
      </c>
      <c r="L107" s="1">
        <f t="shared" si="107"/>
        <v>121</v>
      </c>
      <c r="M107" s="1">
        <f t="shared" si="107"/>
        <v>122</v>
      </c>
      <c r="N107" s="1">
        <f t="shared" si="107"/>
        <v>123</v>
      </c>
      <c r="O107" s="1">
        <f t="shared" si="107"/>
        <v>124</v>
      </c>
      <c r="P107" s="1">
        <f t="shared" si="107"/>
        <v>125</v>
      </c>
      <c r="Q107" s="1">
        <f t="shared" si="107"/>
        <v>126</v>
      </c>
      <c r="R107" s="1">
        <f t="shared" si="107"/>
        <v>127</v>
      </c>
      <c r="S107" s="1">
        <f t="shared" si="107"/>
        <v>128</v>
      </c>
      <c r="T107" s="1">
        <f t="shared" si="107"/>
        <v>129</v>
      </c>
      <c r="U107" s="1">
        <f t="shared" si="107"/>
        <v>130</v>
      </c>
      <c r="V107" s="1">
        <f t="shared" si="107"/>
        <v>131</v>
      </c>
      <c r="W107" s="1">
        <f t="shared" si="107"/>
        <v>132</v>
      </c>
      <c r="X107" s="1">
        <f t="shared" si="107"/>
        <v>134</v>
      </c>
      <c r="Y107" s="1">
        <f t="shared" si="107"/>
        <v>135</v>
      </c>
      <c r="Z107" s="1">
        <f t="shared" si="107"/>
        <v>136</v>
      </c>
      <c r="AA107" s="1">
        <f t="shared" si="107"/>
        <v>138</v>
      </c>
      <c r="AB107" s="1">
        <f t="shared" si="107"/>
        <v>140</v>
      </c>
      <c r="AC107" s="1">
        <f t="shared" si="107"/>
        <v>142</v>
      </c>
      <c r="AD107" s="1">
        <f t="shared" si="107"/>
        <v>143</v>
      </c>
      <c r="AE107" s="1">
        <f t="shared" si="107"/>
        <v>144</v>
      </c>
      <c r="AF107" s="1">
        <f t="shared" si="107"/>
        <v>146</v>
      </c>
      <c r="AG107" s="1">
        <f t="shared" si="107"/>
        <v>148</v>
      </c>
      <c r="AH107" s="1">
        <f t="shared" si="107"/>
        <v>149</v>
      </c>
      <c r="AI107" s="1">
        <f t="shared" si="107"/>
        <v>150</v>
      </c>
      <c r="AJ107" s="1">
        <f t="shared" si="107"/>
        <v>152</v>
      </c>
      <c r="AK107" s="1">
        <f t="shared" si="107"/>
        <v>155</v>
      </c>
      <c r="AL107" s="1">
        <f t="shared" si="107"/>
        <v>158</v>
      </c>
      <c r="AM107" s="1">
        <f t="shared" si="107"/>
        <v>160</v>
      </c>
      <c r="AN107" s="1">
        <f t="shared" si="107"/>
        <v>161</v>
      </c>
      <c r="AO107" s="1">
        <f t="shared" si="107"/>
        <v>164</v>
      </c>
      <c r="AP107" s="1">
        <f t="shared" si="107"/>
        <v>170</v>
      </c>
      <c r="AR107" s="8">
        <f>COUNTIFS(score3pijlen,AP107)</f>
        <v>2</v>
      </c>
    </row>
    <row r="108">
      <c r="A108" s="2">
        <v>111.0</v>
      </c>
      <c r="B108" s="1">
        <f t="shared" si="2"/>
        <v>112</v>
      </c>
      <c r="C108" s="1">
        <f t="shared" ref="C108:AP108" si="108">C$1+$A108</f>
        <v>113</v>
      </c>
      <c r="D108" s="1">
        <f t="shared" si="108"/>
        <v>114</v>
      </c>
      <c r="E108" s="1">
        <f t="shared" si="108"/>
        <v>115</v>
      </c>
      <c r="F108" s="1">
        <f t="shared" si="108"/>
        <v>116</v>
      </c>
      <c r="G108" s="1">
        <f t="shared" si="108"/>
        <v>117</v>
      </c>
      <c r="H108" s="1">
        <f t="shared" si="108"/>
        <v>118</v>
      </c>
      <c r="I108" s="1">
        <f t="shared" si="108"/>
        <v>119</v>
      </c>
      <c r="J108" s="1">
        <f t="shared" si="108"/>
        <v>120</v>
      </c>
      <c r="K108" s="1">
        <f t="shared" si="108"/>
        <v>121</v>
      </c>
      <c r="L108" s="1">
        <f t="shared" si="108"/>
        <v>122</v>
      </c>
      <c r="M108" s="1">
        <f t="shared" si="108"/>
        <v>123</v>
      </c>
      <c r="N108" s="1">
        <f t="shared" si="108"/>
        <v>124</v>
      </c>
      <c r="O108" s="1">
        <f t="shared" si="108"/>
        <v>125</v>
      </c>
      <c r="P108" s="1">
        <f t="shared" si="108"/>
        <v>126</v>
      </c>
      <c r="Q108" s="1">
        <f t="shared" si="108"/>
        <v>127</v>
      </c>
      <c r="R108" s="1">
        <f t="shared" si="108"/>
        <v>128</v>
      </c>
      <c r="S108" s="1">
        <f t="shared" si="108"/>
        <v>129</v>
      </c>
      <c r="T108" s="1">
        <f t="shared" si="108"/>
        <v>130</v>
      </c>
      <c r="U108" s="1">
        <f t="shared" si="108"/>
        <v>131</v>
      </c>
      <c r="V108" s="1">
        <f t="shared" si="108"/>
        <v>132</v>
      </c>
      <c r="W108" s="1">
        <f t="shared" si="108"/>
        <v>133</v>
      </c>
      <c r="X108" s="1">
        <f t="shared" si="108"/>
        <v>135</v>
      </c>
      <c r="Y108" s="1">
        <f t="shared" si="108"/>
        <v>136</v>
      </c>
      <c r="Z108" s="1">
        <f t="shared" si="108"/>
        <v>137</v>
      </c>
      <c r="AA108" s="1">
        <f t="shared" si="108"/>
        <v>139</v>
      </c>
      <c r="AB108" s="1">
        <f t="shared" si="108"/>
        <v>141</v>
      </c>
      <c r="AC108" s="1">
        <f t="shared" si="108"/>
        <v>143</v>
      </c>
      <c r="AD108" s="1">
        <f t="shared" si="108"/>
        <v>144</v>
      </c>
      <c r="AE108" s="1">
        <f t="shared" si="108"/>
        <v>145</v>
      </c>
      <c r="AF108" s="1">
        <f t="shared" si="108"/>
        <v>147</v>
      </c>
      <c r="AG108" s="1">
        <f t="shared" si="108"/>
        <v>149</v>
      </c>
      <c r="AH108" s="1">
        <f t="shared" si="108"/>
        <v>150</v>
      </c>
      <c r="AI108" s="1">
        <f t="shared" si="108"/>
        <v>151</v>
      </c>
      <c r="AJ108" s="1">
        <f t="shared" si="108"/>
        <v>153</v>
      </c>
      <c r="AK108" s="1">
        <f t="shared" si="108"/>
        <v>156</v>
      </c>
      <c r="AL108" s="1">
        <f t="shared" si="108"/>
        <v>159</v>
      </c>
      <c r="AM108" s="1">
        <f t="shared" si="108"/>
        <v>161</v>
      </c>
      <c r="AN108" s="1">
        <f t="shared" si="108"/>
        <v>162</v>
      </c>
      <c r="AO108" s="1">
        <f t="shared" si="108"/>
        <v>165</v>
      </c>
      <c r="AP108" s="1">
        <f t="shared" si="108"/>
        <v>171</v>
      </c>
      <c r="AR108" s="8">
        <f>COUNTIFS(score3pijlen,AP108)</f>
        <v>3</v>
      </c>
    </row>
    <row r="109">
      <c r="A109" s="2">
        <v>114.0</v>
      </c>
      <c r="B109" s="1">
        <f t="shared" si="2"/>
        <v>115</v>
      </c>
      <c r="C109" s="1">
        <f t="shared" ref="C109:AP109" si="109">C$1+$A109</f>
        <v>116</v>
      </c>
      <c r="D109" s="1">
        <f t="shared" si="109"/>
        <v>117</v>
      </c>
      <c r="E109" s="1">
        <f t="shared" si="109"/>
        <v>118</v>
      </c>
      <c r="F109" s="1">
        <f t="shared" si="109"/>
        <v>119</v>
      </c>
      <c r="G109" s="1">
        <f t="shared" si="109"/>
        <v>120</v>
      </c>
      <c r="H109" s="1">
        <f t="shared" si="109"/>
        <v>121</v>
      </c>
      <c r="I109" s="1">
        <f t="shared" si="109"/>
        <v>122</v>
      </c>
      <c r="J109" s="1">
        <f t="shared" si="109"/>
        <v>123</v>
      </c>
      <c r="K109" s="1">
        <f t="shared" si="109"/>
        <v>124</v>
      </c>
      <c r="L109" s="1">
        <f t="shared" si="109"/>
        <v>125</v>
      </c>
      <c r="M109" s="1">
        <f t="shared" si="109"/>
        <v>126</v>
      </c>
      <c r="N109" s="1">
        <f t="shared" si="109"/>
        <v>127</v>
      </c>
      <c r="O109" s="1">
        <f t="shared" si="109"/>
        <v>128</v>
      </c>
      <c r="P109" s="1">
        <f t="shared" si="109"/>
        <v>129</v>
      </c>
      <c r="Q109" s="1">
        <f t="shared" si="109"/>
        <v>130</v>
      </c>
      <c r="R109" s="1">
        <f t="shared" si="109"/>
        <v>131</v>
      </c>
      <c r="S109" s="1">
        <f t="shared" si="109"/>
        <v>132</v>
      </c>
      <c r="T109" s="1">
        <f t="shared" si="109"/>
        <v>133</v>
      </c>
      <c r="U109" s="1">
        <f t="shared" si="109"/>
        <v>134</v>
      </c>
      <c r="V109" s="1">
        <f t="shared" si="109"/>
        <v>135</v>
      </c>
      <c r="W109" s="1">
        <f t="shared" si="109"/>
        <v>136</v>
      </c>
      <c r="X109" s="1">
        <f t="shared" si="109"/>
        <v>138</v>
      </c>
      <c r="Y109" s="1">
        <f t="shared" si="109"/>
        <v>139</v>
      </c>
      <c r="Z109" s="1">
        <f t="shared" si="109"/>
        <v>140</v>
      </c>
      <c r="AA109" s="1">
        <f t="shared" si="109"/>
        <v>142</v>
      </c>
      <c r="AB109" s="1">
        <f t="shared" si="109"/>
        <v>144</v>
      </c>
      <c r="AC109" s="1">
        <f t="shared" si="109"/>
        <v>146</v>
      </c>
      <c r="AD109" s="1">
        <f t="shared" si="109"/>
        <v>147</v>
      </c>
      <c r="AE109" s="1">
        <f t="shared" si="109"/>
        <v>148</v>
      </c>
      <c r="AF109" s="1">
        <f t="shared" si="109"/>
        <v>150</v>
      </c>
      <c r="AG109" s="1">
        <f t="shared" si="109"/>
        <v>152</v>
      </c>
      <c r="AH109" s="1">
        <f t="shared" si="109"/>
        <v>153</v>
      </c>
      <c r="AI109" s="1">
        <f t="shared" si="109"/>
        <v>154</v>
      </c>
      <c r="AJ109" s="1">
        <f t="shared" si="109"/>
        <v>156</v>
      </c>
      <c r="AK109" s="1">
        <f t="shared" si="109"/>
        <v>159</v>
      </c>
      <c r="AL109" s="1">
        <f t="shared" si="109"/>
        <v>162</v>
      </c>
      <c r="AM109" s="1">
        <f t="shared" si="109"/>
        <v>164</v>
      </c>
      <c r="AN109" s="1">
        <f t="shared" si="109"/>
        <v>165</v>
      </c>
      <c r="AO109" s="1">
        <f t="shared" si="109"/>
        <v>168</v>
      </c>
      <c r="AP109" s="1">
        <f t="shared" si="109"/>
        <v>174</v>
      </c>
      <c r="AR109" s="8">
        <f>COUNTIFS(score3pijlen,AP109)</f>
        <v>2</v>
      </c>
    </row>
    <row r="110">
      <c r="A110" s="2">
        <v>117.0</v>
      </c>
      <c r="B110" s="1">
        <f t="shared" si="2"/>
        <v>118</v>
      </c>
      <c r="C110" s="1">
        <f t="shared" ref="C110:AP110" si="110">C$1+$A110</f>
        <v>119</v>
      </c>
      <c r="D110" s="1">
        <f t="shared" si="110"/>
        <v>120</v>
      </c>
      <c r="E110" s="1">
        <f t="shared" si="110"/>
        <v>121</v>
      </c>
      <c r="F110" s="1">
        <f t="shared" si="110"/>
        <v>122</v>
      </c>
      <c r="G110" s="1">
        <f t="shared" si="110"/>
        <v>123</v>
      </c>
      <c r="H110" s="1">
        <f t="shared" si="110"/>
        <v>124</v>
      </c>
      <c r="I110" s="1">
        <f t="shared" si="110"/>
        <v>125</v>
      </c>
      <c r="J110" s="1">
        <f t="shared" si="110"/>
        <v>126</v>
      </c>
      <c r="K110" s="1">
        <f t="shared" si="110"/>
        <v>127</v>
      </c>
      <c r="L110" s="1">
        <f t="shared" si="110"/>
        <v>128</v>
      </c>
      <c r="M110" s="1">
        <f t="shared" si="110"/>
        <v>129</v>
      </c>
      <c r="N110" s="1">
        <f t="shared" si="110"/>
        <v>130</v>
      </c>
      <c r="O110" s="1">
        <f t="shared" si="110"/>
        <v>131</v>
      </c>
      <c r="P110" s="1">
        <f t="shared" si="110"/>
        <v>132</v>
      </c>
      <c r="Q110" s="1">
        <f t="shared" si="110"/>
        <v>133</v>
      </c>
      <c r="R110" s="1">
        <f t="shared" si="110"/>
        <v>134</v>
      </c>
      <c r="S110" s="1">
        <f t="shared" si="110"/>
        <v>135</v>
      </c>
      <c r="T110" s="1">
        <f t="shared" si="110"/>
        <v>136</v>
      </c>
      <c r="U110" s="1">
        <f t="shared" si="110"/>
        <v>137</v>
      </c>
      <c r="V110" s="1">
        <f t="shared" si="110"/>
        <v>138</v>
      </c>
      <c r="W110" s="1">
        <f t="shared" si="110"/>
        <v>139</v>
      </c>
      <c r="X110" s="1">
        <f t="shared" si="110"/>
        <v>141</v>
      </c>
      <c r="Y110" s="1">
        <f t="shared" si="110"/>
        <v>142</v>
      </c>
      <c r="Z110" s="1">
        <f t="shared" si="110"/>
        <v>143</v>
      </c>
      <c r="AA110" s="1">
        <f t="shared" si="110"/>
        <v>145</v>
      </c>
      <c r="AB110" s="1">
        <f t="shared" si="110"/>
        <v>147</v>
      </c>
      <c r="AC110" s="1">
        <f t="shared" si="110"/>
        <v>149</v>
      </c>
      <c r="AD110" s="1">
        <f t="shared" si="110"/>
        <v>150</v>
      </c>
      <c r="AE110" s="1">
        <f t="shared" si="110"/>
        <v>151</v>
      </c>
      <c r="AF110" s="1">
        <f t="shared" si="110"/>
        <v>153</v>
      </c>
      <c r="AG110" s="1">
        <f t="shared" si="110"/>
        <v>155</v>
      </c>
      <c r="AH110" s="1">
        <f t="shared" si="110"/>
        <v>156</v>
      </c>
      <c r="AI110" s="1">
        <f t="shared" si="110"/>
        <v>157</v>
      </c>
      <c r="AJ110" s="1">
        <f t="shared" si="110"/>
        <v>159</v>
      </c>
      <c r="AK110" s="1">
        <f t="shared" si="110"/>
        <v>162</v>
      </c>
      <c r="AL110" s="1">
        <f t="shared" si="110"/>
        <v>165</v>
      </c>
      <c r="AM110" s="1">
        <f t="shared" si="110"/>
        <v>167</v>
      </c>
      <c r="AN110" s="1">
        <f t="shared" si="110"/>
        <v>168</v>
      </c>
      <c r="AO110" s="1">
        <f t="shared" si="110"/>
        <v>171</v>
      </c>
      <c r="AP110" s="1">
        <f t="shared" si="110"/>
        <v>177</v>
      </c>
      <c r="AR110" s="8">
        <f>COUNTIFS(score3pijlen,AP110)</f>
        <v>1</v>
      </c>
    </row>
    <row r="111">
      <c r="A111" s="2">
        <v>120.0</v>
      </c>
      <c r="B111" s="1">
        <f t="shared" si="2"/>
        <v>121</v>
      </c>
      <c r="C111" s="1">
        <f t="shared" ref="C111:AP111" si="111">C$1+$A111</f>
        <v>122</v>
      </c>
      <c r="D111" s="1">
        <f t="shared" si="111"/>
        <v>123</v>
      </c>
      <c r="E111" s="1">
        <f t="shared" si="111"/>
        <v>124</v>
      </c>
      <c r="F111" s="1">
        <f t="shared" si="111"/>
        <v>125</v>
      </c>
      <c r="G111" s="1">
        <f t="shared" si="111"/>
        <v>126</v>
      </c>
      <c r="H111" s="1">
        <f t="shared" si="111"/>
        <v>127</v>
      </c>
      <c r="I111" s="1">
        <f t="shared" si="111"/>
        <v>128</v>
      </c>
      <c r="J111" s="1">
        <f t="shared" si="111"/>
        <v>129</v>
      </c>
      <c r="K111" s="1">
        <f t="shared" si="111"/>
        <v>130</v>
      </c>
      <c r="L111" s="1">
        <f t="shared" si="111"/>
        <v>131</v>
      </c>
      <c r="M111" s="1">
        <f t="shared" si="111"/>
        <v>132</v>
      </c>
      <c r="N111" s="1">
        <f t="shared" si="111"/>
        <v>133</v>
      </c>
      <c r="O111" s="1">
        <f t="shared" si="111"/>
        <v>134</v>
      </c>
      <c r="P111" s="1">
        <f t="shared" si="111"/>
        <v>135</v>
      </c>
      <c r="Q111" s="1">
        <f t="shared" si="111"/>
        <v>136</v>
      </c>
      <c r="R111" s="1">
        <f t="shared" si="111"/>
        <v>137</v>
      </c>
      <c r="S111" s="1">
        <f t="shared" si="111"/>
        <v>138</v>
      </c>
      <c r="T111" s="1">
        <f t="shared" si="111"/>
        <v>139</v>
      </c>
      <c r="U111" s="1">
        <f t="shared" si="111"/>
        <v>140</v>
      </c>
      <c r="V111" s="1">
        <f t="shared" si="111"/>
        <v>141</v>
      </c>
      <c r="W111" s="1">
        <f t="shared" si="111"/>
        <v>142</v>
      </c>
      <c r="X111" s="1">
        <f t="shared" si="111"/>
        <v>144</v>
      </c>
      <c r="Y111" s="1">
        <f t="shared" si="111"/>
        <v>145</v>
      </c>
      <c r="Z111" s="1">
        <f t="shared" si="111"/>
        <v>146</v>
      </c>
      <c r="AA111" s="1">
        <f t="shared" si="111"/>
        <v>148</v>
      </c>
      <c r="AB111" s="1">
        <f t="shared" si="111"/>
        <v>150</v>
      </c>
      <c r="AC111" s="1">
        <f t="shared" si="111"/>
        <v>152</v>
      </c>
      <c r="AD111" s="1">
        <f t="shared" si="111"/>
        <v>153</v>
      </c>
      <c r="AE111" s="1">
        <f t="shared" si="111"/>
        <v>154</v>
      </c>
      <c r="AF111" s="1">
        <f t="shared" si="111"/>
        <v>156</v>
      </c>
      <c r="AG111" s="1">
        <f t="shared" si="111"/>
        <v>158</v>
      </c>
      <c r="AH111" s="1">
        <f t="shared" si="111"/>
        <v>159</v>
      </c>
      <c r="AI111" s="1">
        <f t="shared" si="111"/>
        <v>160</v>
      </c>
      <c r="AJ111" s="1">
        <f t="shared" si="111"/>
        <v>162</v>
      </c>
      <c r="AK111" s="1">
        <f t="shared" si="111"/>
        <v>165</v>
      </c>
      <c r="AL111" s="1">
        <f t="shared" si="111"/>
        <v>168</v>
      </c>
      <c r="AM111" s="1">
        <f t="shared" si="111"/>
        <v>170</v>
      </c>
      <c r="AN111" s="1">
        <f t="shared" si="111"/>
        <v>171</v>
      </c>
      <c r="AO111" s="1">
        <f t="shared" si="111"/>
        <v>174</v>
      </c>
      <c r="AP111" s="1">
        <f t="shared" si="111"/>
        <v>180</v>
      </c>
      <c r="AR111" s="8">
        <f>COUNTIFS(score3pijlen,AP111)</f>
        <v>1</v>
      </c>
    </row>
    <row r="112">
      <c r="AR112" s="8">
        <f>COUNTIFS(score3pijlen,A112)</f>
        <v>0</v>
      </c>
    </row>
    <row r="113">
      <c r="A113" s="2">
        <v>61.0</v>
      </c>
      <c r="AR113" s="8">
        <f>COUNTIFS(score3pijlen,A113)</f>
        <v>40</v>
      </c>
    </row>
    <row r="114">
      <c r="A114" s="2">
        <v>62.0</v>
      </c>
      <c r="AR114" s="8">
        <f>COUNTIFS(score3pijlen,A114)</f>
        <v>41</v>
      </c>
    </row>
    <row r="115">
      <c r="A115" s="2">
        <v>63.0</v>
      </c>
      <c r="AR115" s="8">
        <f>COUNTIFS(score3pijlen,A115)</f>
        <v>41</v>
      </c>
    </row>
    <row r="116">
      <c r="A116" s="2">
        <v>64.0</v>
      </c>
      <c r="AR116" s="8">
        <f>COUNTIFS(score3pijlen,A116)</f>
        <v>41</v>
      </c>
    </row>
    <row r="117">
      <c r="A117" s="2">
        <v>65.0</v>
      </c>
      <c r="AR117" s="8">
        <f>COUNTIFS(score3pijlen,A117)</f>
        <v>41</v>
      </c>
    </row>
    <row r="118">
      <c r="A118" s="2">
        <v>66.0</v>
      </c>
      <c r="AR118" s="8">
        <f>COUNTIFS(score3pijlen,A118)</f>
        <v>41</v>
      </c>
    </row>
    <row r="119">
      <c r="A119" s="2">
        <v>67.0</v>
      </c>
      <c r="AR119" s="8">
        <f>COUNTIFS(score3pijlen,A119)</f>
        <v>41</v>
      </c>
    </row>
    <row r="120">
      <c r="A120" s="2">
        <v>68.0</v>
      </c>
      <c r="AR120" s="8">
        <f>COUNTIFS(score3pijlen,A120)</f>
        <v>41</v>
      </c>
    </row>
    <row r="121">
      <c r="A121" s="2">
        <v>69.0</v>
      </c>
      <c r="AR121" s="8">
        <f>COUNTIFS(score3pijlen,A121)</f>
        <v>41</v>
      </c>
    </row>
    <row r="122">
      <c r="A122" s="2">
        <v>70.0</v>
      </c>
      <c r="AR122" s="8">
        <f>COUNTIFS(score3pijlen,A122)</f>
        <v>41</v>
      </c>
    </row>
    <row r="123">
      <c r="A123" s="2">
        <v>71.0</v>
      </c>
      <c r="AR123" s="8">
        <f>COUNTIFS(score3pijlen,A123)</f>
        <v>41</v>
      </c>
    </row>
    <row r="124">
      <c r="A124" s="2">
        <v>72.0</v>
      </c>
      <c r="AR124" s="8">
        <f>COUNTIFS(score3pijlen,A124)</f>
        <v>41</v>
      </c>
    </row>
    <row r="125">
      <c r="A125" s="2">
        <v>73.0</v>
      </c>
      <c r="AR125" s="8">
        <f>COUNTIFS(score3pijlen,A125)</f>
        <v>41</v>
      </c>
    </row>
    <row r="126">
      <c r="A126" s="2">
        <v>74.0</v>
      </c>
      <c r="AR126" s="8">
        <f>COUNTIFS(score3pijlen,A126)</f>
        <v>41</v>
      </c>
    </row>
    <row r="127">
      <c r="A127" s="2">
        <v>75.0</v>
      </c>
      <c r="AR127" s="8">
        <f>COUNTIFS(score3pijlen,A127)</f>
        <v>41</v>
      </c>
    </row>
    <row r="128">
      <c r="A128" s="2">
        <v>76.0</v>
      </c>
      <c r="AR128" s="8">
        <f>COUNTIFS(score3pijlen,A128)</f>
        <v>41</v>
      </c>
    </row>
    <row r="129">
      <c r="A129" s="2">
        <v>77.0</v>
      </c>
      <c r="AR129" s="8">
        <f>COUNTIFS(score3pijlen,A129)</f>
        <v>41</v>
      </c>
    </row>
    <row r="130">
      <c r="A130" s="2">
        <v>78.0</v>
      </c>
      <c r="AR130" s="8">
        <f>COUNTIFS(score3pijlen,A130)</f>
        <v>41</v>
      </c>
    </row>
    <row r="131">
      <c r="A131" s="2">
        <v>79.0</v>
      </c>
      <c r="AR131" s="8">
        <f>COUNTIFS(score3pijlen,A131)</f>
        <v>41</v>
      </c>
    </row>
    <row r="132">
      <c r="A132" s="2">
        <v>80.0</v>
      </c>
      <c r="AR132" s="8">
        <f>COUNTIFS(score3pijlen,A132)</f>
        <v>41</v>
      </c>
    </row>
    <row r="133">
      <c r="A133" s="2">
        <v>81.0</v>
      </c>
      <c r="AR133" s="8">
        <f>COUNTIFS(score3pijlen,A133)</f>
        <v>41</v>
      </c>
    </row>
    <row r="134">
      <c r="A134" s="2">
        <v>82.0</v>
      </c>
      <c r="AR134" s="8">
        <f>COUNTIFS(score3pijlen,A134)</f>
        <v>41</v>
      </c>
    </row>
    <row r="135">
      <c r="A135" s="2">
        <v>83.0</v>
      </c>
      <c r="AR135" s="8">
        <f>COUNTIFS(score3pijlen,A135)</f>
        <v>41</v>
      </c>
    </row>
    <row r="136">
      <c r="A136" s="2">
        <v>84.0</v>
      </c>
      <c r="AR136" s="8">
        <f>COUNTIFS(score3pijlen,A136)</f>
        <v>41</v>
      </c>
    </row>
    <row r="137">
      <c r="A137" s="2">
        <v>85.0</v>
      </c>
      <c r="AR137" s="8">
        <f>COUNTIFS(score3pijlen,A137)</f>
        <v>41</v>
      </c>
    </row>
    <row r="138">
      <c r="A138" s="2">
        <v>86.0</v>
      </c>
      <c r="AR138" s="8">
        <f>COUNTIFS(score3pijlen,A138)</f>
        <v>41</v>
      </c>
    </row>
    <row r="139">
      <c r="A139" s="2">
        <v>87.0</v>
      </c>
      <c r="AR139" s="8">
        <f>COUNTIFS(score3pijlen,A139)</f>
        <v>41</v>
      </c>
    </row>
    <row r="140">
      <c r="A140" s="2">
        <v>88.0</v>
      </c>
      <c r="AR140" s="8">
        <f>COUNTIFS(score3pijlen,A140)</f>
        <v>41</v>
      </c>
    </row>
    <row r="141">
      <c r="A141" s="2">
        <v>89.0</v>
      </c>
      <c r="AR141" s="8">
        <f>COUNTIFS(score3pijlen,A141)</f>
        <v>41</v>
      </c>
    </row>
    <row r="142">
      <c r="A142" s="2">
        <v>90.0</v>
      </c>
      <c r="AR142" s="8">
        <f>COUNTIFS(score3pijlen,A142)</f>
        <v>41</v>
      </c>
    </row>
    <row r="143">
      <c r="A143" s="2">
        <v>91.0</v>
      </c>
      <c r="AR143" s="8">
        <f>COUNTIFS(score3pijlen,A143)</f>
        <v>41</v>
      </c>
    </row>
    <row r="144">
      <c r="A144" s="2">
        <v>92.0</v>
      </c>
      <c r="AR144" s="8">
        <f>COUNTIFS(score3pijlen,A144)</f>
        <v>41</v>
      </c>
    </row>
    <row r="145">
      <c r="A145" s="2">
        <v>93.0</v>
      </c>
      <c r="AR145" s="8">
        <f>COUNTIFS(score3pijlen,A145)</f>
        <v>41</v>
      </c>
    </row>
    <row r="146">
      <c r="A146" s="2">
        <v>94.0</v>
      </c>
      <c r="AR146" s="8">
        <f>COUNTIFS(score3pijlen,A146)</f>
        <v>41</v>
      </c>
    </row>
    <row r="147">
      <c r="A147" s="2">
        <v>95.0</v>
      </c>
      <c r="AR147" s="8">
        <f>COUNTIFS(score3pijlen,A147)</f>
        <v>41</v>
      </c>
    </row>
    <row r="148">
      <c r="A148" s="2">
        <v>96.0</v>
      </c>
      <c r="AR148" s="8">
        <f>COUNTIFS(score3pijlen,A148)</f>
        <v>41</v>
      </c>
    </row>
    <row r="149">
      <c r="A149" s="2">
        <v>97.0</v>
      </c>
      <c r="AR149" s="8">
        <f>COUNTIFS(score3pijlen,A149)</f>
        <v>41</v>
      </c>
    </row>
    <row r="150">
      <c r="A150" s="2">
        <v>98.0</v>
      </c>
      <c r="AR150" s="8">
        <f>COUNTIFS(score3pijlen,A150)</f>
        <v>41</v>
      </c>
    </row>
    <row r="151">
      <c r="A151" s="2">
        <v>99.0</v>
      </c>
      <c r="AR151" s="8">
        <f>COUNTIFS(score3pijlen,A151)</f>
        <v>41</v>
      </c>
    </row>
    <row r="152">
      <c r="A152" s="2">
        <v>100.0</v>
      </c>
      <c r="AR152" s="8">
        <f>COUNTIFS(score3pijlen,A152)</f>
        <v>41</v>
      </c>
    </row>
    <row r="153">
      <c r="A153" s="2">
        <v>101.0</v>
      </c>
      <c r="AR153" s="8">
        <f>COUNTIFS(score3pijlen,A153)</f>
        <v>41</v>
      </c>
    </row>
    <row r="154">
      <c r="A154" s="2">
        <v>102.0</v>
      </c>
      <c r="AR154" s="8">
        <f>COUNTIFS(score3pijlen,A154)</f>
        <v>41</v>
      </c>
    </row>
    <row r="155">
      <c r="A155" s="2">
        <v>103.0</v>
      </c>
      <c r="AR155" s="8">
        <f>COUNTIFS(score3pijlen,A155)</f>
        <v>41</v>
      </c>
    </row>
    <row r="156">
      <c r="A156" s="2">
        <v>104.0</v>
      </c>
      <c r="AR156" s="8">
        <f>COUNTIFS(score3pijlen,A156)</f>
        <v>40</v>
      </c>
    </row>
    <row r="157">
      <c r="A157" s="2">
        <v>105.0</v>
      </c>
      <c r="AR157" s="8">
        <f>COUNTIFS(score3pijlen,A157)</f>
        <v>40</v>
      </c>
    </row>
    <row r="158">
      <c r="A158" s="2">
        <v>106.0</v>
      </c>
      <c r="AR158" s="8">
        <f>COUNTIFS(score3pijlen,A158)</f>
        <v>40</v>
      </c>
    </row>
    <row r="159">
      <c r="A159" s="2">
        <v>107.0</v>
      </c>
      <c r="AR159" s="8">
        <f>COUNTIFS(score3pijlen,A159)</f>
        <v>39</v>
      </c>
    </row>
    <row r="160">
      <c r="A160" s="2">
        <v>108.0</v>
      </c>
      <c r="AR160" s="8">
        <f>COUNTIFS(score3pijlen,A160)</f>
        <v>39</v>
      </c>
    </row>
    <row r="161">
      <c r="A161" s="2">
        <v>109.0</v>
      </c>
      <c r="AR161" s="8">
        <f>COUNTIFS(score3pijlen,A161)</f>
        <v>39</v>
      </c>
    </row>
    <row r="162">
      <c r="A162" s="2">
        <v>110.0</v>
      </c>
      <c r="AR162" s="8">
        <f>COUNTIFS(score3pijlen,A162)</f>
        <v>38</v>
      </c>
    </row>
    <row r="163">
      <c r="A163" s="2">
        <v>111.0</v>
      </c>
      <c r="AR163" s="8">
        <f>COUNTIFS(score3pijlen,A163)</f>
        <v>38</v>
      </c>
    </row>
    <row r="164">
      <c r="A164" s="2">
        <v>112.0</v>
      </c>
      <c r="AR164" s="8">
        <f>COUNTIFS(score3pijlen,A164)</f>
        <v>38</v>
      </c>
    </row>
    <row r="165">
      <c r="A165" s="2">
        <v>113.0</v>
      </c>
      <c r="AR165" s="8">
        <f>COUNTIFS(score3pijlen,A165)</f>
        <v>37</v>
      </c>
    </row>
    <row r="166">
      <c r="A166" s="2">
        <v>114.0</v>
      </c>
      <c r="AR166" s="8">
        <f>COUNTIFS(score3pijlen,A166)</f>
        <v>36</v>
      </c>
    </row>
    <row r="167">
      <c r="A167" s="2">
        <v>115.0</v>
      </c>
      <c r="AR167" s="8">
        <f>COUNTIFS(score3pijlen,A167)</f>
        <v>36</v>
      </c>
    </row>
    <row r="168">
      <c r="A168" s="2">
        <v>116.0</v>
      </c>
      <c r="AR168" s="8">
        <f>COUNTIFS(score3pijlen,A168)</f>
        <v>35</v>
      </c>
    </row>
    <row r="169">
      <c r="A169" s="2">
        <v>117.0</v>
      </c>
      <c r="AR169" s="8">
        <f>COUNTIFS(score3pijlen,A169)</f>
        <v>34</v>
      </c>
    </row>
    <row r="170">
      <c r="A170" s="2">
        <v>118.0</v>
      </c>
      <c r="AR170" s="8">
        <f>COUNTIFS(score3pijlen,A170)</f>
        <v>34</v>
      </c>
    </row>
    <row r="171">
      <c r="A171" s="2">
        <v>119.0</v>
      </c>
      <c r="AR171" s="8">
        <f>COUNTIFS(score3pijlen,A171)</f>
        <v>33</v>
      </c>
    </row>
    <row r="172">
      <c r="A172" s="2">
        <v>120.0</v>
      </c>
      <c r="AR172" s="8">
        <f>COUNTIFS(score3pijlen,A172)</f>
        <v>32</v>
      </c>
    </row>
    <row r="173">
      <c r="A173" s="2">
        <v>121.0</v>
      </c>
      <c r="AR173" s="8">
        <f>COUNTIFS(score3pijlen,A173)</f>
        <v>32</v>
      </c>
    </row>
    <row r="174">
      <c r="A174" s="2">
        <v>122.0</v>
      </c>
      <c r="AR174" s="8">
        <f>COUNTIFS(score3pijlen,A174)</f>
        <v>31</v>
      </c>
    </row>
    <row r="175">
      <c r="A175" s="2">
        <v>123.0</v>
      </c>
      <c r="AR175" s="8">
        <f>COUNTIFS(score3pijlen,A175)</f>
        <v>30</v>
      </c>
    </row>
    <row r="176">
      <c r="A176" s="2">
        <v>124.0</v>
      </c>
      <c r="AR176" s="8">
        <f>COUNTIFS(score3pijlen,A176)</f>
        <v>29</v>
      </c>
    </row>
    <row r="177">
      <c r="A177" s="2">
        <v>125.0</v>
      </c>
      <c r="AR177" s="8">
        <f>COUNTIFS(score3pijlen,A177)</f>
        <v>28</v>
      </c>
    </row>
    <row r="178">
      <c r="A178" s="2">
        <v>126.0</v>
      </c>
      <c r="AR178" s="8">
        <f>COUNTIFS(score3pijlen,A178)</f>
        <v>28</v>
      </c>
    </row>
    <row r="179">
      <c r="A179" s="2">
        <v>127.0</v>
      </c>
      <c r="AR179" s="8">
        <f>COUNTIFS(score3pijlen,A179)</f>
        <v>26</v>
      </c>
    </row>
    <row r="180">
      <c r="A180" s="2">
        <v>128.0</v>
      </c>
      <c r="AR180" s="8">
        <f>COUNTIFS(score3pijlen,A180)</f>
        <v>25</v>
      </c>
    </row>
    <row r="181">
      <c r="A181" s="2">
        <v>129.0</v>
      </c>
      <c r="AR181" s="8">
        <f>COUNTIFS(score3pijlen,A181)</f>
        <v>25</v>
      </c>
    </row>
    <row r="182">
      <c r="A182" s="2">
        <v>130.0</v>
      </c>
      <c r="AR182" s="8">
        <f>COUNTIFS(score3pijlen,A182)</f>
        <v>24</v>
      </c>
    </row>
    <row r="183">
      <c r="A183" s="2">
        <v>131.0</v>
      </c>
      <c r="AR183" s="8">
        <f>COUNTIFS(score3pijlen,A183)</f>
        <v>22</v>
      </c>
    </row>
    <row r="184">
      <c r="A184" s="2">
        <v>132.0</v>
      </c>
      <c r="AR184" s="8">
        <f>COUNTIFS(score3pijlen,A184)</f>
        <v>23</v>
      </c>
    </row>
    <row r="185">
      <c r="A185" s="2">
        <v>133.0</v>
      </c>
      <c r="AR185" s="8">
        <f>COUNTIFS(score3pijlen,A185)</f>
        <v>21</v>
      </c>
    </row>
    <row r="186">
      <c r="A186" s="2">
        <v>134.0</v>
      </c>
      <c r="AR186" s="8">
        <f>COUNTIFS(score3pijlen,A186)</f>
        <v>20</v>
      </c>
    </row>
    <row r="187">
      <c r="A187" s="2">
        <v>135.0</v>
      </c>
      <c r="AR187" s="8">
        <f>COUNTIFS(score3pijlen,A187)</f>
        <v>20</v>
      </c>
    </row>
    <row r="188">
      <c r="A188" s="2">
        <v>136.0</v>
      </c>
      <c r="AR188" s="8">
        <f>COUNTIFS(score3pijlen,A188)</f>
        <v>19</v>
      </c>
    </row>
    <row r="189">
      <c r="A189" s="2">
        <v>137.0</v>
      </c>
      <c r="AR189" s="8">
        <f>COUNTIFS(score3pijlen,A189)</f>
        <v>17</v>
      </c>
    </row>
    <row r="190">
      <c r="A190" s="2">
        <v>138.0</v>
      </c>
      <c r="AR190" s="8">
        <f>COUNTIFS(score3pijlen,A190)</f>
        <v>18</v>
      </c>
    </row>
    <row r="191">
      <c r="A191" s="2">
        <v>139.0</v>
      </c>
      <c r="AR191" s="8">
        <f>COUNTIFS(score3pijlen,A191)</f>
        <v>16</v>
      </c>
    </row>
    <row r="192">
      <c r="A192" s="2">
        <v>140.0</v>
      </c>
      <c r="AR192" s="8">
        <f>COUNTIFS(score3pijlen,A192)</f>
        <v>16</v>
      </c>
    </row>
    <row r="193">
      <c r="A193" s="2">
        <v>141.0</v>
      </c>
      <c r="AR193" s="8">
        <f>COUNTIFS(score3pijlen,A193)</f>
        <v>15</v>
      </c>
    </row>
    <row r="194">
      <c r="A194" s="2">
        <v>142.0</v>
      </c>
      <c r="AR194" s="8">
        <f>COUNTIFS(score3pijlen,A194)</f>
        <v>14</v>
      </c>
    </row>
    <row r="195">
      <c r="A195" s="2">
        <v>143.0</v>
      </c>
      <c r="AR195" s="8">
        <f>COUNTIFS(score3pijlen,A195)</f>
        <v>13</v>
      </c>
    </row>
    <row r="196">
      <c r="A196" s="2">
        <v>144.0</v>
      </c>
      <c r="AR196" s="8">
        <f>COUNTIFS(score3pijlen,A196)</f>
        <v>14</v>
      </c>
    </row>
    <row r="197">
      <c r="A197" s="2">
        <v>145.0</v>
      </c>
      <c r="AR197" s="8">
        <f>COUNTIFS(score3pijlen,A197)</f>
        <v>11</v>
      </c>
    </row>
    <row r="198">
      <c r="A198" s="2">
        <v>146.0</v>
      </c>
      <c r="AR198" s="8">
        <f>COUNTIFS(score3pijlen,A198)</f>
        <v>12</v>
      </c>
    </row>
    <row r="199">
      <c r="A199" s="2">
        <v>147.0</v>
      </c>
      <c r="AR199" s="8">
        <f>COUNTIFS(score3pijlen,A199)</f>
        <v>12</v>
      </c>
    </row>
    <row r="200">
      <c r="A200" s="2">
        <v>148.0</v>
      </c>
      <c r="AR200" s="8">
        <f>COUNTIFS(score3pijlen,A200)</f>
        <v>9</v>
      </c>
    </row>
    <row r="201">
      <c r="A201" s="2">
        <v>149.0</v>
      </c>
      <c r="AR201" s="8">
        <f>COUNTIFS(score3pijlen,A201)</f>
        <v>10</v>
      </c>
    </row>
    <row r="202">
      <c r="A202" s="2">
        <v>150.0</v>
      </c>
      <c r="AR202" s="8">
        <f>COUNTIFS(score3pijlen,A202)</f>
        <v>12</v>
      </c>
    </row>
    <row r="203">
      <c r="A203" s="2">
        <v>151.0</v>
      </c>
      <c r="AR203" s="8">
        <f>COUNTIFS(score3pijlen,A203)</f>
        <v>6</v>
      </c>
    </row>
    <row r="204">
      <c r="A204" s="2">
        <v>152.0</v>
      </c>
      <c r="AR204" s="8">
        <f>COUNTIFS(score3pijlen,A204)</f>
        <v>9</v>
      </c>
    </row>
    <row r="205">
      <c r="A205" s="2">
        <v>153.0</v>
      </c>
      <c r="AR205" s="8">
        <f>COUNTIFS(score3pijlen,A205)</f>
        <v>9</v>
      </c>
    </row>
    <row r="206">
      <c r="A206" s="2">
        <v>154.0</v>
      </c>
      <c r="AR206" s="8">
        <f>COUNTIFS(score3pijlen,A206)</f>
        <v>5</v>
      </c>
    </row>
    <row r="207">
      <c r="A207" s="2">
        <v>155.0</v>
      </c>
      <c r="AR207" s="8">
        <f>COUNTIFS(score3pijlen,A207)</f>
        <v>7</v>
      </c>
    </row>
    <row r="208">
      <c r="A208" s="2">
        <v>156.0</v>
      </c>
      <c r="AR208" s="8">
        <f>COUNTIFS(score3pijlen,A208)</f>
        <v>8</v>
      </c>
    </row>
    <row r="209">
      <c r="A209" s="2">
        <v>157.0</v>
      </c>
      <c r="AR209" s="8">
        <f>COUNTIFS(score3pijlen,A209)</f>
        <v>3</v>
      </c>
    </row>
    <row r="210">
      <c r="A210" s="2">
        <v>158.0</v>
      </c>
      <c r="AR210" s="8">
        <f>COUNTIFS(score3pijlen,A210)</f>
        <v>6</v>
      </c>
    </row>
    <row r="211">
      <c r="A211" s="2">
        <v>159.0</v>
      </c>
      <c r="AR211" s="8">
        <f>COUNTIFS(score3pijlen,A211)</f>
        <v>7</v>
      </c>
    </row>
    <row r="212">
      <c r="A212" s="2">
        <v>160.0</v>
      </c>
      <c r="AR212" s="8">
        <f>COUNTIFS(score3pijlen,A212)</f>
        <v>3</v>
      </c>
    </row>
    <row r="213">
      <c r="A213" s="2">
        <v>161.0</v>
      </c>
      <c r="AR213" s="8">
        <f>COUNTIFS(score3pijlen,A213)</f>
        <v>4</v>
      </c>
    </row>
    <row r="214">
      <c r="A214" s="2">
        <v>162.0</v>
      </c>
      <c r="AR214" s="8">
        <f>COUNTIFS(score3pijlen,A214)</f>
        <v>6</v>
      </c>
    </row>
    <row r="215">
      <c r="A215" s="9">
        <v>163.0</v>
      </c>
      <c r="AR215" s="8">
        <f>COUNTIFS(score3pijlen,A215)</f>
        <v>0</v>
      </c>
    </row>
    <row r="216">
      <c r="A216" s="2">
        <v>164.0</v>
      </c>
      <c r="AR216" s="8">
        <f>COUNTIFS(score3pijlen,A216)</f>
        <v>3</v>
      </c>
    </row>
    <row r="217">
      <c r="A217" s="2">
        <v>165.0</v>
      </c>
      <c r="AR217" s="8">
        <f>COUNTIFS(score3pijlen,A217)</f>
        <v>5</v>
      </c>
    </row>
    <row r="218">
      <c r="A218" s="2">
        <v>166.0</v>
      </c>
      <c r="AR218" s="8">
        <f>COUNTIFS(score3pijlen,A218)</f>
        <v>0</v>
      </c>
    </row>
    <row r="219">
      <c r="A219" s="2">
        <v>167.0</v>
      </c>
      <c r="AR219" s="8">
        <f>COUNTIFS(score3pijlen,A219)</f>
        <v>2</v>
      </c>
    </row>
    <row r="220">
      <c r="A220" s="2">
        <v>168.0</v>
      </c>
      <c r="AR220" s="8">
        <f>COUNTIFS(score3pijlen,A220)</f>
        <v>4</v>
      </c>
    </row>
    <row r="221">
      <c r="A221" s="9">
        <v>169.0</v>
      </c>
      <c r="AR221" s="8">
        <f>COUNTIFS(score3pijlen,A221)</f>
        <v>0</v>
      </c>
    </row>
    <row r="222">
      <c r="A222" s="2">
        <v>170.0</v>
      </c>
      <c r="AR222" s="8">
        <f>COUNTIFS(score3pijlen,A222)</f>
        <v>2</v>
      </c>
    </row>
    <row r="223">
      <c r="A223" s="2">
        <v>171.0</v>
      </c>
      <c r="AR223" s="8">
        <f>COUNTIFS(score3pijlen,A223)</f>
        <v>3</v>
      </c>
    </row>
    <row r="224">
      <c r="A224" s="9">
        <v>172.0</v>
      </c>
      <c r="AR224" s="8">
        <f>COUNTIFS(score3pijlen,A224)</f>
        <v>0</v>
      </c>
    </row>
    <row r="225">
      <c r="A225" s="9">
        <v>173.0</v>
      </c>
      <c r="AR225" s="8">
        <f>COUNTIFS(score3pijlen,A225)</f>
        <v>0</v>
      </c>
    </row>
    <row r="226">
      <c r="A226" s="2">
        <v>174.0</v>
      </c>
      <c r="AR226" s="8">
        <f>COUNTIFS(score3pijlen,A226)</f>
        <v>2</v>
      </c>
    </row>
    <row r="227">
      <c r="A227" s="9">
        <v>175.0</v>
      </c>
      <c r="AR227" s="8">
        <f>COUNTIFS(score3pijlen,A227)</f>
        <v>0</v>
      </c>
    </row>
    <row r="228">
      <c r="A228" s="9">
        <v>176.0</v>
      </c>
      <c r="AR228" s="8">
        <f>COUNTIFS(score3pijlen,A228)</f>
        <v>0</v>
      </c>
    </row>
    <row r="229">
      <c r="A229" s="2">
        <v>177.0</v>
      </c>
      <c r="AR229" s="8">
        <f>COUNTIFS(score3pijlen,A229)</f>
        <v>1</v>
      </c>
    </row>
    <row r="230">
      <c r="A230" s="2">
        <v>178.0</v>
      </c>
      <c r="AR230" s="8">
        <f>COUNTIFS(score3pijlen,A230)</f>
        <v>0</v>
      </c>
    </row>
    <row r="231">
      <c r="A231" s="9">
        <v>179.0</v>
      </c>
      <c r="AR231" s="8">
        <f>COUNTIFS(score3pijlen,A231)</f>
        <v>0</v>
      </c>
    </row>
    <row r="232">
      <c r="A232" s="2">
        <v>180.0</v>
      </c>
      <c r="AR232" s="8">
        <f>COUNTIFS(score3pijlen,A232)</f>
        <v>1</v>
      </c>
    </row>
    <row r="233">
      <c r="AR233" s="8"/>
    </row>
    <row r="234">
      <c r="AR234" s="8"/>
    </row>
  </sheetData>
  <customSheetViews>
    <customSheetView guid="{90695445-C167-4A02-B293-0C05CE0DFBD1}" filter="1" showAutoFilter="1">
      <autoFilter ref="$A$1:$AR$992">
        <filterColumn colId="43">
          <filters>
            <filter val="1"/>
          </filters>
        </filterColumn>
      </autoFilter>
      <extLst>
        <ext uri="GoogleSheetsCustomDataVersion1">
          <go:sheetsCustomData xmlns:go="http://customooxmlschemas.google.com/" filterViewId="1239471700"/>
        </ext>
      </extLst>
    </customSheetView>
  </customSheetView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57"/>
    <col customWidth="1" min="2" max="2" width="4.29"/>
    <col customWidth="1" min="3" max="3" width="6.0"/>
    <col customWidth="1" min="4" max="5" width="4.29"/>
    <col customWidth="1" min="6" max="10" width="2.14"/>
    <col customWidth="1" min="11" max="44" width="3.29"/>
  </cols>
  <sheetData>
    <row r="1">
      <c r="A1" s="2" t="s">
        <v>51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24.0</v>
      </c>
      <c r="Y1" s="1">
        <v>25.0</v>
      </c>
      <c r="Z1" s="1">
        <v>26.0</v>
      </c>
      <c r="AA1" s="1">
        <v>28.0</v>
      </c>
      <c r="AB1" s="1">
        <v>30.0</v>
      </c>
      <c r="AC1" s="1">
        <v>32.0</v>
      </c>
      <c r="AD1" s="1">
        <v>33.0</v>
      </c>
      <c r="AE1" s="1">
        <v>34.0</v>
      </c>
      <c r="AF1" s="1">
        <v>36.0</v>
      </c>
      <c r="AG1" s="1">
        <v>38.0</v>
      </c>
      <c r="AH1" s="1">
        <v>39.0</v>
      </c>
      <c r="AI1" s="1">
        <v>40.0</v>
      </c>
      <c r="AJ1" s="1">
        <v>42.0</v>
      </c>
      <c r="AK1" s="1">
        <v>45.0</v>
      </c>
      <c r="AL1" s="1">
        <v>48.0</v>
      </c>
      <c r="AM1" s="1">
        <v>50.0</v>
      </c>
      <c r="AN1" s="1">
        <v>51.0</v>
      </c>
      <c r="AO1" s="1">
        <v>54.0</v>
      </c>
      <c r="AP1" s="1">
        <v>60.0</v>
      </c>
      <c r="AR1" s="8">
        <f>COUNTIFS('score 4 darts'!score3pijlen,AP1)</f>
        <v>40</v>
      </c>
    </row>
    <row r="2">
      <c r="A2" s="2">
        <v>2.0</v>
      </c>
      <c r="B2" s="1">
        <f t="shared" ref="B2:B173" si="2">$B$1+$A2</f>
        <v>3</v>
      </c>
      <c r="C2" s="1">
        <f t="shared" ref="C2:C173" si="3">C$1+$A2</f>
        <v>4</v>
      </c>
      <c r="D2" s="1">
        <f t="shared" ref="D2:D173" si="4">$B$1+$A2</f>
        <v>3</v>
      </c>
      <c r="E2" s="1">
        <f t="shared" ref="E2:E173" si="5">E$1+$A2</f>
        <v>6</v>
      </c>
      <c r="F2" s="1">
        <f t="shared" ref="F2:F173" si="6">$B$1+$A2</f>
        <v>3</v>
      </c>
      <c r="G2" s="1">
        <f t="shared" ref="G2:G173" si="7">G$1+$A2</f>
        <v>8</v>
      </c>
      <c r="H2" s="1">
        <f t="shared" ref="H2:H173" si="8">$B$1+$A2</f>
        <v>3</v>
      </c>
      <c r="I2" s="1">
        <f t="shared" ref="I2:I173" si="9">I$1+$A2</f>
        <v>10</v>
      </c>
      <c r="J2" s="1">
        <f t="shared" ref="J2:J173" si="10">$B$1+$A2</f>
        <v>3</v>
      </c>
      <c r="K2" s="1">
        <f t="shared" ref="K2:K173" si="11">K$1+$A2</f>
        <v>12</v>
      </c>
      <c r="L2" s="1">
        <f t="shared" ref="L2:L173" si="12">$B$1+$A2</f>
        <v>3</v>
      </c>
      <c r="M2" s="1">
        <f t="shared" ref="M2:M173" si="13">M$1+$A2</f>
        <v>14</v>
      </c>
      <c r="N2" s="1">
        <f t="shared" ref="N2:N173" si="14">$B$1+$A2</f>
        <v>3</v>
      </c>
      <c r="O2" s="1">
        <f t="shared" ref="O2:O173" si="15">O$1+$A2</f>
        <v>16</v>
      </c>
      <c r="P2" s="1">
        <f t="shared" ref="P2:P173" si="16">$B$1+$A2</f>
        <v>3</v>
      </c>
      <c r="Q2" s="1">
        <f t="shared" ref="Q2:Q173" si="17">Q$1+$A2</f>
        <v>18</v>
      </c>
      <c r="R2" s="1">
        <f t="shared" ref="R2:R173" si="18">$B$1+$A2</f>
        <v>3</v>
      </c>
      <c r="S2" s="1">
        <f t="shared" ref="S2:S173" si="19">S$1+$A2</f>
        <v>20</v>
      </c>
      <c r="T2" s="1">
        <f t="shared" ref="T2:T169" si="20">$B$1+$A2</f>
        <v>3</v>
      </c>
      <c r="U2" s="1">
        <f t="shared" ref="U2:U169" si="21">U$1+$A2</f>
        <v>22</v>
      </c>
      <c r="V2" s="1">
        <f t="shared" ref="V2:V169" si="22">$B$1+$A2</f>
        <v>3</v>
      </c>
      <c r="W2" s="1">
        <f t="shared" ref="W2:W169" si="23">W$1+$A2</f>
        <v>24</v>
      </c>
      <c r="X2" s="1">
        <f t="shared" ref="X2:X169" si="24">$B$1+$A2</f>
        <v>3</v>
      </c>
      <c r="Y2" s="1">
        <f t="shared" ref="Y2:Y169" si="25">Y$1+$A2</f>
        <v>27</v>
      </c>
      <c r="Z2" s="1">
        <f t="shared" ref="Z2:Z173" si="26">$B$1+$A2</f>
        <v>3</v>
      </c>
      <c r="AA2" s="1">
        <f t="shared" ref="AA2:AA173" si="27">AA$1+$A2</f>
        <v>30</v>
      </c>
      <c r="AB2" s="1">
        <f t="shared" ref="AB2:AB173" si="28">$B$1+$A2</f>
        <v>3</v>
      </c>
      <c r="AC2" s="1">
        <f t="shared" ref="AC2:AC169" si="29">AC$1+$A2</f>
        <v>34</v>
      </c>
      <c r="AD2" s="1">
        <f t="shared" ref="AD2:AD169" si="30">$B$1+$A2</f>
        <v>3</v>
      </c>
      <c r="AE2" s="1">
        <f t="shared" ref="AE2:AE169" si="31">AE$1+$A2</f>
        <v>36</v>
      </c>
      <c r="AF2" s="1">
        <f t="shared" ref="AF2:AF169" si="32">$B$1+$A2</f>
        <v>3</v>
      </c>
      <c r="AG2" s="1">
        <f t="shared" ref="AG2:AG173" si="33">AG$1+$A2</f>
        <v>40</v>
      </c>
      <c r="AH2" s="1">
        <f t="shared" ref="AH2:AI2" si="1">$B$1+$A2</f>
        <v>3</v>
      </c>
      <c r="AI2" s="1">
        <f t="shared" si="1"/>
        <v>3</v>
      </c>
      <c r="AJ2" s="1">
        <f t="shared" ref="AJ2:AJ173" si="35">AJ$1+$A2</f>
        <v>44</v>
      </c>
      <c r="AK2" s="1">
        <f t="shared" ref="AK2:AK173" si="36">$B$1+$A2</f>
        <v>3</v>
      </c>
      <c r="AL2" s="1">
        <f t="shared" ref="AL2:AL169" si="37">AL$1+$A2</f>
        <v>50</v>
      </c>
      <c r="AM2" s="1">
        <f t="shared" ref="AM2:AM169" si="38">$B$1+$A2</f>
        <v>3</v>
      </c>
      <c r="AN2" s="1">
        <f t="shared" ref="AN2:AN169" si="39">AN$1+$A2</f>
        <v>53</v>
      </c>
      <c r="AO2" s="1">
        <f t="shared" ref="AO2:AO169" si="40">$B$1+$A2</f>
        <v>3</v>
      </c>
      <c r="AP2" s="1">
        <f t="shared" ref="AP2:AP173" si="41">AP$1+$A2</f>
        <v>62</v>
      </c>
      <c r="AR2" s="8">
        <f>COUNTIFS(score4pijlen,AP2) </f>
        <v>41</v>
      </c>
    </row>
    <row r="3">
      <c r="A3" s="2">
        <v>3.0</v>
      </c>
      <c r="B3" s="1">
        <f t="shared" si="2"/>
        <v>4</v>
      </c>
      <c r="C3" s="1">
        <f t="shared" si="3"/>
        <v>5</v>
      </c>
      <c r="D3" s="1">
        <f t="shared" si="4"/>
        <v>4</v>
      </c>
      <c r="E3" s="1">
        <f t="shared" si="5"/>
        <v>7</v>
      </c>
      <c r="F3" s="1">
        <f t="shared" si="6"/>
        <v>4</v>
      </c>
      <c r="G3" s="1">
        <f t="shared" si="7"/>
        <v>9</v>
      </c>
      <c r="H3" s="1">
        <f t="shared" si="8"/>
        <v>4</v>
      </c>
      <c r="I3" s="1">
        <f t="shared" si="9"/>
        <v>11</v>
      </c>
      <c r="J3" s="1">
        <f t="shared" si="10"/>
        <v>4</v>
      </c>
      <c r="K3" s="1">
        <f t="shared" si="11"/>
        <v>13</v>
      </c>
      <c r="L3" s="1">
        <f t="shared" si="12"/>
        <v>4</v>
      </c>
      <c r="M3" s="1">
        <f t="shared" si="13"/>
        <v>15</v>
      </c>
      <c r="N3" s="1">
        <f t="shared" si="14"/>
        <v>4</v>
      </c>
      <c r="O3" s="1">
        <f t="shared" si="15"/>
        <v>17</v>
      </c>
      <c r="P3" s="1">
        <f t="shared" si="16"/>
        <v>4</v>
      </c>
      <c r="Q3" s="1">
        <f t="shared" si="17"/>
        <v>19</v>
      </c>
      <c r="R3" s="1">
        <f t="shared" si="18"/>
        <v>4</v>
      </c>
      <c r="S3" s="1">
        <f t="shared" si="19"/>
        <v>21</v>
      </c>
      <c r="T3" s="1">
        <f t="shared" si="20"/>
        <v>4</v>
      </c>
      <c r="U3" s="1">
        <f t="shared" si="21"/>
        <v>23</v>
      </c>
      <c r="V3" s="1">
        <f t="shared" si="22"/>
        <v>4</v>
      </c>
      <c r="W3" s="1">
        <f t="shared" si="23"/>
        <v>25</v>
      </c>
      <c r="X3" s="1">
        <f t="shared" si="24"/>
        <v>4</v>
      </c>
      <c r="Y3" s="1">
        <f t="shared" si="25"/>
        <v>28</v>
      </c>
      <c r="Z3" s="1">
        <f t="shared" si="26"/>
        <v>4</v>
      </c>
      <c r="AA3" s="1">
        <f t="shared" si="27"/>
        <v>31</v>
      </c>
      <c r="AB3" s="1">
        <f t="shared" si="28"/>
        <v>4</v>
      </c>
      <c r="AC3" s="1">
        <f t="shared" si="29"/>
        <v>35</v>
      </c>
      <c r="AD3" s="1">
        <f t="shared" si="30"/>
        <v>4</v>
      </c>
      <c r="AE3" s="1">
        <f t="shared" si="31"/>
        <v>37</v>
      </c>
      <c r="AF3" s="1">
        <f t="shared" si="32"/>
        <v>4</v>
      </c>
      <c r="AG3" s="1">
        <f t="shared" si="33"/>
        <v>41</v>
      </c>
      <c r="AH3" s="1">
        <f t="shared" ref="AH3:AI3" si="34">$B$1+$A3</f>
        <v>4</v>
      </c>
      <c r="AI3" s="1">
        <f t="shared" si="34"/>
        <v>4</v>
      </c>
      <c r="AJ3" s="1">
        <f t="shared" si="35"/>
        <v>45</v>
      </c>
      <c r="AK3" s="1">
        <f t="shared" si="36"/>
        <v>4</v>
      </c>
      <c r="AL3" s="1">
        <f t="shared" si="37"/>
        <v>51</v>
      </c>
      <c r="AM3" s="1">
        <f t="shared" si="38"/>
        <v>4</v>
      </c>
      <c r="AN3" s="1">
        <f t="shared" si="39"/>
        <v>54</v>
      </c>
      <c r="AO3" s="1">
        <f t="shared" si="40"/>
        <v>4</v>
      </c>
      <c r="AP3" s="1">
        <f t="shared" si="41"/>
        <v>63</v>
      </c>
      <c r="AR3" s="8">
        <f>COUNTIFS(score4pijlen,AP3) </f>
        <v>41</v>
      </c>
    </row>
    <row r="4">
      <c r="A4" s="2">
        <v>4.0</v>
      </c>
      <c r="B4" s="1">
        <f t="shared" si="2"/>
        <v>5</v>
      </c>
      <c r="C4" s="1">
        <f t="shared" si="3"/>
        <v>6</v>
      </c>
      <c r="D4" s="1">
        <f t="shared" si="4"/>
        <v>5</v>
      </c>
      <c r="E4" s="1">
        <f t="shared" si="5"/>
        <v>8</v>
      </c>
      <c r="F4" s="1">
        <f t="shared" si="6"/>
        <v>5</v>
      </c>
      <c r="G4" s="1">
        <f t="shared" si="7"/>
        <v>10</v>
      </c>
      <c r="H4" s="1">
        <f t="shared" si="8"/>
        <v>5</v>
      </c>
      <c r="I4" s="1">
        <f t="shared" si="9"/>
        <v>12</v>
      </c>
      <c r="J4" s="1">
        <f t="shared" si="10"/>
        <v>5</v>
      </c>
      <c r="K4" s="1">
        <f t="shared" si="11"/>
        <v>14</v>
      </c>
      <c r="L4" s="1">
        <f t="shared" si="12"/>
        <v>5</v>
      </c>
      <c r="M4" s="1">
        <f t="shared" si="13"/>
        <v>16</v>
      </c>
      <c r="N4" s="1">
        <f t="shared" si="14"/>
        <v>5</v>
      </c>
      <c r="O4" s="1">
        <f t="shared" si="15"/>
        <v>18</v>
      </c>
      <c r="P4" s="1">
        <f t="shared" si="16"/>
        <v>5</v>
      </c>
      <c r="Q4" s="1">
        <f t="shared" si="17"/>
        <v>20</v>
      </c>
      <c r="R4" s="1">
        <f t="shared" si="18"/>
        <v>5</v>
      </c>
      <c r="S4" s="1">
        <f t="shared" si="19"/>
        <v>22</v>
      </c>
      <c r="T4" s="1">
        <f t="shared" si="20"/>
        <v>5</v>
      </c>
      <c r="U4" s="1">
        <f t="shared" si="21"/>
        <v>24</v>
      </c>
      <c r="V4" s="1">
        <f t="shared" si="22"/>
        <v>5</v>
      </c>
      <c r="W4" s="1">
        <f t="shared" si="23"/>
        <v>26</v>
      </c>
      <c r="X4" s="1">
        <f t="shared" si="24"/>
        <v>5</v>
      </c>
      <c r="Y4" s="1">
        <f t="shared" si="25"/>
        <v>29</v>
      </c>
      <c r="Z4" s="1">
        <f t="shared" si="26"/>
        <v>5</v>
      </c>
      <c r="AA4" s="1">
        <f t="shared" si="27"/>
        <v>32</v>
      </c>
      <c r="AB4" s="1">
        <f t="shared" si="28"/>
        <v>5</v>
      </c>
      <c r="AC4" s="1">
        <f t="shared" si="29"/>
        <v>36</v>
      </c>
      <c r="AD4" s="1">
        <f t="shared" si="30"/>
        <v>5</v>
      </c>
      <c r="AE4" s="1">
        <f t="shared" si="31"/>
        <v>38</v>
      </c>
      <c r="AF4" s="1">
        <f t="shared" si="32"/>
        <v>5</v>
      </c>
      <c r="AG4" s="1">
        <f t="shared" si="33"/>
        <v>42</v>
      </c>
      <c r="AH4" s="1">
        <f t="shared" ref="AH4:AI4" si="42">$B$1+$A4</f>
        <v>5</v>
      </c>
      <c r="AI4" s="1">
        <f t="shared" si="42"/>
        <v>5</v>
      </c>
      <c r="AJ4" s="1">
        <f t="shared" si="35"/>
        <v>46</v>
      </c>
      <c r="AK4" s="1">
        <f t="shared" si="36"/>
        <v>5</v>
      </c>
      <c r="AL4" s="1">
        <f t="shared" si="37"/>
        <v>52</v>
      </c>
      <c r="AM4" s="1">
        <f t="shared" si="38"/>
        <v>5</v>
      </c>
      <c r="AN4" s="1">
        <f t="shared" si="39"/>
        <v>55</v>
      </c>
      <c r="AO4" s="1">
        <f t="shared" si="40"/>
        <v>5</v>
      </c>
      <c r="AP4" s="1">
        <f t="shared" si="41"/>
        <v>64</v>
      </c>
      <c r="AR4" s="8">
        <f>COUNTIFS(score4pijlen,AP4) </f>
        <v>41</v>
      </c>
    </row>
    <row r="5">
      <c r="A5" s="2">
        <v>5.0</v>
      </c>
      <c r="B5" s="1">
        <f t="shared" si="2"/>
        <v>6</v>
      </c>
      <c r="C5" s="1">
        <f t="shared" si="3"/>
        <v>7</v>
      </c>
      <c r="D5" s="1">
        <f t="shared" si="4"/>
        <v>6</v>
      </c>
      <c r="E5" s="1">
        <f t="shared" si="5"/>
        <v>9</v>
      </c>
      <c r="F5" s="1">
        <f t="shared" si="6"/>
        <v>6</v>
      </c>
      <c r="G5" s="1">
        <f t="shared" si="7"/>
        <v>11</v>
      </c>
      <c r="H5" s="1">
        <f t="shared" si="8"/>
        <v>6</v>
      </c>
      <c r="I5" s="1">
        <f t="shared" si="9"/>
        <v>13</v>
      </c>
      <c r="J5" s="1">
        <f t="shared" si="10"/>
        <v>6</v>
      </c>
      <c r="K5" s="1">
        <f t="shared" si="11"/>
        <v>15</v>
      </c>
      <c r="L5" s="1">
        <f t="shared" si="12"/>
        <v>6</v>
      </c>
      <c r="M5" s="1">
        <f t="shared" si="13"/>
        <v>17</v>
      </c>
      <c r="N5" s="1">
        <f t="shared" si="14"/>
        <v>6</v>
      </c>
      <c r="O5" s="1">
        <f t="shared" si="15"/>
        <v>19</v>
      </c>
      <c r="P5" s="1">
        <f t="shared" si="16"/>
        <v>6</v>
      </c>
      <c r="Q5" s="1">
        <f t="shared" si="17"/>
        <v>21</v>
      </c>
      <c r="R5" s="1">
        <f t="shared" si="18"/>
        <v>6</v>
      </c>
      <c r="S5" s="1">
        <f t="shared" si="19"/>
        <v>23</v>
      </c>
      <c r="T5" s="1">
        <f t="shared" si="20"/>
        <v>6</v>
      </c>
      <c r="U5" s="1">
        <f t="shared" si="21"/>
        <v>25</v>
      </c>
      <c r="V5" s="1">
        <f t="shared" si="22"/>
        <v>6</v>
      </c>
      <c r="W5" s="1">
        <f t="shared" si="23"/>
        <v>27</v>
      </c>
      <c r="X5" s="1">
        <f t="shared" si="24"/>
        <v>6</v>
      </c>
      <c r="Y5" s="1">
        <f t="shared" si="25"/>
        <v>30</v>
      </c>
      <c r="Z5" s="1">
        <f t="shared" si="26"/>
        <v>6</v>
      </c>
      <c r="AA5" s="1">
        <f t="shared" si="27"/>
        <v>33</v>
      </c>
      <c r="AB5" s="1">
        <f t="shared" si="28"/>
        <v>6</v>
      </c>
      <c r="AC5" s="1">
        <f t="shared" si="29"/>
        <v>37</v>
      </c>
      <c r="AD5" s="1">
        <f t="shared" si="30"/>
        <v>6</v>
      </c>
      <c r="AE5" s="1">
        <f t="shared" si="31"/>
        <v>39</v>
      </c>
      <c r="AF5" s="1">
        <f t="shared" si="32"/>
        <v>6</v>
      </c>
      <c r="AG5" s="1">
        <f t="shared" si="33"/>
        <v>43</v>
      </c>
      <c r="AH5" s="1">
        <f t="shared" ref="AH5:AI5" si="43">$B$1+$A5</f>
        <v>6</v>
      </c>
      <c r="AI5" s="1">
        <f t="shared" si="43"/>
        <v>6</v>
      </c>
      <c r="AJ5" s="1">
        <f t="shared" si="35"/>
        <v>47</v>
      </c>
      <c r="AK5" s="1">
        <f t="shared" si="36"/>
        <v>6</v>
      </c>
      <c r="AL5" s="1">
        <f t="shared" si="37"/>
        <v>53</v>
      </c>
      <c r="AM5" s="1">
        <f t="shared" si="38"/>
        <v>6</v>
      </c>
      <c r="AN5" s="1">
        <f t="shared" si="39"/>
        <v>56</v>
      </c>
      <c r="AO5" s="1">
        <f t="shared" si="40"/>
        <v>6</v>
      </c>
      <c r="AP5" s="1">
        <f t="shared" si="41"/>
        <v>65</v>
      </c>
      <c r="AR5" s="8">
        <f>COUNTIFS(score4pijlen,AP5) </f>
        <v>41</v>
      </c>
    </row>
    <row r="6">
      <c r="A6" s="2">
        <v>6.0</v>
      </c>
      <c r="B6" s="1">
        <f t="shared" si="2"/>
        <v>7</v>
      </c>
      <c r="C6" s="1">
        <f t="shared" si="3"/>
        <v>8</v>
      </c>
      <c r="D6" s="1">
        <f t="shared" si="4"/>
        <v>7</v>
      </c>
      <c r="E6" s="1">
        <f t="shared" si="5"/>
        <v>10</v>
      </c>
      <c r="F6" s="1">
        <f t="shared" si="6"/>
        <v>7</v>
      </c>
      <c r="G6" s="1">
        <f t="shared" si="7"/>
        <v>12</v>
      </c>
      <c r="H6" s="1">
        <f t="shared" si="8"/>
        <v>7</v>
      </c>
      <c r="I6" s="1">
        <f t="shared" si="9"/>
        <v>14</v>
      </c>
      <c r="J6" s="1">
        <f t="shared" si="10"/>
        <v>7</v>
      </c>
      <c r="K6" s="1">
        <f t="shared" si="11"/>
        <v>16</v>
      </c>
      <c r="L6" s="1">
        <f t="shared" si="12"/>
        <v>7</v>
      </c>
      <c r="M6" s="1">
        <f t="shared" si="13"/>
        <v>18</v>
      </c>
      <c r="N6" s="1">
        <f t="shared" si="14"/>
        <v>7</v>
      </c>
      <c r="O6" s="1">
        <f t="shared" si="15"/>
        <v>20</v>
      </c>
      <c r="P6" s="1">
        <f t="shared" si="16"/>
        <v>7</v>
      </c>
      <c r="Q6" s="1">
        <f t="shared" si="17"/>
        <v>22</v>
      </c>
      <c r="R6" s="1">
        <f t="shared" si="18"/>
        <v>7</v>
      </c>
      <c r="S6" s="1">
        <f t="shared" si="19"/>
        <v>24</v>
      </c>
      <c r="T6" s="1">
        <f t="shared" si="20"/>
        <v>7</v>
      </c>
      <c r="U6" s="1">
        <f t="shared" si="21"/>
        <v>26</v>
      </c>
      <c r="V6" s="1">
        <f t="shared" si="22"/>
        <v>7</v>
      </c>
      <c r="W6" s="1">
        <f t="shared" si="23"/>
        <v>28</v>
      </c>
      <c r="X6" s="1">
        <f t="shared" si="24"/>
        <v>7</v>
      </c>
      <c r="Y6" s="1">
        <f t="shared" si="25"/>
        <v>31</v>
      </c>
      <c r="Z6" s="1">
        <f t="shared" si="26"/>
        <v>7</v>
      </c>
      <c r="AA6" s="1">
        <f t="shared" si="27"/>
        <v>34</v>
      </c>
      <c r="AB6" s="1">
        <f t="shared" si="28"/>
        <v>7</v>
      </c>
      <c r="AC6" s="1">
        <f t="shared" si="29"/>
        <v>38</v>
      </c>
      <c r="AD6" s="1">
        <f t="shared" si="30"/>
        <v>7</v>
      </c>
      <c r="AE6" s="1">
        <f t="shared" si="31"/>
        <v>40</v>
      </c>
      <c r="AF6" s="1">
        <f t="shared" si="32"/>
        <v>7</v>
      </c>
      <c r="AG6" s="1">
        <f t="shared" si="33"/>
        <v>44</v>
      </c>
      <c r="AH6" s="1">
        <f t="shared" ref="AH6:AI6" si="44">$B$1+$A6</f>
        <v>7</v>
      </c>
      <c r="AI6" s="1">
        <f t="shared" si="44"/>
        <v>7</v>
      </c>
      <c r="AJ6" s="1">
        <f t="shared" si="35"/>
        <v>48</v>
      </c>
      <c r="AK6" s="1">
        <f t="shared" si="36"/>
        <v>7</v>
      </c>
      <c r="AL6" s="1">
        <f t="shared" si="37"/>
        <v>54</v>
      </c>
      <c r="AM6" s="1">
        <f t="shared" si="38"/>
        <v>7</v>
      </c>
      <c r="AN6" s="1">
        <f t="shared" si="39"/>
        <v>57</v>
      </c>
      <c r="AO6" s="1">
        <f t="shared" si="40"/>
        <v>7</v>
      </c>
      <c r="AP6" s="1">
        <f t="shared" si="41"/>
        <v>66</v>
      </c>
      <c r="AR6" s="8">
        <f>COUNTIFS(score4pijlen,AP6) </f>
        <v>41</v>
      </c>
    </row>
    <row r="7">
      <c r="A7" s="2">
        <v>7.0</v>
      </c>
      <c r="B7" s="1">
        <f t="shared" si="2"/>
        <v>8</v>
      </c>
      <c r="C7" s="1">
        <f t="shared" si="3"/>
        <v>9</v>
      </c>
      <c r="D7" s="1">
        <f t="shared" si="4"/>
        <v>8</v>
      </c>
      <c r="E7" s="1">
        <f t="shared" si="5"/>
        <v>11</v>
      </c>
      <c r="F7" s="1">
        <f t="shared" si="6"/>
        <v>8</v>
      </c>
      <c r="G7" s="1">
        <f t="shared" si="7"/>
        <v>13</v>
      </c>
      <c r="H7" s="1">
        <f t="shared" si="8"/>
        <v>8</v>
      </c>
      <c r="I7" s="1">
        <f t="shared" si="9"/>
        <v>15</v>
      </c>
      <c r="J7" s="1">
        <f t="shared" si="10"/>
        <v>8</v>
      </c>
      <c r="K7" s="1">
        <f t="shared" si="11"/>
        <v>17</v>
      </c>
      <c r="L7" s="1">
        <f t="shared" si="12"/>
        <v>8</v>
      </c>
      <c r="M7" s="1">
        <f t="shared" si="13"/>
        <v>19</v>
      </c>
      <c r="N7" s="1">
        <f t="shared" si="14"/>
        <v>8</v>
      </c>
      <c r="O7" s="1">
        <f t="shared" si="15"/>
        <v>21</v>
      </c>
      <c r="P7" s="1">
        <f t="shared" si="16"/>
        <v>8</v>
      </c>
      <c r="Q7" s="1">
        <f t="shared" si="17"/>
        <v>23</v>
      </c>
      <c r="R7" s="1">
        <f t="shared" si="18"/>
        <v>8</v>
      </c>
      <c r="S7" s="1">
        <f t="shared" si="19"/>
        <v>25</v>
      </c>
      <c r="T7" s="1">
        <f t="shared" si="20"/>
        <v>8</v>
      </c>
      <c r="U7" s="1">
        <f t="shared" si="21"/>
        <v>27</v>
      </c>
      <c r="V7" s="1">
        <f t="shared" si="22"/>
        <v>8</v>
      </c>
      <c r="W7" s="1">
        <f t="shared" si="23"/>
        <v>29</v>
      </c>
      <c r="X7" s="1">
        <f t="shared" si="24"/>
        <v>8</v>
      </c>
      <c r="Y7" s="1">
        <f t="shared" si="25"/>
        <v>32</v>
      </c>
      <c r="Z7" s="1">
        <f t="shared" si="26"/>
        <v>8</v>
      </c>
      <c r="AA7" s="1">
        <f t="shared" si="27"/>
        <v>35</v>
      </c>
      <c r="AB7" s="1">
        <f t="shared" si="28"/>
        <v>8</v>
      </c>
      <c r="AC7" s="1">
        <f t="shared" si="29"/>
        <v>39</v>
      </c>
      <c r="AD7" s="1">
        <f t="shared" si="30"/>
        <v>8</v>
      </c>
      <c r="AE7" s="1">
        <f t="shared" si="31"/>
        <v>41</v>
      </c>
      <c r="AF7" s="1">
        <f t="shared" si="32"/>
        <v>8</v>
      </c>
      <c r="AG7" s="1">
        <f t="shared" si="33"/>
        <v>45</v>
      </c>
      <c r="AH7" s="1">
        <f t="shared" ref="AH7:AI7" si="45">$B$1+$A7</f>
        <v>8</v>
      </c>
      <c r="AI7" s="1">
        <f t="shared" si="45"/>
        <v>8</v>
      </c>
      <c r="AJ7" s="1">
        <f t="shared" si="35"/>
        <v>49</v>
      </c>
      <c r="AK7" s="1">
        <f t="shared" si="36"/>
        <v>8</v>
      </c>
      <c r="AL7" s="1">
        <f t="shared" si="37"/>
        <v>55</v>
      </c>
      <c r="AM7" s="1">
        <f t="shared" si="38"/>
        <v>8</v>
      </c>
      <c r="AN7" s="1">
        <f t="shared" si="39"/>
        <v>58</v>
      </c>
      <c r="AO7" s="1">
        <f t="shared" si="40"/>
        <v>8</v>
      </c>
      <c r="AP7" s="1">
        <f t="shared" si="41"/>
        <v>67</v>
      </c>
      <c r="AR7" s="8">
        <f>COUNTIFS(score4pijlen,AP7) </f>
        <v>41</v>
      </c>
    </row>
    <row r="8">
      <c r="A8" s="2">
        <v>8.0</v>
      </c>
      <c r="B8" s="1">
        <f t="shared" si="2"/>
        <v>9</v>
      </c>
      <c r="C8" s="1">
        <f t="shared" si="3"/>
        <v>10</v>
      </c>
      <c r="D8" s="1">
        <f t="shared" si="4"/>
        <v>9</v>
      </c>
      <c r="E8" s="1">
        <f t="shared" si="5"/>
        <v>12</v>
      </c>
      <c r="F8" s="1">
        <f t="shared" si="6"/>
        <v>9</v>
      </c>
      <c r="G8" s="1">
        <f t="shared" si="7"/>
        <v>14</v>
      </c>
      <c r="H8" s="1">
        <f t="shared" si="8"/>
        <v>9</v>
      </c>
      <c r="I8" s="1">
        <f t="shared" si="9"/>
        <v>16</v>
      </c>
      <c r="J8" s="1">
        <f t="shared" si="10"/>
        <v>9</v>
      </c>
      <c r="K8" s="1">
        <f t="shared" si="11"/>
        <v>18</v>
      </c>
      <c r="L8" s="1">
        <f t="shared" si="12"/>
        <v>9</v>
      </c>
      <c r="M8" s="1">
        <f t="shared" si="13"/>
        <v>20</v>
      </c>
      <c r="N8" s="1">
        <f t="shared" si="14"/>
        <v>9</v>
      </c>
      <c r="O8" s="1">
        <f t="shared" si="15"/>
        <v>22</v>
      </c>
      <c r="P8" s="1">
        <f t="shared" si="16"/>
        <v>9</v>
      </c>
      <c r="Q8" s="1">
        <f t="shared" si="17"/>
        <v>24</v>
      </c>
      <c r="R8" s="1">
        <f t="shared" si="18"/>
        <v>9</v>
      </c>
      <c r="S8" s="1">
        <f t="shared" si="19"/>
        <v>26</v>
      </c>
      <c r="T8" s="1">
        <f t="shared" si="20"/>
        <v>9</v>
      </c>
      <c r="U8" s="1">
        <f t="shared" si="21"/>
        <v>28</v>
      </c>
      <c r="V8" s="1">
        <f t="shared" si="22"/>
        <v>9</v>
      </c>
      <c r="W8" s="1">
        <f t="shared" si="23"/>
        <v>30</v>
      </c>
      <c r="X8" s="1">
        <f t="shared" si="24"/>
        <v>9</v>
      </c>
      <c r="Y8" s="1">
        <f t="shared" si="25"/>
        <v>33</v>
      </c>
      <c r="Z8" s="1">
        <f t="shared" si="26"/>
        <v>9</v>
      </c>
      <c r="AA8" s="1">
        <f t="shared" si="27"/>
        <v>36</v>
      </c>
      <c r="AB8" s="1">
        <f t="shared" si="28"/>
        <v>9</v>
      </c>
      <c r="AC8" s="1">
        <f t="shared" si="29"/>
        <v>40</v>
      </c>
      <c r="AD8" s="1">
        <f t="shared" si="30"/>
        <v>9</v>
      </c>
      <c r="AE8" s="1">
        <f t="shared" si="31"/>
        <v>42</v>
      </c>
      <c r="AF8" s="1">
        <f t="shared" si="32"/>
        <v>9</v>
      </c>
      <c r="AG8" s="1">
        <f t="shared" si="33"/>
        <v>46</v>
      </c>
      <c r="AH8" s="1">
        <f t="shared" ref="AH8:AI8" si="46">$B$1+$A8</f>
        <v>9</v>
      </c>
      <c r="AI8" s="1">
        <f t="shared" si="46"/>
        <v>9</v>
      </c>
      <c r="AJ8" s="1">
        <f t="shared" si="35"/>
        <v>50</v>
      </c>
      <c r="AK8" s="1">
        <f t="shared" si="36"/>
        <v>9</v>
      </c>
      <c r="AL8" s="1">
        <f t="shared" si="37"/>
        <v>56</v>
      </c>
      <c r="AM8" s="1">
        <f t="shared" si="38"/>
        <v>9</v>
      </c>
      <c r="AN8" s="1">
        <f t="shared" si="39"/>
        <v>59</v>
      </c>
      <c r="AO8" s="1">
        <f t="shared" si="40"/>
        <v>9</v>
      </c>
      <c r="AP8" s="1">
        <f t="shared" si="41"/>
        <v>68</v>
      </c>
      <c r="AR8" s="8">
        <f>COUNTIFS(score4pijlen,AP8) </f>
        <v>41</v>
      </c>
    </row>
    <row r="9">
      <c r="A9" s="2">
        <v>9.0</v>
      </c>
      <c r="B9" s="1">
        <f t="shared" si="2"/>
        <v>10</v>
      </c>
      <c r="C9" s="1">
        <f t="shared" si="3"/>
        <v>11</v>
      </c>
      <c r="D9" s="1">
        <f t="shared" si="4"/>
        <v>10</v>
      </c>
      <c r="E9" s="1">
        <f t="shared" si="5"/>
        <v>13</v>
      </c>
      <c r="F9" s="1">
        <f t="shared" si="6"/>
        <v>10</v>
      </c>
      <c r="G9" s="1">
        <f t="shared" si="7"/>
        <v>15</v>
      </c>
      <c r="H9" s="1">
        <f t="shared" si="8"/>
        <v>10</v>
      </c>
      <c r="I9" s="1">
        <f t="shared" si="9"/>
        <v>17</v>
      </c>
      <c r="J9" s="1">
        <f t="shared" si="10"/>
        <v>10</v>
      </c>
      <c r="K9" s="1">
        <f t="shared" si="11"/>
        <v>19</v>
      </c>
      <c r="L9" s="1">
        <f t="shared" si="12"/>
        <v>10</v>
      </c>
      <c r="M9" s="1">
        <f t="shared" si="13"/>
        <v>21</v>
      </c>
      <c r="N9" s="1">
        <f t="shared" si="14"/>
        <v>10</v>
      </c>
      <c r="O9" s="1">
        <f t="shared" si="15"/>
        <v>23</v>
      </c>
      <c r="P9" s="1">
        <f t="shared" si="16"/>
        <v>10</v>
      </c>
      <c r="Q9" s="1">
        <f t="shared" si="17"/>
        <v>25</v>
      </c>
      <c r="R9" s="1">
        <f t="shared" si="18"/>
        <v>10</v>
      </c>
      <c r="S9" s="1">
        <f t="shared" si="19"/>
        <v>27</v>
      </c>
      <c r="T9" s="1">
        <f t="shared" si="20"/>
        <v>10</v>
      </c>
      <c r="U9" s="1">
        <f t="shared" si="21"/>
        <v>29</v>
      </c>
      <c r="V9" s="1">
        <f t="shared" si="22"/>
        <v>10</v>
      </c>
      <c r="W9" s="1">
        <f t="shared" si="23"/>
        <v>31</v>
      </c>
      <c r="X9" s="1">
        <f t="shared" si="24"/>
        <v>10</v>
      </c>
      <c r="Y9" s="1">
        <f t="shared" si="25"/>
        <v>34</v>
      </c>
      <c r="Z9" s="1">
        <f t="shared" si="26"/>
        <v>10</v>
      </c>
      <c r="AA9" s="1">
        <f t="shared" si="27"/>
        <v>37</v>
      </c>
      <c r="AB9" s="1">
        <f t="shared" si="28"/>
        <v>10</v>
      </c>
      <c r="AC9" s="1">
        <f t="shared" si="29"/>
        <v>41</v>
      </c>
      <c r="AD9" s="1">
        <f t="shared" si="30"/>
        <v>10</v>
      </c>
      <c r="AE9" s="1">
        <f t="shared" si="31"/>
        <v>43</v>
      </c>
      <c r="AF9" s="1">
        <f t="shared" si="32"/>
        <v>10</v>
      </c>
      <c r="AG9" s="1">
        <f t="shared" si="33"/>
        <v>47</v>
      </c>
      <c r="AH9" s="1">
        <f t="shared" ref="AH9:AI9" si="47">$B$1+$A9</f>
        <v>10</v>
      </c>
      <c r="AI9" s="1">
        <f t="shared" si="47"/>
        <v>10</v>
      </c>
      <c r="AJ9" s="1">
        <f t="shared" si="35"/>
        <v>51</v>
      </c>
      <c r="AK9" s="1">
        <f t="shared" si="36"/>
        <v>10</v>
      </c>
      <c r="AL9" s="1">
        <f t="shared" si="37"/>
        <v>57</v>
      </c>
      <c r="AM9" s="1">
        <f t="shared" si="38"/>
        <v>10</v>
      </c>
      <c r="AN9" s="1">
        <f t="shared" si="39"/>
        <v>60</v>
      </c>
      <c r="AO9" s="1">
        <f t="shared" si="40"/>
        <v>10</v>
      </c>
      <c r="AP9" s="1">
        <f t="shared" si="41"/>
        <v>69</v>
      </c>
      <c r="AR9" s="8">
        <f>COUNTIFS(score4pijlen,AP9) </f>
        <v>41</v>
      </c>
    </row>
    <row r="10">
      <c r="A10" s="2">
        <v>10.0</v>
      </c>
      <c r="B10" s="1">
        <f t="shared" si="2"/>
        <v>11</v>
      </c>
      <c r="C10" s="1">
        <f t="shared" si="3"/>
        <v>12</v>
      </c>
      <c r="D10" s="1">
        <f t="shared" si="4"/>
        <v>11</v>
      </c>
      <c r="E10" s="1">
        <f t="shared" si="5"/>
        <v>14</v>
      </c>
      <c r="F10" s="1">
        <f t="shared" si="6"/>
        <v>11</v>
      </c>
      <c r="G10" s="1">
        <f t="shared" si="7"/>
        <v>16</v>
      </c>
      <c r="H10" s="1">
        <f t="shared" si="8"/>
        <v>11</v>
      </c>
      <c r="I10" s="1">
        <f t="shared" si="9"/>
        <v>18</v>
      </c>
      <c r="J10" s="1">
        <f t="shared" si="10"/>
        <v>11</v>
      </c>
      <c r="K10" s="1">
        <f t="shared" si="11"/>
        <v>20</v>
      </c>
      <c r="L10" s="1">
        <f t="shared" si="12"/>
        <v>11</v>
      </c>
      <c r="M10" s="1">
        <f t="shared" si="13"/>
        <v>22</v>
      </c>
      <c r="N10" s="1">
        <f t="shared" si="14"/>
        <v>11</v>
      </c>
      <c r="O10" s="1">
        <f t="shared" si="15"/>
        <v>24</v>
      </c>
      <c r="P10" s="1">
        <f t="shared" si="16"/>
        <v>11</v>
      </c>
      <c r="Q10" s="1">
        <f t="shared" si="17"/>
        <v>26</v>
      </c>
      <c r="R10" s="1">
        <f t="shared" si="18"/>
        <v>11</v>
      </c>
      <c r="S10" s="1">
        <f t="shared" si="19"/>
        <v>28</v>
      </c>
      <c r="T10" s="1">
        <f t="shared" si="20"/>
        <v>11</v>
      </c>
      <c r="U10" s="1">
        <f t="shared" si="21"/>
        <v>30</v>
      </c>
      <c r="V10" s="1">
        <f t="shared" si="22"/>
        <v>11</v>
      </c>
      <c r="W10" s="1">
        <f t="shared" si="23"/>
        <v>32</v>
      </c>
      <c r="X10" s="1">
        <f t="shared" si="24"/>
        <v>11</v>
      </c>
      <c r="Y10" s="1">
        <f t="shared" si="25"/>
        <v>35</v>
      </c>
      <c r="Z10" s="1">
        <f t="shared" si="26"/>
        <v>11</v>
      </c>
      <c r="AA10" s="1">
        <f t="shared" si="27"/>
        <v>38</v>
      </c>
      <c r="AB10" s="1">
        <f t="shared" si="28"/>
        <v>11</v>
      </c>
      <c r="AC10" s="1">
        <f t="shared" si="29"/>
        <v>42</v>
      </c>
      <c r="AD10" s="1">
        <f t="shared" si="30"/>
        <v>11</v>
      </c>
      <c r="AE10" s="1">
        <f t="shared" si="31"/>
        <v>44</v>
      </c>
      <c r="AF10" s="1">
        <f t="shared" si="32"/>
        <v>11</v>
      </c>
      <c r="AG10" s="1">
        <f t="shared" si="33"/>
        <v>48</v>
      </c>
      <c r="AH10" s="1">
        <f t="shared" ref="AH10:AI10" si="48">$B$1+$A10</f>
        <v>11</v>
      </c>
      <c r="AI10" s="1">
        <f t="shared" si="48"/>
        <v>11</v>
      </c>
      <c r="AJ10" s="1">
        <f t="shared" si="35"/>
        <v>52</v>
      </c>
      <c r="AK10" s="1">
        <f t="shared" si="36"/>
        <v>11</v>
      </c>
      <c r="AL10" s="1">
        <f t="shared" si="37"/>
        <v>58</v>
      </c>
      <c r="AM10" s="1">
        <f t="shared" si="38"/>
        <v>11</v>
      </c>
      <c r="AN10" s="1">
        <f t="shared" si="39"/>
        <v>61</v>
      </c>
      <c r="AO10" s="1">
        <f t="shared" si="40"/>
        <v>11</v>
      </c>
      <c r="AP10" s="1">
        <f t="shared" si="41"/>
        <v>70</v>
      </c>
      <c r="AR10" s="8">
        <f>COUNTIFS(score4pijlen,AP10) </f>
        <v>41</v>
      </c>
    </row>
    <row r="11">
      <c r="A11" s="2">
        <v>11.0</v>
      </c>
      <c r="B11" s="1">
        <f t="shared" si="2"/>
        <v>12</v>
      </c>
      <c r="C11" s="1">
        <f t="shared" si="3"/>
        <v>13</v>
      </c>
      <c r="D11" s="1">
        <f t="shared" si="4"/>
        <v>12</v>
      </c>
      <c r="E11" s="1">
        <f t="shared" si="5"/>
        <v>15</v>
      </c>
      <c r="F11" s="1">
        <f t="shared" si="6"/>
        <v>12</v>
      </c>
      <c r="G11" s="1">
        <f t="shared" si="7"/>
        <v>17</v>
      </c>
      <c r="H11" s="1">
        <f t="shared" si="8"/>
        <v>12</v>
      </c>
      <c r="I11" s="1">
        <f t="shared" si="9"/>
        <v>19</v>
      </c>
      <c r="J11" s="1">
        <f t="shared" si="10"/>
        <v>12</v>
      </c>
      <c r="K11" s="1">
        <f t="shared" si="11"/>
        <v>21</v>
      </c>
      <c r="L11" s="1">
        <f t="shared" si="12"/>
        <v>12</v>
      </c>
      <c r="M11" s="1">
        <f t="shared" si="13"/>
        <v>23</v>
      </c>
      <c r="N11" s="1">
        <f t="shared" si="14"/>
        <v>12</v>
      </c>
      <c r="O11" s="1">
        <f t="shared" si="15"/>
        <v>25</v>
      </c>
      <c r="P11" s="1">
        <f t="shared" si="16"/>
        <v>12</v>
      </c>
      <c r="Q11" s="1">
        <f t="shared" si="17"/>
        <v>27</v>
      </c>
      <c r="R11" s="1">
        <f t="shared" si="18"/>
        <v>12</v>
      </c>
      <c r="S11" s="1">
        <f t="shared" si="19"/>
        <v>29</v>
      </c>
      <c r="T11" s="1">
        <f t="shared" si="20"/>
        <v>12</v>
      </c>
      <c r="U11" s="1">
        <f t="shared" si="21"/>
        <v>31</v>
      </c>
      <c r="V11" s="1">
        <f t="shared" si="22"/>
        <v>12</v>
      </c>
      <c r="W11" s="1">
        <f t="shared" si="23"/>
        <v>33</v>
      </c>
      <c r="X11" s="1">
        <f t="shared" si="24"/>
        <v>12</v>
      </c>
      <c r="Y11" s="1">
        <f t="shared" si="25"/>
        <v>36</v>
      </c>
      <c r="Z11" s="1">
        <f t="shared" si="26"/>
        <v>12</v>
      </c>
      <c r="AA11" s="1">
        <f t="shared" si="27"/>
        <v>39</v>
      </c>
      <c r="AB11" s="1">
        <f t="shared" si="28"/>
        <v>12</v>
      </c>
      <c r="AC11" s="1">
        <f t="shared" si="29"/>
        <v>43</v>
      </c>
      <c r="AD11" s="1">
        <f t="shared" si="30"/>
        <v>12</v>
      </c>
      <c r="AE11" s="1">
        <f t="shared" si="31"/>
        <v>45</v>
      </c>
      <c r="AF11" s="1">
        <f t="shared" si="32"/>
        <v>12</v>
      </c>
      <c r="AG11" s="1">
        <f t="shared" si="33"/>
        <v>49</v>
      </c>
      <c r="AH11" s="1">
        <f t="shared" ref="AH11:AI11" si="49">$B$1+$A11</f>
        <v>12</v>
      </c>
      <c r="AI11" s="1">
        <f t="shared" si="49"/>
        <v>12</v>
      </c>
      <c r="AJ11" s="1">
        <f t="shared" si="35"/>
        <v>53</v>
      </c>
      <c r="AK11" s="1">
        <f t="shared" si="36"/>
        <v>12</v>
      </c>
      <c r="AL11" s="1">
        <f t="shared" si="37"/>
        <v>59</v>
      </c>
      <c r="AM11" s="1">
        <f t="shared" si="38"/>
        <v>12</v>
      </c>
      <c r="AN11" s="1">
        <f t="shared" si="39"/>
        <v>62</v>
      </c>
      <c r="AO11" s="1">
        <f t="shared" si="40"/>
        <v>12</v>
      </c>
      <c r="AP11" s="1">
        <f t="shared" si="41"/>
        <v>71</v>
      </c>
      <c r="AR11" s="8">
        <f>COUNTIFS(score4pijlen,AP11) </f>
        <v>41</v>
      </c>
    </row>
    <row r="12">
      <c r="A12" s="2">
        <v>12.0</v>
      </c>
      <c r="B12" s="1">
        <f t="shared" si="2"/>
        <v>13</v>
      </c>
      <c r="C12" s="1">
        <f t="shared" si="3"/>
        <v>14</v>
      </c>
      <c r="D12" s="1">
        <f t="shared" si="4"/>
        <v>13</v>
      </c>
      <c r="E12" s="1">
        <f t="shared" si="5"/>
        <v>16</v>
      </c>
      <c r="F12" s="1">
        <f t="shared" si="6"/>
        <v>13</v>
      </c>
      <c r="G12" s="1">
        <f t="shared" si="7"/>
        <v>18</v>
      </c>
      <c r="H12" s="1">
        <f t="shared" si="8"/>
        <v>13</v>
      </c>
      <c r="I12" s="1">
        <f t="shared" si="9"/>
        <v>20</v>
      </c>
      <c r="J12" s="1">
        <f t="shared" si="10"/>
        <v>13</v>
      </c>
      <c r="K12" s="1">
        <f t="shared" si="11"/>
        <v>22</v>
      </c>
      <c r="L12" s="1">
        <f t="shared" si="12"/>
        <v>13</v>
      </c>
      <c r="M12" s="1">
        <f t="shared" si="13"/>
        <v>24</v>
      </c>
      <c r="N12" s="1">
        <f t="shared" si="14"/>
        <v>13</v>
      </c>
      <c r="O12" s="1">
        <f t="shared" si="15"/>
        <v>26</v>
      </c>
      <c r="P12" s="1">
        <f t="shared" si="16"/>
        <v>13</v>
      </c>
      <c r="Q12" s="1">
        <f t="shared" si="17"/>
        <v>28</v>
      </c>
      <c r="R12" s="1">
        <f t="shared" si="18"/>
        <v>13</v>
      </c>
      <c r="S12" s="1">
        <f t="shared" si="19"/>
        <v>30</v>
      </c>
      <c r="T12" s="1">
        <f t="shared" si="20"/>
        <v>13</v>
      </c>
      <c r="U12" s="1">
        <f t="shared" si="21"/>
        <v>32</v>
      </c>
      <c r="V12" s="1">
        <f t="shared" si="22"/>
        <v>13</v>
      </c>
      <c r="W12" s="1">
        <f t="shared" si="23"/>
        <v>34</v>
      </c>
      <c r="X12" s="1">
        <f t="shared" si="24"/>
        <v>13</v>
      </c>
      <c r="Y12" s="1">
        <f t="shared" si="25"/>
        <v>37</v>
      </c>
      <c r="Z12" s="1">
        <f t="shared" si="26"/>
        <v>13</v>
      </c>
      <c r="AA12" s="1">
        <f t="shared" si="27"/>
        <v>40</v>
      </c>
      <c r="AB12" s="1">
        <f t="shared" si="28"/>
        <v>13</v>
      </c>
      <c r="AC12" s="1">
        <f t="shared" si="29"/>
        <v>44</v>
      </c>
      <c r="AD12" s="1">
        <f t="shared" si="30"/>
        <v>13</v>
      </c>
      <c r="AE12" s="1">
        <f t="shared" si="31"/>
        <v>46</v>
      </c>
      <c r="AF12" s="1">
        <f t="shared" si="32"/>
        <v>13</v>
      </c>
      <c r="AG12" s="1">
        <f t="shared" si="33"/>
        <v>50</v>
      </c>
      <c r="AH12" s="1">
        <f t="shared" ref="AH12:AI12" si="50">$B$1+$A12</f>
        <v>13</v>
      </c>
      <c r="AI12" s="1">
        <f t="shared" si="50"/>
        <v>13</v>
      </c>
      <c r="AJ12" s="1">
        <f t="shared" si="35"/>
        <v>54</v>
      </c>
      <c r="AK12" s="1">
        <f t="shared" si="36"/>
        <v>13</v>
      </c>
      <c r="AL12" s="1">
        <f t="shared" si="37"/>
        <v>60</v>
      </c>
      <c r="AM12" s="1">
        <f t="shared" si="38"/>
        <v>13</v>
      </c>
      <c r="AN12" s="1">
        <f t="shared" si="39"/>
        <v>63</v>
      </c>
      <c r="AO12" s="1">
        <f t="shared" si="40"/>
        <v>13</v>
      </c>
      <c r="AP12" s="1">
        <f t="shared" si="41"/>
        <v>72</v>
      </c>
      <c r="AR12" s="8">
        <f>COUNTIFS(score4pijlen,AP12) </f>
        <v>41</v>
      </c>
    </row>
    <row r="13">
      <c r="A13" s="2">
        <v>13.0</v>
      </c>
      <c r="B13" s="1">
        <f t="shared" si="2"/>
        <v>14</v>
      </c>
      <c r="C13" s="1">
        <f t="shared" si="3"/>
        <v>15</v>
      </c>
      <c r="D13" s="1">
        <f t="shared" si="4"/>
        <v>14</v>
      </c>
      <c r="E13" s="1">
        <f t="shared" si="5"/>
        <v>17</v>
      </c>
      <c r="F13" s="1">
        <f t="shared" si="6"/>
        <v>14</v>
      </c>
      <c r="G13" s="1">
        <f t="shared" si="7"/>
        <v>19</v>
      </c>
      <c r="H13" s="1">
        <f t="shared" si="8"/>
        <v>14</v>
      </c>
      <c r="I13" s="1">
        <f t="shared" si="9"/>
        <v>21</v>
      </c>
      <c r="J13" s="1">
        <f t="shared" si="10"/>
        <v>14</v>
      </c>
      <c r="K13" s="1">
        <f t="shared" si="11"/>
        <v>23</v>
      </c>
      <c r="L13" s="1">
        <f t="shared" si="12"/>
        <v>14</v>
      </c>
      <c r="M13" s="1">
        <f t="shared" si="13"/>
        <v>25</v>
      </c>
      <c r="N13" s="1">
        <f t="shared" si="14"/>
        <v>14</v>
      </c>
      <c r="O13" s="1">
        <f t="shared" si="15"/>
        <v>27</v>
      </c>
      <c r="P13" s="1">
        <f t="shared" si="16"/>
        <v>14</v>
      </c>
      <c r="Q13" s="1">
        <f t="shared" si="17"/>
        <v>29</v>
      </c>
      <c r="R13" s="1">
        <f t="shared" si="18"/>
        <v>14</v>
      </c>
      <c r="S13" s="1">
        <f t="shared" si="19"/>
        <v>31</v>
      </c>
      <c r="T13" s="1">
        <f t="shared" si="20"/>
        <v>14</v>
      </c>
      <c r="U13" s="1">
        <f t="shared" si="21"/>
        <v>33</v>
      </c>
      <c r="V13" s="1">
        <f t="shared" si="22"/>
        <v>14</v>
      </c>
      <c r="W13" s="1">
        <f t="shared" si="23"/>
        <v>35</v>
      </c>
      <c r="X13" s="1">
        <f t="shared" si="24"/>
        <v>14</v>
      </c>
      <c r="Y13" s="1">
        <f t="shared" si="25"/>
        <v>38</v>
      </c>
      <c r="Z13" s="1">
        <f t="shared" si="26"/>
        <v>14</v>
      </c>
      <c r="AA13" s="1">
        <f t="shared" si="27"/>
        <v>41</v>
      </c>
      <c r="AB13" s="1">
        <f t="shared" si="28"/>
        <v>14</v>
      </c>
      <c r="AC13" s="1">
        <f t="shared" si="29"/>
        <v>45</v>
      </c>
      <c r="AD13" s="1">
        <f t="shared" si="30"/>
        <v>14</v>
      </c>
      <c r="AE13" s="1">
        <f t="shared" si="31"/>
        <v>47</v>
      </c>
      <c r="AF13" s="1">
        <f t="shared" si="32"/>
        <v>14</v>
      </c>
      <c r="AG13" s="1">
        <f t="shared" si="33"/>
        <v>51</v>
      </c>
      <c r="AH13" s="1">
        <f t="shared" ref="AH13:AI13" si="51">$B$1+$A13</f>
        <v>14</v>
      </c>
      <c r="AI13" s="1">
        <f t="shared" si="51"/>
        <v>14</v>
      </c>
      <c r="AJ13" s="1">
        <f t="shared" si="35"/>
        <v>55</v>
      </c>
      <c r="AK13" s="1">
        <f t="shared" si="36"/>
        <v>14</v>
      </c>
      <c r="AL13" s="1">
        <f t="shared" si="37"/>
        <v>61</v>
      </c>
      <c r="AM13" s="1">
        <f t="shared" si="38"/>
        <v>14</v>
      </c>
      <c r="AN13" s="1">
        <f t="shared" si="39"/>
        <v>64</v>
      </c>
      <c r="AO13" s="1">
        <f t="shared" si="40"/>
        <v>14</v>
      </c>
      <c r="AP13" s="1">
        <f t="shared" si="41"/>
        <v>73</v>
      </c>
      <c r="AR13" s="8">
        <f>COUNTIFS(score4pijlen,AP13) </f>
        <v>41</v>
      </c>
    </row>
    <row r="14">
      <c r="A14" s="2">
        <v>14.0</v>
      </c>
      <c r="B14" s="1">
        <f t="shared" si="2"/>
        <v>15</v>
      </c>
      <c r="C14" s="1">
        <f t="shared" si="3"/>
        <v>16</v>
      </c>
      <c r="D14" s="1">
        <f t="shared" si="4"/>
        <v>15</v>
      </c>
      <c r="E14" s="1">
        <f t="shared" si="5"/>
        <v>18</v>
      </c>
      <c r="F14" s="1">
        <f t="shared" si="6"/>
        <v>15</v>
      </c>
      <c r="G14" s="1">
        <f t="shared" si="7"/>
        <v>20</v>
      </c>
      <c r="H14" s="1">
        <f t="shared" si="8"/>
        <v>15</v>
      </c>
      <c r="I14" s="1">
        <f t="shared" si="9"/>
        <v>22</v>
      </c>
      <c r="J14" s="1">
        <f t="shared" si="10"/>
        <v>15</v>
      </c>
      <c r="K14" s="1">
        <f t="shared" si="11"/>
        <v>24</v>
      </c>
      <c r="L14" s="1">
        <f t="shared" si="12"/>
        <v>15</v>
      </c>
      <c r="M14" s="1">
        <f t="shared" si="13"/>
        <v>26</v>
      </c>
      <c r="N14" s="1">
        <f t="shared" si="14"/>
        <v>15</v>
      </c>
      <c r="O14" s="1">
        <f t="shared" si="15"/>
        <v>28</v>
      </c>
      <c r="P14" s="1">
        <f t="shared" si="16"/>
        <v>15</v>
      </c>
      <c r="Q14" s="1">
        <f t="shared" si="17"/>
        <v>30</v>
      </c>
      <c r="R14" s="1">
        <f t="shared" si="18"/>
        <v>15</v>
      </c>
      <c r="S14" s="1">
        <f t="shared" si="19"/>
        <v>32</v>
      </c>
      <c r="T14" s="1">
        <f t="shared" si="20"/>
        <v>15</v>
      </c>
      <c r="U14" s="1">
        <f t="shared" si="21"/>
        <v>34</v>
      </c>
      <c r="V14" s="1">
        <f t="shared" si="22"/>
        <v>15</v>
      </c>
      <c r="W14" s="1">
        <f t="shared" si="23"/>
        <v>36</v>
      </c>
      <c r="X14" s="1">
        <f t="shared" si="24"/>
        <v>15</v>
      </c>
      <c r="Y14" s="1">
        <f t="shared" si="25"/>
        <v>39</v>
      </c>
      <c r="Z14" s="1">
        <f t="shared" si="26"/>
        <v>15</v>
      </c>
      <c r="AA14" s="1">
        <f t="shared" si="27"/>
        <v>42</v>
      </c>
      <c r="AB14" s="1">
        <f t="shared" si="28"/>
        <v>15</v>
      </c>
      <c r="AC14" s="1">
        <f t="shared" si="29"/>
        <v>46</v>
      </c>
      <c r="AD14" s="1">
        <f t="shared" si="30"/>
        <v>15</v>
      </c>
      <c r="AE14" s="1">
        <f t="shared" si="31"/>
        <v>48</v>
      </c>
      <c r="AF14" s="1">
        <f t="shared" si="32"/>
        <v>15</v>
      </c>
      <c r="AG14" s="1">
        <f t="shared" si="33"/>
        <v>52</v>
      </c>
      <c r="AH14" s="1">
        <f t="shared" ref="AH14:AI14" si="52">$B$1+$A14</f>
        <v>15</v>
      </c>
      <c r="AI14" s="1">
        <f t="shared" si="52"/>
        <v>15</v>
      </c>
      <c r="AJ14" s="1">
        <f t="shared" si="35"/>
        <v>56</v>
      </c>
      <c r="AK14" s="1">
        <f t="shared" si="36"/>
        <v>15</v>
      </c>
      <c r="AL14" s="1">
        <f t="shared" si="37"/>
        <v>62</v>
      </c>
      <c r="AM14" s="1">
        <f t="shared" si="38"/>
        <v>15</v>
      </c>
      <c r="AN14" s="1">
        <f t="shared" si="39"/>
        <v>65</v>
      </c>
      <c r="AO14" s="1">
        <f t="shared" si="40"/>
        <v>15</v>
      </c>
      <c r="AP14" s="1">
        <f t="shared" si="41"/>
        <v>74</v>
      </c>
      <c r="AR14" s="8">
        <f>COUNTIFS(score4pijlen,AP14) </f>
        <v>41</v>
      </c>
    </row>
    <row r="15">
      <c r="A15" s="2">
        <v>15.0</v>
      </c>
      <c r="B15" s="1">
        <f t="shared" si="2"/>
        <v>16</v>
      </c>
      <c r="C15" s="1">
        <f t="shared" si="3"/>
        <v>17</v>
      </c>
      <c r="D15" s="1">
        <f t="shared" si="4"/>
        <v>16</v>
      </c>
      <c r="E15" s="1">
        <f t="shared" si="5"/>
        <v>19</v>
      </c>
      <c r="F15" s="1">
        <f t="shared" si="6"/>
        <v>16</v>
      </c>
      <c r="G15" s="1">
        <f t="shared" si="7"/>
        <v>21</v>
      </c>
      <c r="H15" s="1">
        <f t="shared" si="8"/>
        <v>16</v>
      </c>
      <c r="I15" s="1">
        <f t="shared" si="9"/>
        <v>23</v>
      </c>
      <c r="J15" s="1">
        <f t="shared" si="10"/>
        <v>16</v>
      </c>
      <c r="K15" s="1">
        <f t="shared" si="11"/>
        <v>25</v>
      </c>
      <c r="L15" s="1">
        <f t="shared" si="12"/>
        <v>16</v>
      </c>
      <c r="M15" s="1">
        <f t="shared" si="13"/>
        <v>27</v>
      </c>
      <c r="N15" s="1">
        <f t="shared" si="14"/>
        <v>16</v>
      </c>
      <c r="O15" s="1">
        <f t="shared" si="15"/>
        <v>29</v>
      </c>
      <c r="P15" s="1">
        <f t="shared" si="16"/>
        <v>16</v>
      </c>
      <c r="Q15" s="1">
        <f t="shared" si="17"/>
        <v>31</v>
      </c>
      <c r="R15" s="1">
        <f t="shared" si="18"/>
        <v>16</v>
      </c>
      <c r="S15" s="1">
        <f t="shared" si="19"/>
        <v>33</v>
      </c>
      <c r="T15" s="1">
        <f t="shared" si="20"/>
        <v>16</v>
      </c>
      <c r="U15" s="1">
        <f t="shared" si="21"/>
        <v>35</v>
      </c>
      <c r="V15" s="1">
        <f t="shared" si="22"/>
        <v>16</v>
      </c>
      <c r="W15" s="1">
        <f t="shared" si="23"/>
        <v>37</v>
      </c>
      <c r="X15" s="1">
        <f t="shared" si="24"/>
        <v>16</v>
      </c>
      <c r="Y15" s="1">
        <f t="shared" si="25"/>
        <v>40</v>
      </c>
      <c r="Z15" s="1">
        <f t="shared" si="26"/>
        <v>16</v>
      </c>
      <c r="AA15" s="1">
        <f t="shared" si="27"/>
        <v>43</v>
      </c>
      <c r="AB15" s="1">
        <f t="shared" si="28"/>
        <v>16</v>
      </c>
      <c r="AC15" s="1">
        <f t="shared" si="29"/>
        <v>47</v>
      </c>
      <c r="AD15" s="1">
        <f t="shared" si="30"/>
        <v>16</v>
      </c>
      <c r="AE15" s="1">
        <f t="shared" si="31"/>
        <v>49</v>
      </c>
      <c r="AF15" s="1">
        <f t="shared" si="32"/>
        <v>16</v>
      </c>
      <c r="AG15" s="1">
        <f t="shared" si="33"/>
        <v>53</v>
      </c>
      <c r="AH15" s="1">
        <f t="shared" ref="AH15:AI15" si="53">$B$1+$A15</f>
        <v>16</v>
      </c>
      <c r="AI15" s="1">
        <f t="shared" si="53"/>
        <v>16</v>
      </c>
      <c r="AJ15" s="1">
        <f t="shared" si="35"/>
        <v>57</v>
      </c>
      <c r="AK15" s="1">
        <f t="shared" si="36"/>
        <v>16</v>
      </c>
      <c r="AL15" s="1">
        <f t="shared" si="37"/>
        <v>63</v>
      </c>
      <c r="AM15" s="1">
        <f t="shared" si="38"/>
        <v>16</v>
      </c>
      <c r="AN15" s="1">
        <f t="shared" si="39"/>
        <v>66</v>
      </c>
      <c r="AO15" s="1">
        <f t="shared" si="40"/>
        <v>16</v>
      </c>
      <c r="AP15" s="1">
        <f t="shared" si="41"/>
        <v>75</v>
      </c>
      <c r="AR15" s="8">
        <f>COUNTIFS(score4pijlen,AP15) </f>
        <v>41</v>
      </c>
    </row>
    <row r="16">
      <c r="A16" s="2">
        <v>16.0</v>
      </c>
      <c r="B16" s="1">
        <f t="shared" si="2"/>
        <v>17</v>
      </c>
      <c r="C16" s="1">
        <f t="shared" si="3"/>
        <v>18</v>
      </c>
      <c r="D16" s="1">
        <f t="shared" si="4"/>
        <v>17</v>
      </c>
      <c r="E16" s="1">
        <f t="shared" si="5"/>
        <v>20</v>
      </c>
      <c r="F16" s="1">
        <f t="shared" si="6"/>
        <v>17</v>
      </c>
      <c r="G16" s="1">
        <f t="shared" si="7"/>
        <v>22</v>
      </c>
      <c r="H16" s="1">
        <f t="shared" si="8"/>
        <v>17</v>
      </c>
      <c r="I16" s="1">
        <f t="shared" si="9"/>
        <v>24</v>
      </c>
      <c r="J16" s="1">
        <f t="shared" si="10"/>
        <v>17</v>
      </c>
      <c r="K16" s="1">
        <f t="shared" si="11"/>
        <v>26</v>
      </c>
      <c r="L16" s="1">
        <f t="shared" si="12"/>
        <v>17</v>
      </c>
      <c r="M16" s="1">
        <f t="shared" si="13"/>
        <v>28</v>
      </c>
      <c r="N16" s="1">
        <f t="shared" si="14"/>
        <v>17</v>
      </c>
      <c r="O16" s="1">
        <f t="shared" si="15"/>
        <v>30</v>
      </c>
      <c r="P16" s="1">
        <f t="shared" si="16"/>
        <v>17</v>
      </c>
      <c r="Q16" s="1">
        <f t="shared" si="17"/>
        <v>32</v>
      </c>
      <c r="R16" s="1">
        <f t="shared" si="18"/>
        <v>17</v>
      </c>
      <c r="S16" s="1">
        <f t="shared" si="19"/>
        <v>34</v>
      </c>
      <c r="T16" s="1">
        <f t="shared" si="20"/>
        <v>17</v>
      </c>
      <c r="U16" s="1">
        <f t="shared" si="21"/>
        <v>36</v>
      </c>
      <c r="V16" s="1">
        <f t="shared" si="22"/>
        <v>17</v>
      </c>
      <c r="W16" s="1">
        <f t="shared" si="23"/>
        <v>38</v>
      </c>
      <c r="X16" s="1">
        <f t="shared" si="24"/>
        <v>17</v>
      </c>
      <c r="Y16" s="1">
        <f t="shared" si="25"/>
        <v>41</v>
      </c>
      <c r="Z16" s="1">
        <f t="shared" si="26"/>
        <v>17</v>
      </c>
      <c r="AA16" s="1">
        <f t="shared" si="27"/>
        <v>44</v>
      </c>
      <c r="AB16" s="1">
        <f t="shared" si="28"/>
        <v>17</v>
      </c>
      <c r="AC16" s="1">
        <f t="shared" si="29"/>
        <v>48</v>
      </c>
      <c r="AD16" s="1">
        <f t="shared" si="30"/>
        <v>17</v>
      </c>
      <c r="AE16" s="1">
        <f t="shared" si="31"/>
        <v>50</v>
      </c>
      <c r="AF16" s="1">
        <f t="shared" si="32"/>
        <v>17</v>
      </c>
      <c r="AG16" s="1">
        <f t="shared" si="33"/>
        <v>54</v>
      </c>
      <c r="AH16" s="1">
        <f t="shared" ref="AH16:AI16" si="54">$B$1+$A16</f>
        <v>17</v>
      </c>
      <c r="AI16" s="1">
        <f t="shared" si="54"/>
        <v>17</v>
      </c>
      <c r="AJ16" s="1">
        <f t="shared" si="35"/>
        <v>58</v>
      </c>
      <c r="AK16" s="1">
        <f t="shared" si="36"/>
        <v>17</v>
      </c>
      <c r="AL16" s="1">
        <f t="shared" si="37"/>
        <v>64</v>
      </c>
      <c r="AM16" s="1">
        <f t="shared" si="38"/>
        <v>17</v>
      </c>
      <c r="AN16" s="1">
        <f t="shared" si="39"/>
        <v>67</v>
      </c>
      <c r="AO16" s="1">
        <f t="shared" si="40"/>
        <v>17</v>
      </c>
      <c r="AP16" s="1">
        <f t="shared" si="41"/>
        <v>76</v>
      </c>
      <c r="AR16" s="8">
        <f>COUNTIFS(score4pijlen,AP16) </f>
        <v>41</v>
      </c>
    </row>
    <row r="17">
      <c r="A17" s="2">
        <v>17.0</v>
      </c>
      <c r="B17" s="1">
        <f t="shared" si="2"/>
        <v>18</v>
      </c>
      <c r="C17" s="1">
        <f t="shared" si="3"/>
        <v>19</v>
      </c>
      <c r="D17" s="1">
        <f t="shared" si="4"/>
        <v>18</v>
      </c>
      <c r="E17" s="1">
        <f t="shared" si="5"/>
        <v>21</v>
      </c>
      <c r="F17" s="1">
        <f t="shared" si="6"/>
        <v>18</v>
      </c>
      <c r="G17" s="1">
        <f t="shared" si="7"/>
        <v>23</v>
      </c>
      <c r="H17" s="1">
        <f t="shared" si="8"/>
        <v>18</v>
      </c>
      <c r="I17" s="1">
        <f t="shared" si="9"/>
        <v>25</v>
      </c>
      <c r="J17" s="1">
        <f t="shared" si="10"/>
        <v>18</v>
      </c>
      <c r="K17" s="1">
        <f t="shared" si="11"/>
        <v>27</v>
      </c>
      <c r="L17" s="1">
        <f t="shared" si="12"/>
        <v>18</v>
      </c>
      <c r="M17" s="1">
        <f t="shared" si="13"/>
        <v>29</v>
      </c>
      <c r="N17" s="1">
        <f t="shared" si="14"/>
        <v>18</v>
      </c>
      <c r="O17" s="1">
        <f t="shared" si="15"/>
        <v>31</v>
      </c>
      <c r="P17" s="1">
        <f t="shared" si="16"/>
        <v>18</v>
      </c>
      <c r="Q17" s="1">
        <f t="shared" si="17"/>
        <v>33</v>
      </c>
      <c r="R17" s="1">
        <f t="shared" si="18"/>
        <v>18</v>
      </c>
      <c r="S17" s="1">
        <f t="shared" si="19"/>
        <v>35</v>
      </c>
      <c r="T17" s="1">
        <f t="shared" si="20"/>
        <v>18</v>
      </c>
      <c r="U17" s="1">
        <f t="shared" si="21"/>
        <v>37</v>
      </c>
      <c r="V17" s="1">
        <f t="shared" si="22"/>
        <v>18</v>
      </c>
      <c r="W17" s="1">
        <f t="shared" si="23"/>
        <v>39</v>
      </c>
      <c r="X17" s="1">
        <f t="shared" si="24"/>
        <v>18</v>
      </c>
      <c r="Y17" s="1">
        <f t="shared" si="25"/>
        <v>42</v>
      </c>
      <c r="Z17" s="1">
        <f t="shared" si="26"/>
        <v>18</v>
      </c>
      <c r="AA17" s="1">
        <f t="shared" si="27"/>
        <v>45</v>
      </c>
      <c r="AB17" s="1">
        <f t="shared" si="28"/>
        <v>18</v>
      </c>
      <c r="AC17" s="1">
        <f t="shared" si="29"/>
        <v>49</v>
      </c>
      <c r="AD17" s="1">
        <f t="shared" si="30"/>
        <v>18</v>
      </c>
      <c r="AE17" s="1">
        <f t="shared" si="31"/>
        <v>51</v>
      </c>
      <c r="AF17" s="1">
        <f t="shared" si="32"/>
        <v>18</v>
      </c>
      <c r="AG17" s="1">
        <f t="shared" si="33"/>
        <v>55</v>
      </c>
      <c r="AH17" s="1">
        <f t="shared" ref="AH17:AI17" si="55">$B$1+$A17</f>
        <v>18</v>
      </c>
      <c r="AI17" s="1">
        <f t="shared" si="55"/>
        <v>18</v>
      </c>
      <c r="AJ17" s="1">
        <f t="shared" si="35"/>
        <v>59</v>
      </c>
      <c r="AK17" s="1">
        <f t="shared" si="36"/>
        <v>18</v>
      </c>
      <c r="AL17" s="1">
        <f t="shared" si="37"/>
        <v>65</v>
      </c>
      <c r="AM17" s="1">
        <f t="shared" si="38"/>
        <v>18</v>
      </c>
      <c r="AN17" s="1">
        <f t="shared" si="39"/>
        <v>68</v>
      </c>
      <c r="AO17" s="1">
        <f t="shared" si="40"/>
        <v>18</v>
      </c>
      <c r="AP17" s="1">
        <f t="shared" si="41"/>
        <v>77</v>
      </c>
      <c r="AR17" s="8">
        <f>COUNTIFS(score4pijlen,AP17) </f>
        <v>41</v>
      </c>
    </row>
    <row r="18">
      <c r="A18" s="2">
        <v>18.0</v>
      </c>
      <c r="B18" s="1">
        <f t="shared" si="2"/>
        <v>19</v>
      </c>
      <c r="C18" s="1">
        <f t="shared" si="3"/>
        <v>20</v>
      </c>
      <c r="D18" s="1">
        <f t="shared" si="4"/>
        <v>19</v>
      </c>
      <c r="E18" s="1">
        <f t="shared" si="5"/>
        <v>22</v>
      </c>
      <c r="F18" s="1">
        <f t="shared" si="6"/>
        <v>19</v>
      </c>
      <c r="G18" s="1">
        <f t="shared" si="7"/>
        <v>24</v>
      </c>
      <c r="H18" s="1">
        <f t="shared" si="8"/>
        <v>19</v>
      </c>
      <c r="I18" s="1">
        <f t="shared" si="9"/>
        <v>26</v>
      </c>
      <c r="J18" s="1">
        <f t="shared" si="10"/>
        <v>19</v>
      </c>
      <c r="K18" s="1">
        <f t="shared" si="11"/>
        <v>28</v>
      </c>
      <c r="L18" s="1">
        <f t="shared" si="12"/>
        <v>19</v>
      </c>
      <c r="M18" s="1">
        <f t="shared" si="13"/>
        <v>30</v>
      </c>
      <c r="N18" s="1">
        <f t="shared" si="14"/>
        <v>19</v>
      </c>
      <c r="O18" s="1">
        <f t="shared" si="15"/>
        <v>32</v>
      </c>
      <c r="P18" s="1">
        <f t="shared" si="16"/>
        <v>19</v>
      </c>
      <c r="Q18" s="1">
        <f t="shared" si="17"/>
        <v>34</v>
      </c>
      <c r="R18" s="1">
        <f t="shared" si="18"/>
        <v>19</v>
      </c>
      <c r="S18" s="1">
        <f t="shared" si="19"/>
        <v>36</v>
      </c>
      <c r="T18" s="1">
        <f t="shared" si="20"/>
        <v>19</v>
      </c>
      <c r="U18" s="1">
        <f t="shared" si="21"/>
        <v>38</v>
      </c>
      <c r="V18" s="1">
        <f t="shared" si="22"/>
        <v>19</v>
      </c>
      <c r="W18" s="1">
        <f t="shared" si="23"/>
        <v>40</v>
      </c>
      <c r="X18" s="1">
        <f t="shared" si="24"/>
        <v>19</v>
      </c>
      <c r="Y18" s="1">
        <f t="shared" si="25"/>
        <v>43</v>
      </c>
      <c r="Z18" s="1">
        <f t="shared" si="26"/>
        <v>19</v>
      </c>
      <c r="AA18" s="1">
        <f t="shared" si="27"/>
        <v>46</v>
      </c>
      <c r="AB18" s="1">
        <f t="shared" si="28"/>
        <v>19</v>
      </c>
      <c r="AC18" s="1">
        <f t="shared" si="29"/>
        <v>50</v>
      </c>
      <c r="AD18" s="1">
        <f t="shared" si="30"/>
        <v>19</v>
      </c>
      <c r="AE18" s="1">
        <f t="shared" si="31"/>
        <v>52</v>
      </c>
      <c r="AF18" s="1">
        <f t="shared" si="32"/>
        <v>19</v>
      </c>
      <c r="AG18" s="1">
        <f t="shared" si="33"/>
        <v>56</v>
      </c>
      <c r="AH18" s="1">
        <f t="shared" ref="AH18:AI18" si="56">$B$1+$A18</f>
        <v>19</v>
      </c>
      <c r="AI18" s="1">
        <f t="shared" si="56"/>
        <v>19</v>
      </c>
      <c r="AJ18" s="1">
        <f t="shared" si="35"/>
        <v>60</v>
      </c>
      <c r="AK18" s="1">
        <f t="shared" si="36"/>
        <v>19</v>
      </c>
      <c r="AL18" s="1">
        <f t="shared" si="37"/>
        <v>66</v>
      </c>
      <c r="AM18" s="1">
        <f t="shared" si="38"/>
        <v>19</v>
      </c>
      <c r="AN18" s="1">
        <f t="shared" si="39"/>
        <v>69</v>
      </c>
      <c r="AO18" s="1">
        <f t="shared" si="40"/>
        <v>19</v>
      </c>
      <c r="AP18" s="1">
        <f t="shared" si="41"/>
        <v>78</v>
      </c>
      <c r="AR18" s="8">
        <f>COUNTIFS(score4pijlen,AP18) </f>
        <v>41</v>
      </c>
    </row>
    <row r="19">
      <c r="A19" s="2">
        <v>19.0</v>
      </c>
      <c r="B19" s="1">
        <f t="shared" si="2"/>
        <v>20</v>
      </c>
      <c r="C19" s="1">
        <f t="shared" si="3"/>
        <v>21</v>
      </c>
      <c r="D19" s="1">
        <f t="shared" si="4"/>
        <v>20</v>
      </c>
      <c r="E19" s="1">
        <f t="shared" si="5"/>
        <v>23</v>
      </c>
      <c r="F19" s="1">
        <f t="shared" si="6"/>
        <v>20</v>
      </c>
      <c r="G19" s="1">
        <f t="shared" si="7"/>
        <v>25</v>
      </c>
      <c r="H19" s="1">
        <f t="shared" si="8"/>
        <v>20</v>
      </c>
      <c r="I19" s="1">
        <f t="shared" si="9"/>
        <v>27</v>
      </c>
      <c r="J19" s="1">
        <f t="shared" si="10"/>
        <v>20</v>
      </c>
      <c r="K19" s="1">
        <f t="shared" si="11"/>
        <v>29</v>
      </c>
      <c r="L19" s="1">
        <f t="shared" si="12"/>
        <v>20</v>
      </c>
      <c r="M19" s="1">
        <f t="shared" si="13"/>
        <v>31</v>
      </c>
      <c r="N19" s="1">
        <f t="shared" si="14"/>
        <v>20</v>
      </c>
      <c r="O19" s="1">
        <f t="shared" si="15"/>
        <v>33</v>
      </c>
      <c r="P19" s="1">
        <f t="shared" si="16"/>
        <v>20</v>
      </c>
      <c r="Q19" s="1">
        <f t="shared" si="17"/>
        <v>35</v>
      </c>
      <c r="R19" s="1">
        <f t="shared" si="18"/>
        <v>20</v>
      </c>
      <c r="S19" s="1">
        <f t="shared" si="19"/>
        <v>37</v>
      </c>
      <c r="T19" s="1">
        <f t="shared" si="20"/>
        <v>20</v>
      </c>
      <c r="U19" s="1">
        <f t="shared" si="21"/>
        <v>39</v>
      </c>
      <c r="V19" s="1">
        <f t="shared" si="22"/>
        <v>20</v>
      </c>
      <c r="W19" s="1">
        <f t="shared" si="23"/>
        <v>41</v>
      </c>
      <c r="X19" s="1">
        <f t="shared" si="24"/>
        <v>20</v>
      </c>
      <c r="Y19" s="1">
        <f t="shared" si="25"/>
        <v>44</v>
      </c>
      <c r="Z19" s="1">
        <f t="shared" si="26"/>
        <v>20</v>
      </c>
      <c r="AA19" s="1">
        <f t="shared" si="27"/>
        <v>47</v>
      </c>
      <c r="AB19" s="1">
        <f t="shared" si="28"/>
        <v>20</v>
      </c>
      <c r="AC19" s="1">
        <f t="shared" si="29"/>
        <v>51</v>
      </c>
      <c r="AD19" s="1">
        <f t="shared" si="30"/>
        <v>20</v>
      </c>
      <c r="AE19" s="1">
        <f t="shared" si="31"/>
        <v>53</v>
      </c>
      <c r="AF19" s="1">
        <f t="shared" si="32"/>
        <v>20</v>
      </c>
      <c r="AG19" s="1">
        <f t="shared" si="33"/>
        <v>57</v>
      </c>
      <c r="AH19" s="1">
        <f t="shared" ref="AH19:AI19" si="57">$B$1+$A19</f>
        <v>20</v>
      </c>
      <c r="AI19" s="1">
        <f t="shared" si="57"/>
        <v>20</v>
      </c>
      <c r="AJ19" s="1">
        <f t="shared" si="35"/>
        <v>61</v>
      </c>
      <c r="AK19" s="1">
        <f t="shared" si="36"/>
        <v>20</v>
      </c>
      <c r="AL19" s="1">
        <f t="shared" si="37"/>
        <v>67</v>
      </c>
      <c r="AM19" s="1">
        <f t="shared" si="38"/>
        <v>20</v>
      </c>
      <c r="AN19" s="1">
        <f t="shared" si="39"/>
        <v>70</v>
      </c>
      <c r="AO19" s="1">
        <f t="shared" si="40"/>
        <v>20</v>
      </c>
      <c r="AP19" s="1">
        <f t="shared" si="41"/>
        <v>79</v>
      </c>
      <c r="AR19" s="8">
        <f>COUNTIFS(score4pijlen,AP19) </f>
        <v>41</v>
      </c>
    </row>
    <row r="20">
      <c r="A20" s="2">
        <v>20.0</v>
      </c>
      <c r="B20" s="1">
        <f t="shared" si="2"/>
        <v>21</v>
      </c>
      <c r="C20" s="1">
        <f t="shared" si="3"/>
        <v>22</v>
      </c>
      <c r="D20" s="1">
        <f t="shared" si="4"/>
        <v>21</v>
      </c>
      <c r="E20" s="1">
        <f t="shared" si="5"/>
        <v>24</v>
      </c>
      <c r="F20" s="1">
        <f t="shared" si="6"/>
        <v>21</v>
      </c>
      <c r="G20" s="1">
        <f t="shared" si="7"/>
        <v>26</v>
      </c>
      <c r="H20" s="1">
        <f t="shared" si="8"/>
        <v>21</v>
      </c>
      <c r="I20" s="1">
        <f t="shared" si="9"/>
        <v>28</v>
      </c>
      <c r="J20" s="1">
        <f t="shared" si="10"/>
        <v>21</v>
      </c>
      <c r="K20" s="1">
        <f t="shared" si="11"/>
        <v>30</v>
      </c>
      <c r="L20" s="1">
        <f t="shared" si="12"/>
        <v>21</v>
      </c>
      <c r="M20" s="1">
        <f t="shared" si="13"/>
        <v>32</v>
      </c>
      <c r="N20" s="1">
        <f t="shared" si="14"/>
        <v>21</v>
      </c>
      <c r="O20" s="1">
        <f t="shared" si="15"/>
        <v>34</v>
      </c>
      <c r="P20" s="1">
        <f t="shared" si="16"/>
        <v>21</v>
      </c>
      <c r="Q20" s="1">
        <f t="shared" si="17"/>
        <v>36</v>
      </c>
      <c r="R20" s="1">
        <f t="shared" si="18"/>
        <v>21</v>
      </c>
      <c r="S20" s="1">
        <f t="shared" si="19"/>
        <v>38</v>
      </c>
      <c r="T20" s="1">
        <f t="shared" si="20"/>
        <v>21</v>
      </c>
      <c r="U20" s="1">
        <f t="shared" si="21"/>
        <v>40</v>
      </c>
      <c r="V20" s="1">
        <f t="shared" si="22"/>
        <v>21</v>
      </c>
      <c r="W20" s="1">
        <f t="shared" si="23"/>
        <v>42</v>
      </c>
      <c r="X20" s="1">
        <f t="shared" si="24"/>
        <v>21</v>
      </c>
      <c r="Y20" s="1">
        <f t="shared" si="25"/>
        <v>45</v>
      </c>
      <c r="Z20" s="1">
        <f t="shared" si="26"/>
        <v>21</v>
      </c>
      <c r="AA20" s="1">
        <f t="shared" si="27"/>
        <v>48</v>
      </c>
      <c r="AB20" s="1">
        <f t="shared" si="28"/>
        <v>21</v>
      </c>
      <c r="AC20" s="1">
        <f t="shared" si="29"/>
        <v>52</v>
      </c>
      <c r="AD20" s="1">
        <f t="shared" si="30"/>
        <v>21</v>
      </c>
      <c r="AE20" s="1">
        <f t="shared" si="31"/>
        <v>54</v>
      </c>
      <c r="AF20" s="1">
        <f t="shared" si="32"/>
        <v>21</v>
      </c>
      <c r="AG20" s="1">
        <f t="shared" si="33"/>
        <v>58</v>
      </c>
      <c r="AH20" s="1">
        <f t="shared" ref="AH20:AI20" si="58">$B$1+$A20</f>
        <v>21</v>
      </c>
      <c r="AI20" s="1">
        <f t="shared" si="58"/>
        <v>21</v>
      </c>
      <c r="AJ20" s="1">
        <f t="shared" si="35"/>
        <v>62</v>
      </c>
      <c r="AK20" s="1">
        <f t="shared" si="36"/>
        <v>21</v>
      </c>
      <c r="AL20" s="1">
        <f t="shared" si="37"/>
        <v>68</v>
      </c>
      <c r="AM20" s="1">
        <f t="shared" si="38"/>
        <v>21</v>
      </c>
      <c r="AN20" s="1">
        <f t="shared" si="39"/>
        <v>71</v>
      </c>
      <c r="AO20" s="1">
        <f t="shared" si="40"/>
        <v>21</v>
      </c>
      <c r="AP20" s="1">
        <f t="shared" si="41"/>
        <v>80</v>
      </c>
      <c r="AR20" s="8">
        <f>COUNTIFS(score4pijlen,AP20) </f>
        <v>41</v>
      </c>
    </row>
    <row r="21">
      <c r="A21" s="2">
        <v>21.0</v>
      </c>
      <c r="B21" s="1">
        <f t="shared" si="2"/>
        <v>22</v>
      </c>
      <c r="C21" s="1">
        <f t="shared" si="3"/>
        <v>23</v>
      </c>
      <c r="D21" s="1">
        <f t="shared" si="4"/>
        <v>22</v>
      </c>
      <c r="E21" s="1">
        <f t="shared" si="5"/>
        <v>25</v>
      </c>
      <c r="F21" s="1">
        <f t="shared" si="6"/>
        <v>22</v>
      </c>
      <c r="G21" s="1">
        <f t="shared" si="7"/>
        <v>27</v>
      </c>
      <c r="H21" s="1">
        <f t="shared" si="8"/>
        <v>22</v>
      </c>
      <c r="I21" s="1">
        <f t="shared" si="9"/>
        <v>29</v>
      </c>
      <c r="J21" s="1">
        <f t="shared" si="10"/>
        <v>22</v>
      </c>
      <c r="K21" s="1">
        <f t="shared" si="11"/>
        <v>31</v>
      </c>
      <c r="L21" s="1">
        <f t="shared" si="12"/>
        <v>22</v>
      </c>
      <c r="M21" s="1">
        <f t="shared" si="13"/>
        <v>33</v>
      </c>
      <c r="N21" s="1">
        <f t="shared" si="14"/>
        <v>22</v>
      </c>
      <c r="O21" s="1">
        <f t="shared" si="15"/>
        <v>35</v>
      </c>
      <c r="P21" s="1">
        <f t="shared" si="16"/>
        <v>22</v>
      </c>
      <c r="Q21" s="1">
        <f t="shared" si="17"/>
        <v>37</v>
      </c>
      <c r="R21" s="1">
        <f t="shared" si="18"/>
        <v>22</v>
      </c>
      <c r="S21" s="1">
        <f t="shared" si="19"/>
        <v>39</v>
      </c>
      <c r="T21" s="1">
        <f t="shared" si="20"/>
        <v>22</v>
      </c>
      <c r="U21" s="1">
        <f t="shared" si="21"/>
        <v>41</v>
      </c>
      <c r="V21" s="1">
        <f t="shared" si="22"/>
        <v>22</v>
      </c>
      <c r="W21" s="1">
        <f t="shared" si="23"/>
        <v>43</v>
      </c>
      <c r="X21" s="1">
        <f t="shared" si="24"/>
        <v>22</v>
      </c>
      <c r="Y21" s="1">
        <f t="shared" si="25"/>
        <v>46</v>
      </c>
      <c r="Z21" s="1">
        <f t="shared" si="26"/>
        <v>22</v>
      </c>
      <c r="AA21" s="1">
        <f t="shared" si="27"/>
        <v>49</v>
      </c>
      <c r="AB21" s="1">
        <f t="shared" si="28"/>
        <v>22</v>
      </c>
      <c r="AC21" s="1">
        <f t="shared" si="29"/>
        <v>53</v>
      </c>
      <c r="AD21" s="1">
        <f t="shared" si="30"/>
        <v>22</v>
      </c>
      <c r="AE21" s="1">
        <f t="shared" si="31"/>
        <v>55</v>
      </c>
      <c r="AF21" s="1">
        <f t="shared" si="32"/>
        <v>22</v>
      </c>
      <c r="AG21" s="1">
        <f t="shared" si="33"/>
        <v>59</v>
      </c>
      <c r="AH21" s="1">
        <f t="shared" ref="AH21:AI21" si="59">$B$1+$A21</f>
        <v>22</v>
      </c>
      <c r="AI21" s="1">
        <f t="shared" si="59"/>
        <v>22</v>
      </c>
      <c r="AJ21" s="1">
        <f t="shared" si="35"/>
        <v>63</v>
      </c>
      <c r="AK21" s="1">
        <f t="shared" si="36"/>
        <v>22</v>
      </c>
      <c r="AL21" s="1">
        <f t="shared" si="37"/>
        <v>69</v>
      </c>
      <c r="AM21" s="1">
        <f t="shared" si="38"/>
        <v>22</v>
      </c>
      <c r="AN21" s="1">
        <f t="shared" si="39"/>
        <v>72</v>
      </c>
      <c r="AO21" s="1">
        <f t="shared" si="40"/>
        <v>22</v>
      </c>
      <c r="AP21" s="1">
        <f t="shared" si="41"/>
        <v>81</v>
      </c>
      <c r="AR21" s="8">
        <f>COUNTIFS(score4pijlen,AP21) </f>
        <v>41</v>
      </c>
    </row>
    <row r="22">
      <c r="A22" s="2">
        <v>22.0</v>
      </c>
      <c r="B22" s="1">
        <f t="shared" si="2"/>
        <v>23</v>
      </c>
      <c r="C22" s="1">
        <f t="shared" si="3"/>
        <v>24</v>
      </c>
      <c r="D22" s="1">
        <f t="shared" si="4"/>
        <v>23</v>
      </c>
      <c r="E22" s="1">
        <f t="shared" si="5"/>
        <v>26</v>
      </c>
      <c r="F22" s="1">
        <f t="shared" si="6"/>
        <v>23</v>
      </c>
      <c r="G22" s="1">
        <f t="shared" si="7"/>
        <v>28</v>
      </c>
      <c r="H22" s="1">
        <f t="shared" si="8"/>
        <v>23</v>
      </c>
      <c r="I22" s="1">
        <f t="shared" si="9"/>
        <v>30</v>
      </c>
      <c r="J22" s="1">
        <f t="shared" si="10"/>
        <v>23</v>
      </c>
      <c r="K22" s="1">
        <f t="shared" si="11"/>
        <v>32</v>
      </c>
      <c r="L22" s="1">
        <f t="shared" si="12"/>
        <v>23</v>
      </c>
      <c r="M22" s="1">
        <f t="shared" si="13"/>
        <v>34</v>
      </c>
      <c r="N22" s="1">
        <f t="shared" si="14"/>
        <v>23</v>
      </c>
      <c r="O22" s="1">
        <f t="shared" si="15"/>
        <v>36</v>
      </c>
      <c r="P22" s="1">
        <f t="shared" si="16"/>
        <v>23</v>
      </c>
      <c r="Q22" s="1">
        <f t="shared" si="17"/>
        <v>38</v>
      </c>
      <c r="R22" s="1">
        <f t="shared" si="18"/>
        <v>23</v>
      </c>
      <c r="S22" s="1">
        <f t="shared" si="19"/>
        <v>40</v>
      </c>
      <c r="T22" s="1">
        <f t="shared" si="20"/>
        <v>23</v>
      </c>
      <c r="U22" s="1">
        <f t="shared" si="21"/>
        <v>42</v>
      </c>
      <c r="V22" s="1">
        <f t="shared" si="22"/>
        <v>23</v>
      </c>
      <c r="W22" s="1">
        <f t="shared" si="23"/>
        <v>44</v>
      </c>
      <c r="X22" s="1">
        <f t="shared" si="24"/>
        <v>23</v>
      </c>
      <c r="Y22" s="1">
        <f t="shared" si="25"/>
        <v>47</v>
      </c>
      <c r="Z22" s="1">
        <f t="shared" si="26"/>
        <v>23</v>
      </c>
      <c r="AA22" s="1">
        <f t="shared" si="27"/>
        <v>50</v>
      </c>
      <c r="AB22" s="1">
        <f t="shared" si="28"/>
        <v>23</v>
      </c>
      <c r="AC22" s="1">
        <f t="shared" si="29"/>
        <v>54</v>
      </c>
      <c r="AD22" s="1">
        <f t="shared" si="30"/>
        <v>23</v>
      </c>
      <c r="AE22" s="1">
        <f t="shared" si="31"/>
        <v>56</v>
      </c>
      <c r="AF22" s="1">
        <f t="shared" si="32"/>
        <v>23</v>
      </c>
      <c r="AG22" s="1">
        <f t="shared" si="33"/>
        <v>60</v>
      </c>
      <c r="AH22" s="1">
        <f t="shared" ref="AH22:AI22" si="60">$B$1+$A22</f>
        <v>23</v>
      </c>
      <c r="AI22" s="1">
        <f t="shared" si="60"/>
        <v>23</v>
      </c>
      <c r="AJ22" s="1">
        <f t="shared" si="35"/>
        <v>64</v>
      </c>
      <c r="AK22" s="1">
        <f t="shared" si="36"/>
        <v>23</v>
      </c>
      <c r="AL22" s="1">
        <f t="shared" si="37"/>
        <v>70</v>
      </c>
      <c r="AM22" s="1">
        <f t="shared" si="38"/>
        <v>23</v>
      </c>
      <c r="AN22" s="1">
        <f t="shared" si="39"/>
        <v>73</v>
      </c>
      <c r="AO22" s="1">
        <f t="shared" si="40"/>
        <v>23</v>
      </c>
      <c r="AP22" s="1">
        <f t="shared" si="41"/>
        <v>82</v>
      </c>
      <c r="AR22" s="8">
        <f>COUNTIFS(score4pijlen,AP22) </f>
        <v>41</v>
      </c>
    </row>
    <row r="23">
      <c r="A23" s="2">
        <v>23.0</v>
      </c>
      <c r="B23" s="1">
        <f t="shared" si="2"/>
        <v>24</v>
      </c>
      <c r="C23" s="1">
        <f t="shared" si="3"/>
        <v>25</v>
      </c>
      <c r="D23" s="1">
        <f t="shared" si="4"/>
        <v>24</v>
      </c>
      <c r="E23" s="1">
        <f t="shared" si="5"/>
        <v>27</v>
      </c>
      <c r="F23" s="1">
        <f t="shared" si="6"/>
        <v>24</v>
      </c>
      <c r="G23" s="1">
        <f t="shared" si="7"/>
        <v>29</v>
      </c>
      <c r="H23" s="1">
        <f t="shared" si="8"/>
        <v>24</v>
      </c>
      <c r="I23" s="1">
        <f t="shared" si="9"/>
        <v>31</v>
      </c>
      <c r="J23" s="1">
        <f t="shared" si="10"/>
        <v>24</v>
      </c>
      <c r="K23" s="1">
        <f t="shared" si="11"/>
        <v>33</v>
      </c>
      <c r="L23" s="1">
        <f t="shared" si="12"/>
        <v>24</v>
      </c>
      <c r="M23" s="1">
        <f t="shared" si="13"/>
        <v>35</v>
      </c>
      <c r="N23" s="1">
        <f t="shared" si="14"/>
        <v>24</v>
      </c>
      <c r="O23" s="1">
        <f t="shared" si="15"/>
        <v>37</v>
      </c>
      <c r="P23" s="1">
        <f t="shared" si="16"/>
        <v>24</v>
      </c>
      <c r="Q23" s="1">
        <f t="shared" si="17"/>
        <v>39</v>
      </c>
      <c r="R23" s="1">
        <f t="shared" si="18"/>
        <v>24</v>
      </c>
      <c r="S23" s="1">
        <f t="shared" si="19"/>
        <v>41</v>
      </c>
      <c r="T23" s="1">
        <f t="shared" si="20"/>
        <v>24</v>
      </c>
      <c r="U23" s="1">
        <f t="shared" si="21"/>
        <v>43</v>
      </c>
      <c r="V23" s="1">
        <f t="shared" si="22"/>
        <v>24</v>
      </c>
      <c r="W23" s="1">
        <f t="shared" si="23"/>
        <v>45</v>
      </c>
      <c r="X23" s="1">
        <f t="shared" si="24"/>
        <v>24</v>
      </c>
      <c r="Y23" s="1">
        <f t="shared" si="25"/>
        <v>48</v>
      </c>
      <c r="Z23" s="1">
        <f t="shared" si="26"/>
        <v>24</v>
      </c>
      <c r="AA23" s="1">
        <f t="shared" si="27"/>
        <v>51</v>
      </c>
      <c r="AB23" s="1">
        <f t="shared" si="28"/>
        <v>24</v>
      </c>
      <c r="AC23" s="1">
        <f t="shared" si="29"/>
        <v>55</v>
      </c>
      <c r="AD23" s="1">
        <f t="shared" si="30"/>
        <v>24</v>
      </c>
      <c r="AE23" s="1">
        <f t="shared" si="31"/>
        <v>57</v>
      </c>
      <c r="AF23" s="1">
        <f t="shared" si="32"/>
        <v>24</v>
      </c>
      <c r="AG23" s="1">
        <f t="shared" si="33"/>
        <v>61</v>
      </c>
      <c r="AH23" s="1">
        <f t="shared" ref="AH23:AI23" si="61">$B$1+$A23</f>
        <v>24</v>
      </c>
      <c r="AI23" s="1">
        <f t="shared" si="61"/>
        <v>24</v>
      </c>
      <c r="AJ23" s="1">
        <f t="shared" si="35"/>
        <v>65</v>
      </c>
      <c r="AK23" s="1">
        <f t="shared" si="36"/>
        <v>24</v>
      </c>
      <c r="AL23" s="1">
        <f t="shared" si="37"/>
        <v>71</v>
      </c>
      <c r="AM23" s="1">
        <f t="shared" si="38"/>
        <v>24</v>
      </c>
      <c r="AN23" s="1">
        <f t="shared" si="39"/>
        <v>74</v>
      </c>
      <c r="AO23" s="1">
        <f t="shared" si="40"/>
        <v>24</v>
      </c>
      <c r="AP23" s="1">
        <f t="shared" si="41"/>
        <v>83</v>
      </c>
      <c r="AR23" s="8">
        <f>COUNTIFS(score4pijlen,AP23) </f>
        <v>41</v>
      </c>
    </row>
    <row r="24">
      <c r="A24" s="2">
        <v>24.0</v>
      </c>
      <c r="B24" s="1">
        <f t="shared" si="2"/>
        <v>25</v>
      </c>
      <c r="C24" s="1">
        <f t="shared" si="3"/>
        <v>26</v>
      </c>
      <c r="D24" s="1">
        <f t="shared" si="4"/>
        <v>25</v>
      </c>
      <c r="E24" s="1">
        <f t="shared" si="5"/>
        <v>28</v>
      </c>
      <c r="F24" s="1">
        <f t="shared" si="6"/>
        <v>25</v>
      </c>
      <c r="G24" s="1">
        <f t="shared" si="7"/>
        <v>30</v>
      </c>
      <c r="H24" s="1">
        <f t="shared" si="8"/>
        <v>25</v>
      </c>
      <c r="I24" s="1">
        <f t="shared" si="9"/>
        <v>32</v>
      </c>
      <c r="J24" s="1">
        <f t="shared" si="10"/>
        <v>25</v>
      </c>
      <c r="K24" s="1">
        <f t="shared" si="11"/>
        <v>34</v>
      </c>
      <c r="L24" s="1">
        <f t="shared" si="12"/>
        <v>25</v>
      </c>
      <c r="M24" s="1">
        <f t="shared" si="13"/>
        <v>36</v>
      </c>
      <c r="N24" s="1">
        <f t="shared" si="14"/>
        <v>25</v>
      </c>
      <c r="O24" s="1">
        <f t="shared" si="15"/>
        <v>38</v>
      </c>
      <c r="P24" s="1">
        <f t="shared" si="16"/>
        <v>25</v>
      </c>
      <c r="Q24" s="1">
        <f t="shared" si="17"/>
        <v>40</v>
      </c>
      <c r="R24" s="1">
        <f t="shared" si="18"/>
        <v>25</v>
      </c>
      <c r="S24" s="1">
        <f t="shared" si="19"/>
        <v>42</v>
      </c>
      <c r="T24" s="1">
        <f t="shared" si="20"/>
        <v>25</v>
      </c>
      <c r="U24" s="1">
        <f t="shared" si="21"/>
        <v>44</v>
      </c>
      <c r="V24" s="1">
        <f t="shared" si="22"/>
        <v>25</v>
      </c>
      <c r="W24" s="1">
        <f t="shared" si="23"/>
        <v>46</v>
      </c>
      <c r="X24" s="1">
        <f t="shared" si="24"/>
        <v>25</v>
      </c>
      <c r="Y24" s="1">
        <f t="shared" si="25"/>
        <v>49</v>
      </c>
      <c r="Z24" s="1">
        <f t="shared" si="26"/>
        <v>25</v>
      </c>
      <c r="AA24" s="1">
        <f t="shared" si="27"/>
        <v>52</v>
      </c>
      <c r="AB24" s="1">
        <f t="shared" si="28"/>
        <v>25</v>
      </c>
      <c r="AC24" s="1">
        <f t="shared" si="29"/>
        <v>56</v>
      </c>
      <c r="AD24" s="1">
        <f t="shared" si="30"/>
        <v>25</v>
      </c>
      <c r="AE24" s="1">
        <f t="shared" si="31"/>
        <v>58</v>
      </c>
      <c r="AF24" s="1">
        <f t="shared" si="32"/>
        <v>25</v>
      </c>
      <c r="AG24" s="1">
        <f t="shared" si="33"/>
        <v>62</v>
      </c>
      <c r="AH24" s="1">
        <f t="shared" ref="AH24:AI24" si="62">$B$1+$A24</f>
        <v>25</v>
      </c>
      <c r="AI24" s="1">
        <f t="shared" si="62"/>
        <v>25</v>
      </c>
      <c r="AJ24" s="1">
        <f t="shared" si="35"/>
        <v>66</v>
      </c>
      <c r="AK24" s="1">
        <f t="shared" si="36"/>
        <v>25</v>
      </c>
      <c r="AL24" s="1">
        <f t="shared" si="37"/>
        <v>72</v>
      </c>
      <c r="AM24" s="1">
        <f t="shared" si="38"/>
        <v>25</v>
      </c>
      <c r="AN24" s="1">
        <f t="shared" si="39"/>
        <v>75</v>
      </c>
      <c r="AO24" s="1">
        <f t="shared" si="40"/>
        <v>25</v>
      </c>
      <c r="AP24" s="1">
        <f t="shared" si="41"/>
        <v>84</v>
      </c>
      <c r="AR24" s="8">
        <f>COUNTIFS(score4pijlen,AP24) </f>
        <v>41</v>
      </c>
    </row>
    <row r="25">
      <c r="A25" s="2">
        <v>25.0</v>
      </c>
      <c r="B25" s="1">
        <f t="shared" si="2"/>
        <v>26</v>
      </c>
      <c r="C25" s="1">
        <f t="shared" si="3"/>
        <v>27</v>
      </c>
      <c r="D25" s="1">
        <f t="shared" si="4"/>
        <v>26</v>
      </c>
      <c r="E25" s="1">
        <f t="shared" si="5"/>
        <v>29</v>
      </c>
      <c r="F25" s="1">
        <f t="shared" si="6"/>
        <v>26</v>
      </c>
      <c r="G25" s="1">
        <f t="shared" si="7"/>
        <v>31</v>
      </c>
      <c r="H25" s="1">
        <f t="shared" si="8"/>
        <v>26</v>
      </c>
      <c r="I25" s="1">
        <f t="shared" si="9"/>
        <v>33</v>
      </c>
      <c r="J25" s="1">
        <f t="shared" si="10"/>
        <v>26</v>
      </c>
      <c r="K25" s="1">
        <f t="shared" si="11"/>
        <v>35</v>
      </c>
      <c r="L25" s="1">
        <f t="shared" si="12"/>
        <v>26</v>
      </c>
      <c r="M25" s="1">
        <f t="shared" si="13"/>
        <v>37</v>
      </c>
      <c r="N25" s="1">
        <f t="shared" si="14"/>
        <v>26</v>
      </c>
      <c r="O25" s="1">
        <f t="shared" si="15"/>
        <v>39</v>
      </c>
      <c r="P25" s="1">
        <f t="shared" si="16"/>
        <v>26</v>
      </c>
      <c r="Q25" s="1">
        <f t="shared" si="17"/>
        <v>41</v>
      </c>
      <c r="R25" s="1">
        <f t="shared" si="18"/>
        <v>26</v>
      </c>
      <c r="S25" s="1">
        <f t="shared" si="19"/>
        <v>43</v>
      </c>
      <c r="T25" s="1">
        <f t="shared" si="20"/>
        <v>26</v>
      </c>
      <c r="U25" s="1">
        <f t="shared" si="21"/>
        <v>45</v>
      </c>
      <c r="V25" s="1">
        <f t="shared" si="22"/>
        <v>26</v>
      </c>
      <c r="W25" s="1">
        <f t="shared" si="23"/>
        <v>47</v>
      </c>
      <c r="X25" s="1">
        <f t="shared" si="24"/>
        <v>26</v>
      </c>
      <c r="Y25" s="1">
        <f t="shared" si="25"/>
        <v>50</v>
      </c>
      <c r="Z25" s="1">
        <f t="shared" si="26"/>
        <v>26</v>
      </c>
      <c r="AA25" s="1">
        <f t="shared" si="27"/>
        <v>53</v>
      </c>
      <c r="AB25" s="1">
        <f t="shared" si="28"/>
        <v>26</v>
      </c>
      <c r="AC25" s="1">
        <f t="shared" si="29"/>
        <v>57</v>
      </c>
      <c r="AD25" s="1">
        <f t="shared" si="30"/>
        <v>26</v>
      </c>
      <c r="AE25" s="1">
        <f t="shared" si="31"/>
        <v>59</v>
      </c>
      <c r="AF25" s="1">
        <f t="shared" si="32"/>
        <v>26</v>
      </c>
      <c r="AG25" s="1">
        <f t="shared" si="33"/>
        <v>63</v>
      </c>
      <c r="AH25" s="1">
        <f t="shared" ref="AH25:AI25" si="63">$B$1+$A25</f>
        <v>26</v>
      </c>
      <c r="AI25" s="1">
        <f t="shared" si="63"/>
        <v>26</v>
      </c>
      <c r="AJ25" s="1">
        <f t="shared" si="35"/>
        <v>67</v>
      </c>
      <c r="AK25" s="1">
        <f t="shared" si="36"/>
        <v>26</v>
      </c>
      <c r="AL25" s="1">
        <f t="shared" si="37"/>
        <v>73</v>
      </c>
      <c r="AM25" s="1">
        <f t="shared" si="38"/>
        <v>26</v>
      </c>
      <c r="AN25" s="1">
        <f t="shared" si="39"/>
        <v>76</v>
      </c>
      <c r="AO25" s="1">
        <f t="shared" si="40"/>
        <v>26</v>
      </c>
      <c r="AP25" s="1">
        <f t="shared" si="41"/>
        <v>85</v>
      </c>
      <c r="AR25" s="8">
        <f>COUNTIFS(score4pijlen,AP25) </f>
        <v>41</v>
      </c>
    </row>
    <row r="26">
      <c r="A26" s="2">
        <v>26.0</v>
      </c>
      <c r="B26" s="1">
        <f t="shared" si="2"/>
        <v>27</v>
      </c>
      <c r="C26" s="1">
        <f t="shared" si="3"/>
        <v>28</v>
      </c>
      <c r="D26" s="1">
        <f t="shared" si="4"/>
        <v>27</v>
      </c>
      <c r="E26" s="1">
        <f t="shared" si="5"/>
        <v>30</v>
      </c>
      <c r="F26" s="1">
        <f t="shared" si="6"/>
        <v>27</v>
      </c>
      <c r="G26" s="1">
        <f t="shared" si="7"/>
        <v>32</v>
      </c>
      <c r="H26" s="1">
        <f t="shared" si="8"/>
        <v>27</v>
      </c>
      <c r="I26" s="1">
        <f t="shared" si="9"/>
        <v>34</v>
      </c>
      <c r="J26" s="1">
        <f t="shared" si="10"/>
        <v>27</v>
      </c>
      <c r="K26" s="1">
        <f t="shared" si="11"/>
        <v>36</v>
      </c>
      <c r="L26" s="1">
        <f t="shared" si="12"/>
        <v>27</v>
      </c>
      <c r="M26" s="1">
        <f t="shared" si="13"/>
        <v>38</v>
      </c>
      <c r="N26" s="1">
        <f t="shared" si="14"/>
        <v>27</v>
      </c>
      <c r="O26" s="1">
        <f t="shared" si="15"/>
        <v>40</v>
      </c>
      <c r="P26" s="1">
        <f t="shared" si="16"/>
        <v>27</v>
      </c>
      <c r="Q26" s="1">
        <f t="shared" si="17"/>
        <v>42</v>
      </c>
      <c r="R26" s="1">
        <f t="shared" si="18"/>
        <v>27</v>
      </c>
      <c r="S26" s="1">
        <f t="shared" si="19"/>
        <v>44</v>
      </c>
      <c r="T26" s="1">
        <f t="shared" si="20"/>
        <v>27</v>
      </c>
      <c r="U26" s="1">
        <f t="shared" si="21"/>
        <v>46</v>
      </c>
      <c r="V26" s="1">
        <f t="shared" si="22"/>
        <v>27</v>
      </c>
      <c r="W26" s="1">
        <f t="shared" si="23"/>
        <v>48</v>
      </c>
      <c r="X26" s="1">
        <f t="shared" si="24"/>
        <v>27</v>
      </c>
      <c r="Y26" s="1">
        <f t="shared" si="25"/>
        <v>51</v>
      </c>
      <c r="Z26" s="1">
        <f t="shared" si="26"/>
        <v>27</v>
      </c>
      <c r="AA26" s="1">
        <f t="shared" si="27"/>
        <v>54</v>
      </c>
      <c r="AB26" s="1">
        <f t="shared" si="28"/>
        <v>27</v>
      </c>
      <c r="AC26" s="1">
        <f t="shared" si="29"/>
        <v>58</v>
      </c>
      <c r="AD26" s="1">
        <f t="shared" si="30"/>
        <v>27</v>
      </c>
      <c r="AE26" s="1">
        <f t="shared" si="31"/>
        <v>60</v>
      </c>
      <c r="AF26" s="1">
        <f t="shared" si="32"/>
        <v>27</v>
      </c>
      <c r="AG26" s="1">
        <f t="shared" si="33"/>
        <v>64</v>
      </c>
      <c r="AH26" s="1">
        <f t="shared" ref="AH26:AI26" si="64">$B$1+$A26</f>
        <v>27</v>
      </c>
      <c r="AI26" s="1">
        <f t="shared" si="64"/>
        <v>27</v>
      </c>
      <c r="AJ26" s="1">
        <f t="shared" si="35"/>
        <v>68</v>
      </c>
      <c r="AK26" s="1">
        <f t="shared" si="36"/>
        <v>27</v>
      </c>
      <c r="AL26" s="1">
        <f t="shared" si="37"/>
        <v>74</v>
      </c>
      <c r="AM26" s="1">
        <f t="shared" si="38"/>
        <v>27</v>
      </c>
      <c r="AN26" s="1">
        <f t="shared" si="39"/>
        <v>77</v>
      </c>
      <c r="AO26" s="1">
        <f t="shared" si="40"/>
        <v>27</v>
      </c>
      <c r="AP26" s="1">
        <f t="shared" si="41"/>
        <v>86</v>
      </c>
      <c r="AR26" s="8">
        <f>COUNTIFS(score4pijlen,AP26) </f>
        <v>41</v>
      </c>
    </row>
    <row r="27">
      <c r="A27" s="2">
        <v>27.0</v>
      </c>
      <c r="B27" s="1">
        <f t="shared" si="2"/>
        <v>28</v>
      </c>
      <c r="C27" s="1">
        <f t="shared" si="3"/>
        <v>29</v>
      </c>
      <c r="D27" s="1">
        <f t="shared" si="4"/>
        <v>28</v>
      </c>
      <c r="E27" s="1">
        <f t="shared" si="5"/>
        <v>31</v>
      </c>
      <c r="F27" s="1">
        <f t="shared" si="6"/>
        <v>28</v>
      </c>
      <c r="G27" s="1">
        <f t="shared" si="7"/>
        <v>33</v>
      </c>
      <c r="H27" s="1">
        <f t="shared" si="8"/>
        <v>28</v>
      </c>
      <c r="I27" s="1">
        <f t="shared" si="9"/>
        <v>35</v>
      </c>
      <c r="J27" s="1">
        <f t="shared" si="10"/>
        <v>28</v>
      </c>
      <c r="K27" s="1">
        <f t="shared" si="11"/>
        <v>37</v>
      </c>
      <c r="L27" s="1">
        <f t="shared" si="12"/>
        <v>28</v>
      </c>
      <c r="M27" s="1">
        <f t="shared" si="13"/>
        <v>39</v>
      </c>
      <c r="N27" s="1">
        <f t="shared" si="14"/>
        <v>28</v>
      </c>
      <c r="O27" s="1">
        <f t="shared" si="15"/>
        <v>41</v>
      </c>
      <c r="P27" s="1">
        <f t="shared" si="16"/>
        <v>28</v>
      </c>
      <c r="Q27" s="1">
        <f t="shared" si="17"/>
        <v>43</v>
      </c>
      <c r="R27" s="1">
        <f t="shared" si="18"/>
        <v>28</v>
      </c>
      <c r="S27" s="1">
        <f t="shared" si="19"/>
        <v>45</v>
      </c>
      <c r="T27" s="1">
        <f t="shared" si="20"/>
        <v>28</v>
      </c>
      <c r="U27" s="1">
        <f t="shared" si="21"/>
        <v>47</v>
      </c>
      <c r="V27" s="1">
        <f t="shared" si="22"/>
        <v>28</v>
      </c>
      <c r="W27" s="1">
        <f t="shared" si="23"/>
        <v>49</v>
      </c>
      <c r="X27" s="1">
        <f t="shared" si="24"/>
        <v>28</v>
      </c>
      <c r="Y27" s="1">
        <f t="shared" si="25"/>
        <v>52</v>
      </c>
      <c r="Z27" s="1">
        <f t="shared" si="26"/>
        <v>28</v>
      </c>
      <c r="AA27" s="1">
        <f t="shared" si="27"/>
        <v>55</v>
      </c>
      <c r="AB27" s="1">
        <f t="shared" si="28"/>
        <v>28</v>
      </c>
      <c r="AC27" s="1">
        <f t="shared" si="29"/>
        <v>59</v>
      </c>
      <c r="AD27" s="1">
        <f t="shared" si="30"/>
        <v>28</v>
      </c>
      <c r="AE27" s="1">
        <f t="shared" si="31"/>
        <v>61</v>
      </c>
      <c r="AF27" s="1">
        <f t="shared" si="32"/>
        <v>28</v>
      </c>
      <c r="AG27" s="1">
        <f t="shared" si="33"/>
        <v>65</v>
      </c>
      <c r="AH27" s="1">
        <f t="shared" ref="AH27:AI27" si="65">$B$1+$A27</f>
        <v>28</v>
      </c>
      <c r="AI27" s="1">
        <f t="shared" si="65"/>
        <v>28</v>
      </c>
      <c r="AJ27" s="1">
        <f t="shared" si="35"/>
        <v>69</v>
      </c>
      <c r="AK27" s="1">
        <f t="shared" si="36"/>
        <v>28</v>
      </c>
      <c r="AL27" s="1">
        <f t="shared" si="37"/>
        <v>75</v>
      </c>
      <c r="AM27" s="1">
        <f t="shared" si="38"/>
        <v>28</v>
      </c>
      <c r="AN27" s="1">
        <f t="shared" si="39"/>
        <v>78</v>
      </c>
      <c r="AO27" s="1">
        <f t="shared" si="40"/>
        <v>28</v>
      </c>
      <c r="AP27" s="1">
        <f t="shared" si="41"/>
        <v>87</v>
      </c>
      <c r="AR27" s="8">
        <f>COUNTIFS(score4pijlen,AP27) </f>
        <v>41</v>
      </c>
    </row>
    <row r="28">
      <c r="A28" s="2">
        <v>28.0</v>
      </c>
      <c r="B28" s="1">
        <f t="shared" si="2"/>
        <v>29</v>
      </c>
      <c r="C28" s="1">
        <f t="shared" si="3"/>
        <v>30</v>
      </c>
      <c r="D28" s="1">
        <f t="shared" si="4"/>
        <v>29</v>
      </c>
      <c r="E28" s="1">
        <f t="shared" si="5"/>
        <v>32</v>
      </c>
      <c r="F28" s="1">
        <f t="shared" si="6"/>
        <v>29</v>
      </c>
      <c r="G28" s="1">
        <f t="shared" si="7"/>
        <v>34</v>
      </c>
      <c r="H28" s="1">
        <f t="shared" si="8"/>
        <v>29</v>
      </c>
      <c r="I28" s="1">
        <f t="shared" si="9"/>
        <v>36</v>
      </c>
      <c r="J28" s="1">
        <f t="shared" si="10"/>
        <v>29</v>
      </c>
      <c r="K28" s="1">
        <f t="shared" si="11"/>
        <v>38</v>
      </c>
      <c r="L28" s="1">
        <f t="shared" si="12"/>
        <v>29</v>
      </c>
      <c r="M28" s="1">
        <f t="shared" si="13"/>
        <v>40</v>
      </c>
      <c r="N28" s="1">
        <f t="shared" si="14"/>
        <v>29</v>
      </c>
      <c r="O28" s="1">
        <f t="shared" si="15"/>
        <v>42</v>
      </c>
      <c r="P28" s="1">
        <f t="shared" si="16"/>
        <v>29</v>
      </c>
      <c r="Q28" s="1">
        <f t="shared" si="17"/>
        <v>44</v>
      </c>
      <c r="R28" s="1">
        <f t="shared" si="18"/>
        <v>29</v>
      </c>
      <c r="S28" s="1">
        <f t="shared" si="19"/>
        <v>46</v>
      </c>
      <c r="T28" s="1">
        <f t="shared" si="20"/>
        <v>29</v>
      </c>
      <c r="U28" s="1">
        <f t="shared" si="21"/>
        <v>48</v>
      </c>
      <c r="V28" s="1">
        <f t="shared" si="22"/>
        <v>29</v>
      </c>
      <c r="W28" s="1">
        <f t="shared" si="23"/>
        <v>50</v>
      </c>
      <c r="X28" s="1">
        <f t="shared" si="24"/>
        <v>29</v>
      </c>
      <c r="Y28" s="1">
        <f t="shared" si="25"/>
        <v>53</v>
      </c>
      <c r="Z28" s="1">
        <f t="shared" si="26"/>
        <v>29</v>
      </c>
      <c r="AA28" s="1">
        <f t="shared" si="27"/>
        <v>56</v>
      </c>
      <c r="AB28" s="1">
        <f t="shared" si="28"/>
        <v>29</v>
      </c>
      <c r="AC28" s="1">
        <f t="shared" si="29"/>
        <v>60</v>
      </c>
      <c r="AD28" s="1">
        <f t="shared" si="30"/>
        <v>29</v>
      </c>
      <c r="AE28" s="1">
        <f t="shared" si="31"/>
        <v>62</v>
      </c>
      <c r="AF28" s="1">
        <f t="shared" si="32"/>
        <v>29</v>
      </c>
      <c r="AG28" s="1">
        <f t="shared" si="33"/>
        <v>66</v>
      </c>
      <c r="AH28" s="1">
        <f t="shared" ref="AH28:AI28" si="66">$B$1+$A28</f>
        <v>29</v>
      </c>
      <c r="AI28" s="1">
        <f t="shared" si="66"/>
        <v>29</v>
      </c>
      <c r="AJ28" s="1">
        <f t="shared" si="35"/>
        <v>70</v>
      </c>
      <c r="AK28" s="1">
        <f t="shared" si="36"/>
        <v>29</v>
      </c>
      <c r="AL28" s="1">
        <f t="shared" si="37"/>
        <v>76</v>
      </c>
      <c r="AM28" s="1">
        <f t="shared" si="38"/>
        <v>29</v>
      </c>
      <c r="AN28" s="1">
        <f t="shared" si="39"/>
        <v>79</v>
      </c>
      <c r="AO28" s="1">
        <f t="shared" si="40"/>
        <v>29</v>
      </c>
      <c r="AP28" s="1">
        <f t="shared" si="41"/>
        <v>88</v>
      </c>
      <c r="AR28" s="8">
        <f>COUNTIFS(score4pijlen,AP28) </f>
        <v>41</v>
      </c>
    </row>
    <row r="29">
      <c r="A29" s="2">
        <v>29.0</v>
      </c>
      <c r="B29" s="1">
        <f t="shared" si="2"/>
        <v>30</v>
      </c>
      <c r="C29" s="1">
        <f t="shared" si="3"/>
        <v>31</v>
      </c>
      <c r="D29" s="1">
        <f t="shared" si="4"/>
        <v>30</v>
      </c>
      <c r="E29" s="1">
        <f t="shared" si="5"/>
        <v>33</v>
      </c>
      <c r="F29" s="1">
        <f t="shared" si="6"/>
        <v>30</v>
      </c>
      <c r="G29" s="1">
        <f t="shared" si="7"/>
        <v>35</v>
      </c>
      <c r="H29" s="1">
        <f t="shared" si="8"/>
        <v>30</v>
      </c>
      <c r="I29" s="1">
        <f t="shared" si="9"/>
        <v>37</v>
      </c>
      <c r="J29" s="1">
        <f t="shared" si="10"/>
        <v>30</v>
      </c>
      <c r="K29" s="1">
        <f t="shared" si="11"/>
        <v>39</v>
      </c>
      <c r="L29" s="1">
        <f t="shared" si="12"/>
        <v>30</v>
      </c>
      <c r="M29" s="1">
        <f t="shared" si="13"/>
        <v>41</v>
      </c>
      <c r="N29" s="1">
        <f t="shared" si="14"/>
        <v>30</v>
      </c>
      <c r="O29" s="1">
        <f t="shared" si="15"/>
        <v>43</v>
      </c>
      <c r="P29" s="1">
        <f t="shared" si="16"/>
        <v>30</v>
      </c>
      <c r="Q29" s="1">
        <f t="shared" si="17"/>
        <v>45</v>
      </c>
      <c r="R29" s="1">
        <f t="shared" si="18"/>
        <v>30</v>
      </c>
      <c r="S29" s="1">
        <f t="shared" si="19"/>
        <v>47</v>
      </c>
      <c r="T29" s="1">
        <f t="shared" si="20"/>
        <v>30</v>
      </c>
      <c r="U29" s="1">
        <f t="shared" si="21"/>
        <v>49</v>
      </c>
      <c r="V29" s="1">
        <f t="shared" si="22"/>
        <v>30</v>
      </c>
      <c r="W29" s="1">
        <f t="shared" si="23"/>
        <v>51</v>
      </c>
      <c r="X29" s="1">
        <f t="shared" si="24"/>
        <v>30</v>
      </c>
      <c r="Y29" s="1">
        <f t="shared" si="25"/>
        <v>54</v>
      </c>
      <c r="Z29" s="1">
        <f t="shared" si="26"/>
        <v>30</v>
      </c>
      <c r="AA29" s="1">
        <f t="shared" si="27"/>
        <v>57</v>
      </c>
      <c r="AB29" s="1">
        <f t="shared" si="28"/>
        <v>30</v>
      </c>
      <c r="AC29" s="1">
        <f t="shared" si="29"/>
        <v>61</v>
      </c>
      <c r="AD29" s="1">
        <f t="shared" si="30"/>
        <v>30</v>
      </c>
      <c r="AE29" s="1">
        <f t="shared" si="31"/>
        <v>63</v>
      </c>
      <c r="AF29" s="1">
        <f t="shared" si="32"/>
        <v>30</v>
      </c>
      <c r="AG29" s="1">
        <f t="shared" si="33"/>
        <v>67</v>
      </c>
      <c r="AH29" s="1">
        <f t="shared" ref="AH29:AI29" si="67">$B$1+$A29</f>
        <v>30</v>
      </c>
      <c r="AI29" s="1">
        <f t="shared" si="67"/>
        <v>30</v>
      </c>
      <c r="AJ29" s="1">
        <f t="shared" si="35"/>
        <v>71</v>
      </c>
      <c r="AK29" s="1">
        <f t="shared" si="36"/>
        <v>30</v>
      </c>
      <c r="AL29" s="1">
        <f t="shared" si="37"/>
        <v>77</v>
      </c>
      <c r="AM29" s="1">
        <f t="shared" si="38"/>
        <v>30</v>
      </c>
      <c r="AN29" s="1">
        <f t="shared" si="39"/>
        <v>80</v>
      </c>
      <c r="AO29" s="1">
        <f t="shared" si="40"/>
        <v>30</v>
      </c>
      <c r="AP29" s="1">
        <f t="shared" si="41"/>
        <v>89</v>
      </c>
      <c r="AR29" s="8">
        <f>COUNTIFS(score4pijlen,AP29) </f>
        <v>41</v>
      </c>
    </row>
    <row r="30">
      <c r="A30" s="2">
        <v>30.0</v>
      </c>
      <c r="B30" s="1">
        <f t="shared" si="2"/>
        <v>31</v>
      </c>
      <c r="C30" s="1">
        <f t="shared" si="3"/>
        <v>32</v>
      </c>
      <c r="D30" s="1">
        <f t="shared" si="4"/>
        <v>31</v>
      </c>
      <c r="E30" s="1">
        <f t="shared" si="5"/>
        <v>34</v>
      </c>
      <c r="F30" s="1">
        <f t="shared" si="6"/>
        <v>31</v>
      </c>
      <c r="G30" s="1">
        <f t="shared" si="7"/>
        <v>36</v>
      </c>
      <c r="H30" s="1">
        <f t="shared" si="8"/>
        <v>31</v>
      </c>
      <c r="I30" s="1">
        <f t="shared" si="9"/>
        <v>38</v>
      </c>
      <c r="J30" s="1">
        <f t="shared" si="10"/>
        <v>31</v>
      </c>
      <c r="K30" s="1">
        <f t="shared" si="11"/>
        <v>40</v>
      </c>
      <c r="L30" s="1">
        <f t="shared" si="12"/>
        <v>31</v>
      </c>
      <c r="M30" s="1">
        <f t="shared" si="13"/>
        <v>42</v>
      </c>
      <c r="N30" s="1">
        <f t="shared" si="14"/>
        <v>31</v>
      </c>
      <c r="O30" s="1">
        <f t="shared" si="15"/>
        <v>44</v>
      </c>
      <c r="P30" s="1">
        <f t="shared" si="16"/>
        <v>31</v>
      </c>
      <c r="Q30" s="1">
        <f t="shared" si="17"/>
        <v>46</v>
      </c>
      <c r="R30" s="1">
        <f t="shared" si="18"/>
        <v>31</v>
      </c>
      <c r="S30" s="1">
        <f t="shared" si="19"/>
        <v>48</v>
      </c>
      <c r="T30" s="1">
        <f t="shared" si="20"/>
        <v>31</v>
      </c>
      <c r="U30" s="1">
        <f t="shared" si="21"/>
        <v>50</v>
      </c>
      <c r="V30" s="1">
        <f t="shared" si="22"/>
        <v>31</v>
      </c>
      <c r="W30" s="1">
        <f t="shared" si="23"/>
        <v>52</v>
      </c>
      <c r="X30" s="1">
        <f t="shared" si="24"/>
        <v>31</v>
      </c>
      <c r="Y30" s="1">
        <f t="shared" si="25"/>
        <v>55</v>
      </c>
      <c r="Z30" s="1">
        <f t="shared" si="26"/>
        <v>31</v>
      </c>
      <c r="AA30" s="1">
        <f t="shared" si="27"/>
        <v>58</v>
      </c>
      <c r="AB30" s="1">
        <f t="shared" si="28"/>
        <v>31</v>
      </c>
      <c r="AC30" s="1">
        <f t="shared" si="29"/>
        <v>62</v>
      </c>
      <c r="AD30" s="1">
        <f t="shared" si="30"/>
        <v>31</v>
      </c>
      <c r="AE30" s="1">
        <f t="shared" si="31"/>
        <v>64</v>
      </c>
      <c r="AF30" s="1">
        <f t="shared" si="32"/>
        <v>31</v>
      </c>
      <c r="AG30" s="1">
        <f t="shared" si="33"/>
        <v>68</v>
      </c>
      <c r="AH30" s="1">
        <f t="shared" ref="AH30:AI30" si="68">$B$1+$A30</f>
        <v>31</v>
      </c>
      <c r="AI30" s="1">
        <f t="shared" si="68"/>
        <v>31</v>
      </c>
      <c r="AJ30" s="1">
        <f t="shared" si="35"/>
        <v>72</v>
      </c>
      <c r="AK30" s="1">
        <f t="shared" si="36"/>
        <v>31</v>
      </c>
      <c r="AL30" s="1">
        <f t="shared" si="37"/>
        <v>78</v>
      </c>
      <c r="AM30" s="1">
        <f t="shared" si="38"/>
        <v>31</v>
      </c>
      <c r="AN30" s="1">
        <f t="shared" si="39"/>
        <v>81</v>
      </c>
      <c r="AO30" s="1">
        <f t="shared" si="40"/>
        <v>31</v>
      </c>
      <c r="AP30" s="1">
        <f t="shared" si="41"/>
        <v>90</v>
      </c>
      <c r="AR30" s="8">
        <f>COUNTIFS(score4pijlen,AP30) </f>
        <v>41</v>
      </c>
    </row>
    <row r="31">
      <c r="A31" s="2">
        <v>31.0</v>
      </c>
      <c r="B31" s="1">
        <f t="shared" si="2"/>
        <v>32</v>
      </c>
      <c r="C31" s="1">
        <f t="shared" si="3"/>
        <v>33</v>
      </c>
      <c r="D31" s="1">
        <f t="shared" si="4"/>
        <v>32</v>
      </c>
      <c r="E31" s="1">
        <f t="shared" si="5"/>
        <v>35</v>
      </c>
      <c r="F31" s="1">
        <f t="shared" si="6"/>
        <v>32</v>
      </c>
      <c r="G31" s="1">
        <f t="shared" si="7"/>
        <v>37</v>
      </c>
      <c r="H31" s="1">
        <f t="shared" si="8"/>
        <v>32</v>
      </c>
      <c r="I31" s="1">
        <f t="shared" si="9"/>
        <v>39</v>
      </c>
      <c r="J31" s="1">
        <f t="shared" si="10"/>
        <v>32</v>
      </c>
      <c r="K31" s="1">
        <f t="shared" si="11"/>
        <v>41</v>
      </c>
      <c r="L31" s="1">
        <f t="shared" si="12"/>
        <v>32</v>
      </c>
      <c r="M31" s="1">
        <f t="shared" si="13"/>
        <v>43</v>
      </c>
      <c r="N31" s="1">
        <f t="shared" si="14"/>
        <v>32</v>
      </c>
      <c r="O31" s="1">
        <f t="shared" si="15"/>
        <v>45</v>
      </c>
      <c r="P31" s="1">
        <f t="shared" si="16"/>
        <v>32</v>
      </c>
      <c r="Q31" s="1">
        <f t="shared" si="17"/>
        <v>47</v>
      </c>
      <c r="R31" s="1">
        <f t="shared" si="18"/>
        <v>32</v>
      </c>
      <c r="S31" s="1">
        <f t="shared" si="19"/>
        <v>49</v>
      </c>
      <c r="T31" s="1">
        <f t="shared" si="20"/>
        <v>32</v>
      </c>
      <c r="U31" s="1">
        <f t="shared" si="21"/>
        <v>51</v>
      </c>
      <c r="V31" s="1">
        <f t="shared" si="22"/>
        <v>32</v>
      </c>
      <c r="W31" s="1">
        <f t="shared" si="23"/>
        <v>53</v>
      </c>
      <c r="X31" s="1">
        <f t="shared" si="24"/>
        <v>32</v>
      </c>
      <c r="Y31" s="1">
        <f t="shared" si="25"/>
        <v>56</v>
      </c>
      <c r="Z31" s="1">
        <f t="shared" si="26"/>
        <v>32</v>
      </c>
      <c r="AA31" s="1">
        <f t="shared" si="27"/>
        <v>59</v>
      </c>
      <c r="AB31" s="1">
        <f t="shared" si="28"/>
        <v>32</v>
      </c>
      <c r="AC31" s="1">
        <f t="shared" si="29"/>
        <v>63</v>
      </c>
      <c r="AD31" s="1">
        <f t="shared" si="30"/>
        <v>32</v>
      </c>
      <c r="AE31" s="1">
        <f t="shared" si="31"/>
        <v>65</v>
      </c>
      <c r="AF31" s="1">
        <f t="shared" si="32"/>
        <v>32</v>
      </c>
      <c r="AG31" s="1">
        <f t="shared" si="33"/>
        <v>69</v>
      </c>
      <c r="AH31" s="1">
        <f t="shared" ref="AH31:AI31" si="69">$B$1+$A31</f>
        <v>32</v>
      </c>
      <c r="AI31" s="1">
        <f t="shared" si="69"/>
        <v>32</v>
      </c>
      <c r="AJ31" s="1">
        <f t="shared" si="35"/>
        <v>73</v>
      </c>
      <c r="AK31" s="1">
        <f t="shared" si="36"/>
        <v>32</v>
      </c>
      <c r="AL31" s="1">
        <f t="shared" si="37"/>
        <v>79</v>
      </c>
      <c r="AM31" s="1">
        <f t="shared" si="38"/>
        <v>32</v>
      </c>
      <c r="AN31" s="1">
        <f t="shared" si="39"/>
        <v>82</v>
      </c>
      <c r="AO31" s="1">
        <f t="shared" si="40"/>
        <v>32</v>
      </c>
      <c r="AP31" s="1">
        <f t="shared" si="41"/>
        <v>91</v>
      </c>
      <c r="AR31" s="8">
        <f>COUNTIFS(score4pijlen,AP31) </f>
        <v>41</v>
      </c>
    </row>
    <row r="32">
      <c r="A32" s="2">
        <v>32.0</v>
      </c>
      <c r="B32" s="1">
        <f t="shared" si="2"/>
        <v>33</v>
      </c>
      <c r="C32" s="1">
        <f t="shared" si="3"/>
        <v>34</v>
      </c>
      <c r="D32" s="1">
        <f t="shared" si="4"/>
        <v>33</v>
      </c>
      <c r="E32" s="1">
        <f t="shared" si="5"/>
        <v>36</v>
      </c>
      <c r="F32" s="1">
        <f t="shared" si="6"/>
        <v>33</v>
      </c>
      <c r="G32" s="1">
        <f t="shared" si="7"/>
        <v>38</v>
      </c>
      <c r="H32" s="1">
        <f t="shared" si="8"/>
        <v>33</v>
      </c>
      <c r="I32" s="1">
        <f t="shared" si="9"/>
        <v>40</v>
      </c>
      <c r="J32" s="1">
        <f t="shared" si="10"/>
        <v>33</v>
      </c>
      <c r="K32" s="1">
        <f t="shared" si="11"/>
        <v>42</v>
      </c>
      <c r="L32" s="1">
        <f t="shared" si="12"/>
        <v>33</v>
      </c>
      <c r="M32" s="1">
        <f t="shared" si="13"/>
        <v>44</v>
      </c>
      <c r="N32" s="1">
        <f t="shared" si="14"/>
        <v>33</v>
      </c>
      <c r="O32" s="1">
        <f t="shared" si="15"/>
        <v>46</v>
      </c>
      <c r="P32" s="1">
        <f t="shared" si="16"/>
        <v>33</v>
      </c>
      <c r="Q32" s="1">
        <f t="shared" si="17"/>
        <v>48</v>
      </c>
      <c r="R32" s="1">
        <f t="shared" si="18"/>
        <v>33</v>
      </c>
      <c r="S32" s="1">
        <f t="shared" si="19"/>
        <v>50</v>
      </c>
      <c r="T32" s="1">
        <f t="shared" si="20"/>
        <v>33</v>
      </c>
      <c r="U32" s="1">
        <f t="shared" si="21"/>
        <v>52</v>
      </c>
      <c r="V32" s="1">
        <f t="shared" si="22"/>
        <v>33</v>
      </c>
      <c r="W32" s="1">
        <f t="shared" si="23"/>
        <v>54</v>
      </c>
      <c r="X32" s="1">
        <f t="shared" si="24"/>
        <v>33</v>
      </c>
      <c r="Y32" s="1">
        <f t="shared" si="25"/>
        <v>57</v>
      </c>
      <c r="Z32" s="1">
        <f t="shared" si="26"/>
        <v>33</v>
      </c>
      <c r="AA32" s="1">
        <f t="shared" si="27"/>
        <v>60</v>
      </c>
      <c r="AB32" s="1">
        <f t="shared" si="28"/>
        <v>33</v>
      </c>
      <c r="AC32" s="1">
        <f t="shared" si="29"/>
        <v>64</v>
      </c>
      <c r="AD32" s="1">
        <f t="shared" si="30"/>
        <v>33</v>
      </c>
      <c r="AE32" s="1">
        <f t="shared" si="31"/>
        <v>66</v>
      </c>
      <c r="AF32" s="1">
        <f t="shared" si="32"/>
        <v>33</v>
      </c>
      <c r="AG32" s="1">
        <f t="shared" si="33"/>
        <v>70</v>
      </c>
      <c r="AH32" s="1">
        <f t="shared" ref="AH32:AI32" si="70">$B$1+$A32</f>
        <v>33</v>
      </c>
      <c r="AI32" s="1">
        <f t="shared" si="70"/>
        <v>33</v>
      </c>
      <c r="AJ32" s="1">
        <f t="shared" si="35"/>
        <v>74</v>
      </c>
      <c r="AK32" s="1">
        <f t="shared" si="36"/>
        <v>33</v>
      </c>
      <c r="AL32" s="1">
        <f t="shared" si="37"/>
        <v>80</v>
      </c>
      <c r="AM32" s="1">
        <f t="shared" si="38"/>
        <v>33</v>
      </c>
      <c r="AN32" s="1">
        <f t="shared" si="39"/>
        <v>83</v>
      </c>
      <c r="AO32" s="1">
        <f t="shared" si="40"/>
        <v>33</v>
      </c>
      <c r="AP32" s="1">
        <f t="shared" si="41"/>
        <v>92</v>
      </c>
      <c r="AR32" s="8">
        <f>COUNTIFS(score4pijlen,AP32) </f>
        <v>41</v>
      </c>
    </row>
    <row r="33">
      <c r="A33" s="2">
        <v>33.0</v>
      </c>
      <c r="B33" s="1">
        <f t="shared" si="2"/>
        <v>34</v>
      </c>
      <c r="C33" s="1">
        <f t="shared" si="3"/>
        <v>35</v>
      </c>
      <c r="D33" s="1">
        <f t="shared" si="4"/>
        <v>34</v>
      </c>
      <c r="E33" s="1">
        <f t="shared" si="5"/>
        <v>37</v>
      </c>
      <c r="F33" s="1">
        <f t="shared" si="6"/>
        <v>34</v>
      </c>
      <c r="G33" s="1">
        <f t="shared" si="7"/>
        <v>39</v>
      </c>
      <c r="H33" s="1">
        <f t="shared" si="8"/>
        <v>34</v>
      </c>
      <c r="I33" s="1">
        <f t="shared" si="9"/>
        <v>41</v>
      </c>
      <c r="J33" s="1">
        <f t="shared" si="10"/>
        <v>34</v>
      </c>
      <c r="K33" s="1">
        <f t="shared" si="11"/>
        <v>43</v>
      </c>
      <c r="L33" s="1">
        <f t="shared" si="12"/>
        <v>34</v>
      </c>
      <c r="M33" s="1">
        <f t="shared" si="13"/>
        <v>45</v>
      </c>
      <c r="N33" s="1">
        <f t="shared" si="14"/>
        <v>34</v>
      </c>
      <c r="O33" s="1">
        <f t="shared" si="15"/>
        <v>47</v>
      </c>
      <c r="P33" s="1">
        <f t="shared" si="16"/>
        <v>34</v>
      </c>
      <c r="Q33" s="1">
        <f t="shared" si="17"/>
        <v>49</v>
      </c>
      <c r="R33" s="1">
        <f t="shared" si="18"/>
        <v>34</v>
      </c>
      <c r="S33" s="1">
        <f t="shared" si="19"/>
        <v>51</v>
      </c>
      <c r="T33" s="1">
        <f t="shared" si="20"/>
        <v>34</v>
      </c>
      <c r="U33" s="1">
        <f t="shared" si="21"/>
        <v>53</v>
      </c>
      <c r="V33" s="1">
        <f t="shared" si="22"/>
        <v>34</v>
      </c>
      <c r="W33" s="1">
        <f t="shared" si="23"/>
        <v>55</v>
      </c>
      <c r="X33" s="1">
        <f t="shared" si="24"/>
        <v>34</v>
      </c>
      <c r="Y33" s="1">
        <f t="shared" si="25"/>
        <v>58</v>
      </c>
      <c r="Z33" s="1">
        <f t="shared" si="26"/>
        <v>34</v>
      </c>
      <c r="AA33" s="1">
        <f t="shared" si="27"/>
        <v>61</v>
      </c>
      <c r="AB33" s="1">
        <f t="shared" si="28"/>
        <v>34</v>
      </c>
      <c r="AC33" s="1">
        <f t="shared" si="29"/>
        <v>65</v>
      </c>
      <c r="AD33" s="1">
        <f t="shared" si="30"/>
        <v>34</v>
      </c>
      <c r="AE33" s="1">
        <f t="shared" si="31"/>
        <v>67</v>
      </c>
      <c r="AF33" s="1">
        <f t="shared" si="32"/>
        <v>34</v>
      </c>
      <c r="AG33" s="1">
        <f t="shared" si="33"/>
        <v>71</v>
      </c>
      <c r="AH33" s="1">
        <f t="shared" ref="AH33:AI33" si="71">$B$1+$A33</f>
        <v>34</v>
      </c>
      <c r="AI33" s="1">
        <f t="shared" si="71"/>
        <v>34</v>
      </c>
      <c r="AJ33" s="1">
        <f t="shared" si="35"/>
        <v>75</v>
      </c>
      <c r="AK33" s="1">
        <f t="shared" si="36"/>
        <v>34</v>
      </c>
      <c r="AL33" s="1">
        <f t="shared" si="37"/>
        <v>81</v>
      </c>
      <c r="AM33" s="1">
        <f t="shared" si="38"/>
        <v>34</v>
      </c>
      <c r="AN33" s="1">
        <f t="shared" si="39"/>
        <v>84</v>
      </c>
      <c r="AO33" s="1">
        <f t="shared" si="40"/>
        <v>34</v>
      </c>
      <c r="AP33" s="1">
        <f t="shared" si="41"/>
        <v>93</v>
      </c>
      <c r="AR33" s="8">
        <f>COUNTIFS(score4pijlen,AP33) </f>
        <v>41</v>
      </c>
    </row>
    <row r="34">
      <c r="A34" s="2">
        <v>34.0</v>
      </c>
      <c r="B34" s="1">
        <f t="shared" si="2"/>
        <v>35</v>
      </c>
      <c r="C34" s="1">
        <f t="shared" si="3"/>
        <v>36</v>
      </c>
      <c r="D34" s="1">
        <f t="shared" si="4"/>
        <v>35</v>
      </c>
      <c r="E34" s="1">
        <f t="shared" si="5"/>
        <v>38</v>
      </c>
      <c r="F34" s="1">
        <f t="shared" si="6"/>
        <v>35</v>
      </c>
      <c r="G34" s="1">
        <f t="shared" si="7"/>
        <v>40</v>
      </c>
      <c r="H34" s="1">
        <f t="shared" si="8"/>
        <v>35</v>
      </c>
      <c r="I34" s="1">
        <f t="shared" si="9"/>
        <v>42</v>
      </c>
      <c r="J34" s="1">
        <f t="shared" si="10"/>
        <v>35</v>
      </c>
      <c r="K34" s="1">
        <f t="shared" si="11"/>
        <v>44</v>
      </c>
      <c r="L34" s="1">
        <f t="shared" si="12"/>
        <v>35</v>
      </c>
      <c r="M34" s="1">
        <f t="shared" si="13"/>
        <v>46</v>
      </c>
      <c r="N34" s="1">
        <f t="shared" si="14"/>
        <v>35</v>
      </c>
      <c r="O34" s="1">
        <f t="shared" si="15"/>
        <v>48</v>
      </c>
      <c r="P34" s="1">
        <f t="shared" si="16"/>
        <v>35</v>
      </c>
      <c r="Q34" s="1">
        <f t="shared" si="17"/>
        <v>50</v>
      </c>
      <c r="R34" s="1">
        <f t="shared" si="18"/>
        <v>35</v>
      </c>
      <c r="S34" s="1">
        <f t="shared" si="19"/>
        <v>52</v>
      </c>
      <c r="T34" s="1">
        <f t="shared" si="20"/>
        <v>35</v>
      </c>
      <c r="U34" s="1">
        <f t="shared" si="21"/>
        <v>54</v>
      </c>
      <c r="V34" s="1">
        <f t="shared" si="22"/>
        <v>35</v>
      </c>
      <c r="W34" s="1">
        <f t="shared" si="23"/>
        <v>56</v>
      </c>
      <c r="X34" s="1">
        <f t="shared" si="24"/>
        <v>35</v>
      </c>
      <c r="Y34" s="1">
        <f t="shared" si="25"/>
        <v>59</v>
      </c>
      <c r="Z34" s="1">
        <f t="shared" si="26"/>
        <v>35</v>
      </c>
      <c r="AA34" s="1">
        <f t="shared" si="27"/>
        <v>62</v>
      </c>
      <c r="AB34" s="1">
        <f t="shared" si="28"/>
        <v>35</v>
      </c>
      <c r="AC34" s="1">
        <f t="shared" si="29"/>
        <v>66</v>
      </c>
      <c r="AD34" s="1">
        <f t="shared" si="30"/>
        <v>35</v>
      </c>
      <c r="AE34" s="1">
        <f t="shared" si="31"/>
        <v>68</v>
      </c>
      <c r="AF34" s="1">
        <f t="shared" si="32"/>
        <v>35</v>
      </c>
      <c r="AG34" s="1">
        <f t="shared" si="33"/>
        <v>72</v>
      </c>
      <c r="AH34" s="1">
        <f t="shared" ref="AH34:AI34" si="72">$B$1+$A34</f>
        <v>35</v>
      </c>
      <c r="AI34" s="1">
        <f t="shared" si="72"/>
        <v>35</v>
      </c>
      <c r="AJ34" s="1">
        <f t="shared" si="35"/>
        <v>76</v>
      </c>
      <c r="AK34" s="1">
        <f t="shared" si="36"/>
        <v>35</v>
      </c>
      <c r="AL34" s="1">
        <f t="shared" si="37"/>
        <v>82</v>
      </c>
      <c r="AM34" s="1">
        <f t="shared" si="38"/>
        <v>35</v>
      </c>
      <c r="AN34" s="1">
        <f t="shared" si="39"/>
        <v>85</v>
      </c>
      <c r="AO34" s="1">
        <f t="shared" si="40"/>
        <v>35</v>
      </c>
      <c r="AP34" s="1">
        <f t="shared" si="41"/>
        <v>94</v>
      </c>
      <c r="AR34" s="8">
        <f>COUNTIFS(score4pijlen,AP34) </f>
        <v>41</v>
      </c>
    </row>
    <row r="35">
      <c r="A35" s="2">
        <v>35.0</v>
      </c>
      <c r="B35" s="1">
        <f t="shared" si="2"/>
        <v>36</v>
      </c>
      <c r="C35" s="1">
        <f t="shared" si="3"/>
        <v>37</v>
      </c>
      <c r="D35" s="1">
        <f t="shared" si="4"/>
        <v>36</v>
      </c>
      <c r="E35" s="1">
        <f t="shared" si="5"/>
        <v>39</v>
      </c>
      <c r="F35" s="1">
        <f t="shared" si="6"/>
        <v>36</v>
      </c>
      <c r="G35" s="1">
        <f t="shared" si="7"/>
        <v>41</v>
      </c>
      <c r="H35" s="1">
        <f t="shared" si="8"/>
        <v>36</v>
      </c>
      <c r="I35" s="1">
        <f t="shared" si="9"/>
        <v>43</v>
      </c>
      <c r="J35" s="1">
        <f t="shared" si="10"/>
        <v>36</v>
      </c>
      <c r="K35" s="1">
        <f t="shared" si="11"/>
        <v>45</v>
      </c>
      <c r="L35" s="1">
        <f t="shared" si="12"/>
        <v>36</v>
      </c>
      <c r="M35" s="1">
        <f t="shared" si="13"/>
        <v>47</v>
      </c>
      <c r="N35" s="1">
        <f t="shared" si="14"/>
        <v>36</v>
      </c>
      <c r="O35" s="1">
        <f t="shared" si="15"/>
        <v>49</v>
      </c>
      <c r="P35" s="1">
        <f t="shared" si="16"/>
        <v>36</v>
      </c>
      <c r="Q35" s="1">
        <f t="shared" si="17"/>
        <v>51</v>
      </c>
      <c r="R35" s="1">
        <f t="shared" si="18"/>
        <v>36</v>
      </c>
      <c r="S35" s="1">
        <f t="shared" si="19"/>
        <v>53</v>
      </c>
      <c r="T35" s="1">
        <f t="shared" si="20"/>
        <v>36</v>
      </c>
      <c r="U35" s="1">
        <f t="shared" si="21"/>
        <v>55</v>
      </c>
      <c r="V35" s="1">
        <f t="shared" si="22"/>
        <v>36</v>
      </c>
      <c r="W35" s="1">
        <f t="shared" si="23"/>
        <v>57</v>
      </c>
      <c r="X35" s="1">
        <f t="shared" si="24"/>
        <v>36</v>
      </c>
      <c r="Y35" s="1">
        <f t="shared" si="25"/>
        <v>60</v>
      </c>
      <c r="Z35" s="1">
        <f t="shared" si="26"/>
        <v>36</v>
      </c>
      <c r="AA35" s="1">
        <f t="shared" si="27"/>
        <v>63</v>
      </c>
      <c r="AB35" s="1">
        <f t="shared" si="28"/>
        <v>36</v>
      </c>
      <c r="AC35" s="1">
        <f t="shared" si="29"/>
        <v>67</v>
      </c>
      <c r="AD35" s="1">
        <f t="shared" si="30"/>
        <v>36</v>
      </c>
      <c r="AE35" s="1">
        <f t="shared" si="31"/>
        <v>69</v>
      </c>
      <c r="AF35" s="1">
        <f t="shared" si="32"/>
        <v>36</v>
      </c>
      <c r="AG35" s="1">
        <f t="shared" si="33"/>
        <v>73</v>
      </c>
      <c r="AH35" s="1">
        <f t="shared" ref="AH35:AI35" si="73">$B$1+$A35</f>
        <v>36</v>
      </c>
      <c r="AI35" s="1">
        <f t="shared" si="73"/>
        <v>36</v>
      </c>
      <c r="AJ35" s="1">
        <f t="shared" si="35"/>
        <v>77</v>
      </c>
      <c r="AK35" s="1">
        <f t="shared" si="36"/>
        <v>36</v>
      </c>
      <c r="AL35" s="1">
        <f t="shared" si="37"/>
        <v>83</v>
      </c>
      <c r="AM35" s="1">
        <f t="shared" si="38"/>
        <v>36</v>
      </c>
      <c r="AN35" s="1">
        <f t="shared" si="39"/>
        <v>86</v>
      </c>
      <c r="AO35" s="1">
        <f t="shared" si="40"/>
        <v>36</v>
      </c>
      <c r="AP35" s="1">
        <f t="shared" si="41"/>
        <v>95</v>
      </c>
      <c r="AR35" s="8">
        <f>COUNTIFS(score4pijlen,AP35) </f>
        <v>41</v>
      </c>
    </row>
    <row r="36">
      <c r="A36" s="2">
        <v>36.0</v>
      </c>
      <c r="B36" s="1">
        <f t="shared" si="2"/>
        <v>37</v>
      </c>
      <c r="C36" s="1">
        <f t="shared" si="3"/>
        <v>38</v>
      </c>
      <c r="D36" s="1">
        <f t="shared" si="4"/>
        <v>37</v>
      </c>
      <c r="E36" s="1">
        <f t="shared" si="5"/>
        <v>40</v>
      </c>
      <c r="F36" s="1">
        <f t="shared" si="6"/>
        <v>37</v>
      </c>
      <c r="G36" s="1">
        <f t="shared" si="7"/>
        <v>42</v>
      </c>
      <c r="H36" s="1">
        <f t="shared" si="8"/>
        <v>37</v>
      </c>
      <c r="I36" s="1">
        <f t="shared" si="9"/>
        <v>44</v>
      </c>
      <c r="J36" s="1">
        <f t="shared" si="10"/>
        <v>37</v>
      </c>
      <c r="K36" s="1">
        <f t="shared" si="11"/>
        <v>46</v>
      </c>
      <c r="L36" s="1">
        <f t="shared" si="12"/>
        <v>37</v>
      </c>
      <c r="M36" s="1">
        <f t="shared" si="13"/>
        <v>48</v>
      </c>
      <c r="N36" s="1">
        <f t="shared" si="14"/>
        <v>37</v>
      </c>
      <c r="O36" s="1">
        <f t="shared" si="15"/>
        <v>50</v>
      </c>
      <c r="P36" s="1">
        <f t="shared" si="16"/>
        <v>37</v>
      </c>
      <c r="Q36" s="1">
        <f t="shared" si="17"/>
        <v>52</v>
      </c>
      <c r="R36" s="1">
        <f t="shared" si="18"/>
        <v>37</v>
      </c>
      <c r="S36" s="1">
        <f t="shared" si="19"/>
        <v>54</v>
      </c>
      <c r="T36" s="1">
        <f t="shared" si="20"/>
        <v>37</v>
      </c>
      <c r="U36" s="1">
        <f t="shared" si="21"/>
        <v>56</v>
      </c>
      <c r="V36" s="1">
        <f t="shared" si="22"/>
        <v>37</v>
      </c>
      <c r="W36" s="1">
        <f t="shared" si="23"/>
        <v>58</v>
      </c>
      <c r="X36" s="1">
        <f t="shared" si="24"/>
        <v>37</v>
      </c>
      <c r="Y36" s="1">
        <f t="shared" si="25"/>
        <v>61</v>
      </c>
      <c r="Z36" s="1">
        <f t="shared" si="26"/>
        <v>37</v>
      </c>
      <c r="AA36" s="1">
        <f t="shared" si="27"/>
        <v>64</v>
      </c>
      <c r="AB36" s="1">
        <f t="shared" si="28"/>
        <v>37</v>
      </c>
      <c r="AC36" s="1">
        <f t="shared" si="29"/>
        <v>68</v>
      </c>
      <c r="AD36" s="1">
        <f t="shared" si="30"/>
        <v>37</v>
      </c>
      <c r="AE36" s="1">
        <f t="shared" si="31"/>
        <v>70</v>
      </c>
      <c r="AF36" s="1">
        <f t="shared" si="32"/>
        <v>37</v>
      </c>
      <c r="AG36" s="1">
        <f t="shared" si="33"/>
        <v>74</v>
      </c>
      <c r="AH36" s="1">
        <f t="shared" ref="AH36:AI36" si="74">$B$1+$A36</f>
        <v>37</v>
      </c>
      <c r="AI36" s="1">
        <f t="shared" si="74"/>
        <v>37</v>
      </c>
      <c r="AJ36" s="1">
        <f t="shared" si="35"/>
        <v>78</v>
      </c>
      <c r="AK36" s="1">
        <f t="shared" si="36"/>
        <v>37</v>
      </c>
      <c r="AL36" s="1">
        <f t="shared" si="37"/>
        <v>84</v>
      </c>
      <c r="AM36" s="1">
        <f t="shared" si="38"/>
        <v>37</v>
      </c>
      <c r="AN36" s="1">
        <f t="shared" si="39"/>
        <v>87</v>
      </c>
      <c r="AO36" s="1">
        <f t="shared" si="40"/>
        <v>37</v>
      </c>
      <c r="AP36" s="1">
        <f t="shared" si="41"/>
        <v>96</v>
      </c>
      <c r="AR36" s="8">
        <f>COUNTIFS(score4pijlen,AP36) </f>
        <v>41</v>
      </c>
    </row>
    <row r="37">
      <c r="A37" s="2">
        <v>37.0</v>
      </c>
      <c r="B37" s="1">
        <f t="shared" si="2"/>
        <v>38</v>
      </c>
      <c r="C37" s="1">
        <f t="shared" si="3"/>
        <v>39</v>
      </c>
      <c r="D37" s="1">
        <f t="shared" si="4"/>
        <v>38</v>
      </c>
      <c r="E37" s="1">
        <f t="shared" si="5"/>
        <v>41</v>
      </c>
      <c r="F37" s="1">
        <f t="shared" si="6"/>
        <v>38</v>
      </c>
      <c r="G37" s="1">
        <f t="shared" si="7"/>
        <v>43</v>
      </c>
      <c r="H37" s="1">
        <f t="shared" si="8"/>
        <v>38</v>
      </c>
      <c r="I37" s="1">
        <f t="shared" si="9"/>
        <v>45</v>
      </c>
      <c r="J37" s="1">
        <f t="shared" si="10"/>
        <v>38</v>
      </c>
      <c r="K37" s="1">
        <f t="shared" si="11"/>
        <v>47</v>
      </c>
      <c r="L37" s="1">
        <f t="shared" si="12"/>
        <v>38</v>
      </c>
      <c r="M37" s="1">
        <f t="shared" si="13"/>
        <v>49</v>
      </c>
      <c r="N37" s="1">
        <f t="shared" si="14"/>
        <v>38</v>
      </c>
      <c r="O37" s="1">
        <f t="shared" si="15"/>
        <v>51</v>
      </c>
      <c r="P37" s="1">
        <f t="shared" si="16"/>
        <v>38</v>
      </c>
      <c r="Q37" s="1">
        <f t="shared" si="17"/>
        <v>53</v>
      </c>
      <c r="R37" s="1">
        <f t="shared" si="18"/>
        <v>38</v>
      </c>
      <c r="S37" s="1">
        <f t="shared" si="19"/>
        <v>55</v>
      </c>
      <c r="T37" s="1">
        <f t="shared" si="20"/>
        <v>38</v>
      </c>
      <c r="U37" s="1">
        <f t="shared" si="21"/>
        <v>57</v>
      </c>
      <c r="V37" s="1">
        <f t="shared" si="22"/>
        <v>38</v>
      </c>
      <c r="W37" s="1">
        <f t="shared" si="23"/>
        <v>59</v>
      </c>
      <c r="X37" s="1">
        <f t="shared" si="24"/>
        <v>38</v>
      </c>
      <c r="Y37" s="1">
        <f t="shared" si="25"/>
        <v>62</v>
      </c>
      <c r="Z37" s="1">
        <f t="shared" si="26"/>
        <v>38</v>
      </c>
      <c r="AA37" s="1">
        <f t="shared" si="27"/>
        <v>65</v>
      </c>
      <c r="AB37" s="1">
        <f t="shared" si="28"/>
        <v>38</v>
      </c>
      <c r="AC37" s="1">
        <f t="shared" si="29"/>
        <v>69</v>
      </c>
      <c r="AD37" s="1">
        <f t="shared" si="30"/>
        <v>38</v>
      </c>
      <c r="AE37" s="1">
        <f t="shared" si="31"/>
        <v>71</v>
      </c>
      <c r="AF37" s="1">
        <f t="shared" si="32"/>
        <v>38</v>
      </c>
      <c r="AG37" s="1">
        <f t="shared" si="33"/>
        <v>75</v>
      </c>
      <c r="AH37" s="1">
        <f t="shared" ref="AH37:AI37" si="75">$B$1+$A37</f>
        <v>38</v>
      </c>
      <c r="AI37" s="1">
        <f t="shared" si="75"/>
        <v>38</v>
      </c>
      <c r="AJ37" s="1">
        <f t="shared" si="35"/>
        <v>79</v>
      </c>
      <c r="AK37" s="1">
        <f t="shared" si="36"/>
        <v>38</v>
      </c>
      <c r="AL37" s="1">
        <f t="shared" si="37"/>
        <v>85</v>
      </c>
      <c r="AM37" s="1">
        <f t="shared" si="38"/>
        <v>38</v>
      </c>
      <c r="AN37" s="1">
        <f t="shared" si="39"/>
        <v>88</v>
      </c>
      <c r="AO37" s="1">
        <f t="shared" si="40"/>
        <v>38</v>
      </c>
      <c r="AP37" s="1">
        <f t="shared" si="41"/>
        <v>97</v>
      </c>
      <c r="AR37" s="8">
        <f>COUNTIFS(score4pijlen,AP37) </f>
        <v>41</v>
      </c>
    </row>
    <row r="38">
      <c r="A38" s="2">
        <v>38.0</v>
      </c>
      <c r="B38" s="1">
        <f t="shared" si="2"/>
        <v>39</v>
      </c>
      <c r="C38" s="1">
        <f t="shared" si="3"/>
        <v>40</v>
      </c>
      <c r="D38" s="1">
        <f t="shared" si="4"/>
        <v>39</v>
      </c>
      <c r="E38" s="1">
        <f t="shared" si="5"/>
        <v>42</v>
      </c>
      <c r="F38" s="1">
        <f t="shared" si="6"/>
        <v>39</v>
      </c>
      <c r="G38" s="1">
        <f t="shared" si="7"/>
        <v>44</v>
      </c>
      <c r="H38" s="1">
        <f t="shared" si="8"/>
        <v>39</v>
      </c>
      <c r="I38" s="1">
        <f t="shared" si="9"/>
        <v>46</v>
      </c>
      <c r="J38" s="1">
        <f t="shared" si="10"/>
        <v>39</v>
      </c>
      <c r="K38" s="1">
        <f t="shared" si="11"/>
        <v>48</v>
      </c>
      <c r="L38" s="1">
        <f t="shared" si="12"/>
        <v>39</v>
      </c>
      <c r="M38" s="1">
        <f t="shared" si="13"/>
        <v>50</v>
      </c>
      <c r="N38" s="1">
        <f t="shared" si="14"/>
        <v>39</v>
      </c>
      <c r="O38" s="1">
        <f t="shared" si="15"/>
        <v>52</v>
      </c>
      <c r="P38" s="1">
        <f t="shared" si="16"/>
        <v>39</v>
      </c>
      <c r="Q38" s="1">
        <f t="shared" si="17"/>
        <v>54</v>
      </c>
      <c r="R38" s="1">
        <f t="shared" si="18"/>
        <v>39</v>
      </c>
      <c r="S38" s="1">
        <f t="shared" si="19"/>
        <v>56</v>
      </c>
      <c r="T38" s="1">
        <f t="shared" si="20"/>
        <v>39</v>
      </c>
      <c r="U38" s="1">
        <f t="shared" si="21"/>
        <v>58</v>
      </c>
      <c r="V38" s="1">
        <f t="shared" si="22"/>
        <v>39</v>
      </c>
      <c r="W38" s="1">
        <f t="shared" si="23"/>
        <v>60</v>
      </c>
      <c r="X38" s="1">
        <f t="shared" si="24"/>
        <v>39</v>
      </c>
      <c r="Y38" s="1">
        <f t="shared" si="25"/>
        <v>63</v>
      </c>
      <c r="Z38" s="1">
        <f t="shared" si="26"/>
        <v>39</v>
      </c>
      <c r="AA38" s="1">
        <f t="shared" si="27"/>
        <v>66</v>
      </c>
      <c r="AB38" s="1">
        <f t="shared" si="28"/>
        <v>39</v>
      </c>
      <c r="AC38" s="1">
        <f t="shared" si="29"/>
        <v>70</v>
      </c>
      <c r="AD38" s="1">
        <f t="shared" si="30"/>
        <v>39</v>
      </c>
      <c r="AE38" s="1">
        <f t="shared" si="31"/>
        <v>72</v>
      </c>
      <c r="AF38" s="1">
        <f t="shared" si="32"/>
        <v>39</v>
      </c>
      <c r="AG38" s="1">
        <f t="shared" si="33"/>
        <v>76</v>
      </c>
      <c r="AH38" s="1">
        <f t="shared" ref="AH38:AI38" si="76">$B$1+$A38</f>
        <v>39</v>
      </c>
      <c r="AI38" s="1">
        <f t="shared" si="76"/>
        <v>39</v>
      </c>
      <c r="AJ38" s="1">
        <f t="shared" si="35"/>
        <v>80</v>
      </c>
      <c r="AK38" s="1">
        <f t="shared" si="36"/>
        <v>39</v>
      </c>
      <c r="AL38" s="1">
        <f t="shared" si="37"/>
        <v>86</v>
      </c>
      <c r="AM38" s="1">
        <f t="shared" si="38"/>
        <v>39</v>
      </c>
      <c r="AN38" s="1">
        <f t="shared" si="39"/>
        <v>89</v>
      </c>
      <c r="AO38" s="1">
        <f t="shared" si="40"/>
        <v>39</v>
      </c>
      <c r="AP38" s="1">
        <f t="shared" si="41"/>
        <v>98</v>
      </c>
      <c r="AR38" s="8">
        <f>COUNTIFS(score4pijlen,AP38) </f>
        <v>41</v>
      </c>
    </row>
    <row r="39">
      <c r="A39" s="2">
        <v>39.0</v>
      </c>
      <c r="B39" s="1">
        <f t="shared" si="2"/>
        <v>40</v>
      </c>
      <c r="C39" s="1">
        <f t="shared" si="3"/>
        <v>41</v>
      </c>
      <c r="D39" s="1">
        <f t="shared" si="4"/>
        <v>40</v>
      </c>
      <c r="E39" s="1">
        <f t="shared" si="5"/>
        <v>43</v>
      </c>
      <c r="F39" s="1">
        <f t="shared" si="6"/>
        <v>40</v>
      </c>
      <c r="G39" s="1">
        <f t="shared" si="7"/>
        <v>45</v>
      </c>
      <c r="H39" s="1">
        <f t="shared" si="8"/>
        <v>40</v>
      </c>
      <c r="I39" s="1">
        <f t="shared" si="9"/>
        <v>47</v>
      </c>
      <c r="J39" s="1">
        <f t="shared" si="10"/>
        <v>40</v>
      </c>
      <c r="K39" s="1">
        <f t="shared" si="11"/>
        <v>49</v>
      </c>
      <c r="L39" s="1">
        <f t="shared" si="12"/>
        <v>40</v>
      </c>
      <c r="M39" s="1">
        <f t="shared" si="13"/>
        <v>51</v>
      </c>
      <c r="N39" s="1">
        <f t="shared" si="14"/>
        <v>40</v>
      </c>
      <c r="O39" s="1">
        <f t="shared" si="15"/>
        <v>53</v>
      </c>
      <c r="P39" s="1">
        <f t="shared" si="16"/>
        <v>40</v>
      </c>
      <c r="Q39" s="1">
        <f t="shared" si="17"/>
        <v>55</v>
      </c>
      <c r="R39" s="1">
        <f t="shared" si="18"/>
        <v>40</v>
      </c>
      <c r="S39" s="1">
        <f t="shared" si="19"/>
        <v>57</v>
      </c>
      <c r="T39" s="1">
        <f t="shared" si="20"/>
        <v>40</v>
      </c>
      <c r="U39" s="1">
        <f t="shared" si="21"/>
        <v>59</v>
      </c>
      <c r="V39" s="1">
        <f t="shared" si="22"/>
        <v>40</v>
      </c>
      <c r="W39" s="1">
        <f t="shared" si="23"/>
        <v>61</v>
      </c>
      <c r="X39" s="1">
        <f t="shared" si="24"/>
        <v>40</v>
      </c>
      <c r="Y39" s="1">
        <f t="shared" si="25"/>
        <v>64</v>
      </c>
      <c r="Z39" s="1">
        <f t="shared" si="26"/>
        <v>40</v>
      </c>
      <c r="AA39" s="1">
        <f t="shared" si="27"/>
        <v>67</v>
      </c>
      <c r="AB39" s="1">
        <f t="shared" si="28"/>
        <v>40</v>
      </c>
      <c r="AC39" s="1">
        <f t="shared" si="29"/>
        <v>71</v>
      </c>
      <c r="AD39" s="1">
        <f t="shared" si="30"/>
        <v>40</v>
      </c>
      <c r="AE39" s="1">
        <f t="shared" si="31"/>
        <v>73</v>
      </c>
      <c r="AF39" s="1">
        <f t="shared" si="32"/>
        <v>40</v>
      </c>
      <c r="AG39" s="1">
        <f t="shared" si="33"/>
        <v>77</v>
      </c>
      <c r="AH39" s="1">
        <f t="shared" ref="AH39:AI39" si="77">$B$1+$A39</f>
        <v>40</v>
      </c>
      <c r="AI39" s="1">
        <f t="shared" si="77"/>
        <v>40</v>
      </c>
      <c r="AJ39" s="1">
        <f t="shared" si="35"/>
        <v>81</v>
      </c>
      <c r="AK39" s="1">
        <f t="shared" si="36"/>
        <v>40</v>
      </c>
      <c r="AL39" s="1">
        <f t="shared" si="37"/>
        <v>87</v>
      </c>
      <c r="AM39" s="1">
        <f t="shared" si="38"/>
        <v>40</v>
      </c>
      <c r="AN39" s="1">
        <f t="shared" si="39"/>
        <v>90</v>
      </c>
      <c r="AO39" s="1">
        <f t="shared" si="40"/>
        <v>40</v>
      </c>
      <c r="AP39" s="1">
        <f t="shared" si="41"/>
        <v>99</v>
      </c>
      <c r="AR39" s="8">
        <f>COUNTIFS(score4pijlen,AP39) </f>
        <v>41</v>
      </c>
    </row>
    <row r="40">
      <c r="A40" s="2">
        <v>40.0</v>
      </c>
      <c r="B40" s="1">
        <f t="shared" si="2"/>
        <v>41</v>
      </c>
      <c r="C40" s="1">
        <f t="shared" si="3"/>
        <v>42</v>
      </c>
      <c r="D40" s="1">
        <f t="shared" si="4"/>
        <v>41</v>
      </c>
      <c r="E40" s="1">
        <f t="shared" si="5"/>
        <v>44</v>
      </c>
      <c r="F40" s="1">
        <f t="shared" si="6"/>
        <v>41</v>
      </c>
      <c r="G40" s="1">
        <f t="shared" si="7"/>
        <v>46</v>
      </c>
      <c r="H40" s="1">
        <f t="shared" si="8"/>
        <v>41</v>
      </c>
      <c r="I40" s="1">
        <f t="shared" si="9"/>
        <v>48</v>
      </c>
      <c r="J40" s="1">
        <f t="shared" si="10"/>
        <v>41</v>
      </c>
      <c r="K40" s="1">
        <f t="shared" si="11"/>
        <v>50</v>
      </c>
      <c r="L40" s="1">
        <f t="shared" si="12"/>
        <v>41</v>
      </c>
      <c r="M40" s="1">
        <f t="shared" si="13"/>
        <v>52</v>
      </c>
      <c r="N40" s="1">
        <f t="shared" si="14"/>
        <v>41</v>
      </c>
      <c r="O40" s="1">
        <f t="shared" si="15"/>
        <v>54</v>
      </c>
      <c r="P40" s="1">
        <f t="shared" si="16"/>
        <v>41</v>
      </c>
      <c r="Q40" s="1">
        <f t="shared" si="17"/>
        <v>56</v>
      </c>
      <c r="R40" s="1">
        <f t="shared" si="18"/>
        <v>41</v>
      </c>
      <c r="S40" s="1">
        <f t="shared" si="19"/>
        <v>58</v>
      </c>
      <c r="T40" s="1">
        <f t="shared" si="20"/>
        <v>41</v>
      </c>
      <c r="U40" s="1">
        <f t="shared" si="21"/>
        <v>60</v>
      </c>
      <c r="V40" s="1">
        <f t="shared" si="22"/>
        <v>41</v>
      </c>
      <c r="W40" s="1">
        <f t="shared" si="23"/>
        <v>62</v>
      </c>
      <c r="X40" s="1">
        <f t="shared" si="24"/>
        <v>41</v>
      </c>
      <c r="Y40" s="1">
        <f t="shared" si="25"/>
        <v>65</v>
      </c>
      <c r="Z40" s="1">
        <f t="shared" si="26"/>
        <v>41</v>
      </c>
      <c r="AA40" s="1">
        <f t="shared" si="27"/>
        <v>68</v>
      </c>
      <c r="AB40" s="1">
        <f t="shared" si="28"/>
        <v>41</v>
      </c>
      <c r="AC40" s="1">
        <f t="shared" si="29"/>
        <v>72</v>
      </c>
      <c r="AD40" s="1">
        <f t="shared" si="30"/>
        <v>41</v>
      </c>
      <c r="AE40" s="1">
        <f t="shared" si="31"/>
        <v>74</v>
      </c>
      <c r="AF40" s="1">
        <f t="shared" si="32"/>
        <v>41</v>
      </c>
      <c r="AG40" s="1">
        <f t="shared" si="33"/>
        <v>78</v>
      </c>
      <c r="AH40" s="1">
        <f t="shared" ref="AH40:AI40" si="78">$B$1+$A40</f>
        <v>41</v>
      </c>
      <c r="AI40" s="1">
        <f t="shared" si="78"/>
        <v>41</v>
      </c>
      <c r="AJ40" s="1">
        <f t="shared" si="35"/>
        <v>82</v>
      </c>
      <c r="AK40" s="1">
        <f t="shared" si="36"/>
        <v>41</v>
      </c>
      <c r="AL40" s="1">
        <f t="shared" si="37"/>
        <v>88</v>
      </c>
      <c r="AM40" s="1">
        <f t="shared" si="38"/>
        <v>41</v>
      </c>
      <c r="AN40" s="1">
        <f t="shared" si="39"/>
        <v>91</v>
      </c>
      <c r="AO40" s="1">
        <f t="shared" si="40"/>
        <v>41</v>
      </c>
      <c r="AP40" s="1">
        <f t="shared" si="41"/>
        <v>100</v>
      </c>
      <c r="AR40" s="8">
        <f>COUNTIFS(score4pijlen,AP40) </f>
        <v>41</v>
      </c>
    </row>
    <row r="41">
      <c r="A41" s="2">
        <v>41.0</v>
      </c>
      <c r="B41" s="1">
        <f t="shared" si="2"/>
        <v>42</v>
      </c>
      <c r="C41" s="1">
        <f t="shared" si="3"/>
        <v>43</v>
      </c>
      <c r="D41" s="1">
        <f t="shared" si="4"/>
        <v>42</v>
      </c>
      <c r="E41" s="1">
        <f t="shared" si="5"/>
        <v>45</v>
      </c>
      <c r="F41" s="1">
        <f t="shared" si="6"/>
        <v>42</v>
      </c>
      <c r="G41" s="1">
        <f t="shared" si="7"/>
        <v>47</v>
      </c>
      <c r="H41" s="1">
        <f t="shared" si="8"/>
        <v>42</v>
      </c>
      <c r="I41" s="1">
        <f t="shared" si="9"/>
        <v>49</v>
      </c>
      <c r="J41" s="1">
        <f t="shared" si="10"/>
        <v>42</v>
      </c>
      <c r="K41" s="1">
        <f t="shared" si="11"/>
        <v>51</v>
      </c>
      <c r="L41" s="1">
        <f t="shared" si="12"/>
        <v>42</v>
      </c>
      <c r="M41" s="1">
        <f t="shared" si="13"/>
        <v>53</v>
      </c>
      <c r="N41" s="1">
        <f t="shared" si="14"/>
        <v>42</v>
      </c>
      <c r="O41" s="1">
        <f t="shared" si="15"/>
        <v>55</v>
      </c>
      <c r="P41" s="1">
        <f t="shared" si="16"/>
        <v>42</v>
      </c>
      <c r="Q41" s="1">
        <f t="shared" si="17"/>
        <v>57</v>
      </c>
      <c r="R41" s="1">
        <f t="shared" si="18"/>
        <v>42</v>
      </c>
      <c r="S41" s="1">
        <f t="shared" si="19"/>
        <v>59</v>
      </c>
      <c r="T41" s="1">
        <f t="shared" si="20"/>
        <v>42</v>
      </c>
      <c r="U41" s="1">
        <f t="shared" si="21"/>
        <v>61</v>
      </c>
      <c r="V41" s="1">
        <f t="shared" si="22"/>
        <v>42</v>
      </c>
      <c r="W41" s="1">
        <f t="shared" si="23"/>
        <v>63</v>
      </c>
      <c r="X41" s="1">
        <f t="shared" si="24"/>
        <v>42</v>
      </c>
      <c r="Y41" s="1">
        <f t="shared" si="25"/>
        <v>66</v>
      </c>
      <c r="Z41" s="1">
        <f t="shared" si="26"/>
        <v>42</v>
      </c>
      <c r="AA41" s="1">
        <f t="shared" si="27"/>
        <v>69</v>
      </c>
      <c r="AB41" s="1">
        <f t="shared" si="28"/>
        <v>42</v>
      </c>
      <c r="AC41" s="1">
        <f t="shared" si="29"/>
        <v>73</v>
      </c>
      <c r="AD41" s="1">
        <f t="shared" si="30"/>
        <v>42</v>
      </c>
      <c r="AE41" s="1">
        <f t="shared" si="31"/>
        <v>75</v>
      </c>
      <c r="AF41" s="1">
        <f t="shared" si="32"/>
        <v>42</v>
      </c>
      <c r="AG41" s="1">
        <f t="shared" si="33"/>
        <v>79</v>
      </c>
      <c r="AH41" s="1">
        <f t="shared" ref="AH41:AI41" si="79">$B$1+$A41</f>
        <v>42</v>
      </c>
      <c r="AI41" s="1">
        <f t="shared" si="79"/>
        <v>42</v>
      </c>
      <c r="AJ41" s="1">
        <f t="shared" si="35"/>
        <v>83</v>
      </c>
      <c r="AK41" s="1">
        <f t="shared" si="36"/>
        <v>42</v>
      </c>
      <c r="AL41" s="1">
        <f t="shared" si="37"/>
        <v>89</v>
      </c>
      <c r="AM41" s="1">
        <f t="shared" si="38"/>
        <v>42</v>
      </c>
      <c r="AN41" s="1">
        <f t="shared" si="39"/>
        <v>92</v>
      </c>
      <c r="AO41" s="1">
        <f t="shared" si="40"/>
        <v>42</v>
      </c>
      <c r="AP41" s="1">
        <f t="shared" si="41"/>
        <v>101</v>
      </c>
      <c r="AR41" s="8">
        <f>COUNTIFS(score4pijlen,AP41) </f>
        <v>41</v>
      </c>
    </row>
    <row r="42">
      <c r="A42" s="2">
        <v>42.0</v>
      </c>
      <c r="B42" s="1">
        <f t="shared" si="2"/>
        <v>43</v>
      </c>
      <c r="C42" s="1">
        <f t="shared" si="3"/>
        <v>44</v>
      </c>
      <c r="D42" s="1">
        <f t="shared" si="4"/>
        <v>43</v>
      </c>
      <c r="E42" s="1">
        <f t="shared" si="5"/>
        <v>46</v>
      </c>
      <c r="F42" s="1">
        <f t="shared" si="6"/>
        <v>43</v>
      </c>
      <c r="G42" s="1">
        <f t="shared" si="7"/>
        <v>48</v>
      </c>
      <c r="H42" s="1">
        <f t="shared" si="8"/>
        <v>43</v>
      </c>
      <c r="I42" s="1">
        <f t="shared" si="9"/>
        <v>50</v>
      </c>
      <c r="J42" s="1">
        <f t="shared" si="10"/>
        <v>43</v>
      </c>
      <c r="K42" s="1">
        <f t="shared" si="11"/>
        <v>52</v>
      </c>
      <c r="L42" s="1">
        <f t="shared" si="12"/>
        <v>43</v>
      </c>
      <c r="M42" s="1">
        <f t="shared" si="13"/>
        <v>54</v>
      </c>
      <c r="N42" s="1">
        <f t="shared" si="14"/>
        <v>43</v>
      </c>
      <c r="O42" s="1">
        <f t="shared" si="15"/>
        <v>56</v>
      </c>
      <c r="P42" s="1">
        <f t="shared" si="16"/>
        <v>43</v>
      </c>
      <c r="Q42" s="1">
        <f t="shared" si="17"/>
        <v>58</v>
      </c>
      <c r="R42" s="1">
        <f t="shared" si="18"/>
        <v>43</v>
      </c>
      <c r="S42" s="1">
        <f t="shared" si="19"/>
        <v>60</v>
      </c>
      <c r="T42" s="1">
        <f t="shared" si="20"/>
        <v>43</v>
      </c>
      <c r="U42" s="1">
        <f t="shared" si="21"/>
        <v>62</v>
      </c>
      <c r="V42" s="1">
        <f t="shared" si="22"/>
        <v>43</v>
      </c>
      <c r="W42" s="1">
        <f t="shared" si="23"/>
        <v>64</v>
      </c>
      <c r="X42" s="1">
        <f t="shared" si="24"/>
        <v>43</v>
      </c>
      <c r="Y42" s="1">
        <f t="shared" si="25"/>
        <v>67</v>
      </c>
      <c r="Z42" s="1">
        <f t="shared" si="26"/>
        <v>43</v>
      </c>
      <c r="AA42" s="1">
        <f t="shared" si="27"/>
        <v>70</v>
      </c>
      <c r="AB42" s="1">
        <f t="shared" si="28"/>
        <v>43</v>
      </c>
      <c r="AC42" s="1">
        <f t="shared" si="29"/>
        <v>74</v>
      </c>
      <c r="AD42" s="1">
        <f t="shared" si="30"/>
        <v>43</v>
      </c>
      <c r="AE42" s="1">
        <f t="shared" si="31"/>
        <v>76</v>
      </c>
      <c r="AF42" s="1">
        <f t="shared" si="32"/>
        <v>43</v>
      </c>
      <c r="AG42" s="1">
        <f t="shared" si="33"/>
        <v>80</v>
      </c>
      <c r="AH42" s="1">
        <f t="shared" ref="AH42:AI42" si="80">$B$1+$A42</f>
        <v>43</v>
      </c>
      <c r="AI42" s="1">
        <f t="shared" si="80"/>
        <v>43</v>
      </c>
      <c r="AJ42" s="1">
        <f t="shared" si="35"/>
        <v>84</v>
      </c>
      <c r="AK42" s="1">
        <f t="shared" si="36"/>
        <v>43</v>
      </c>
      <c r="AL42" s="1">
        <f t="shared" si="37"/>
        <v>90</v>
      </c>
      <c r="AM42" s="1">
        <f t="shared" si="38"/>
        <v>43</v>
      </c>
      <c r="AN42" s="1">
        <f t="shared" si="39"/>
        <v>93</v>
      </c>
      <c r="AO42" s="1">
        <f t="shared" si="40"/>
        <v>43</v>
      </c>
      <c r="AP42" s="1">
        <f t="shared" si="41"/>
        <v>102</v>
      </c>
      <c r="AR42" s="8">
        <f>COUNTIFS(score4pijlen,AP42) </f>
        <v>41</v>
      </c>
    </row>
    <row r="43">
      <c r="A43" s="2">
        <v>43.0</v>
      </c>
      <c r="B43" s="1">
        <f t="shared" si="2"/>
        <v>44</v>
      </c>
      <c r="C43" s="1">
        <f t="shared" si="3"/>
        <v>45</v>
      </c>
      <c r="D43" s="1">
        <f t="shared" si="4"/>
        <v>44</v>
      </c>
      <c r="E43" s="1">
        <f t="shared" si="5"/>
        <v>47</v>
      </c>
      <c r="F43" s="1">
        <f t="shared" si="6"/>
        <v>44</v>
      </c>
      <c r="G43" s="1">
        <f t="shared" si="7"/>
        <v>49</v>
      </c>
      <c r="H43" s="1">
        <f t="shared" si="8"/>
        <v>44</v>
      </c>
      <c r="I43" s="1">
        <f t="shared" si="9"/>
        <v>51</v>
      </c>
      <c r="J43" s="1">
        <f t="shared" si="10"/>
        <v>44</v>
      </c>
      <c r="K43" s="1">
        <f t="shared" si="11"/>
        <v>53</v>
      </c>
      <c r="L43" s="1">
        <f t="shared" si="12"/>
        <v>44</v>
      </c>
      <c r="M43" s="1">
        <f t="shared" si="13"/>
        <v>55</v>
      </c>
      <c r="N43" s="1">
        <f t="shared" si="14"/>
        <v>44</v>
      </c>
      <c r="O43" s="1">
        <f t="shared" si="15"/>
        <v>57</v>
      </c>
      <c r="P43" s="1">
        <f t="shared" si="16"/>
        <v>44</v>
      </c>
      <c r="Q43" s="1">
        <f t="shared" si="17"/>
        <v>59</v>
      </c>
      <c r="R43" s="1">
        <f t="shared" si="18"/>
        <v>44</v>
      </c>
      <c r="S43" s="1">
        <f t="shared" si="19"/>
        <v>61</v>
      </c>
      <c r="T43" s="1">
        <f t="shared" si="20"/>
        <v>44</v>
      </c>
      <c r="U43" s="1">
        <f t="shared" si="21"/>
        <v>63</v>
      </c>
      <c r="V43" s="1">
        <f t="shared" si="22"/>
        <v>44</v>
      </c>
      <c r="W43" s="1">
        <f t="shared" si="23"/>
        <v>65</v>
      </c>
      <c r="X43" s="1">
        <f t="shared" si="24"/>
        <v>44</v>
      </c>
      <c r="Y43" s="1">
        <f t="shared" si="25"/>
        <v>68</v>
      </c>
      <c r="Z43" s="1">
        <f t="shared" si="26"/>
        <v>44</v>
      </c>
      <c r="AA43" s="1">
        <f t="shared" si="27"/>
        <v>71</v>
      </c>
      <c r="AB43" s="1">
        <f t="shared" si="28"/>
        <v>44</v>
      </c>
      <c r="AC43" s="1">
        <f t="shared" si="29"/>
        <v>75</v>
      </c>
      <c r="AD43" s="1">
        <f t="shared" si="30"/>
        <v>44</v>
      </c>
      <c r="AE43" s="1">
        <f t="shared" si="31"/>
        <v>77</v>
      </c>
      <c r="AF43" s="1">
        <f t="shared" si="32"/>
        <v>44</v>
      </c>
      <c r="AG43" s="1">
        <f t="shared" si="33"/>
        <v>81</v>
      </c>
      <c r="AH43" s="1">
        <f t="shared" ref="AH43:AI43" si="81">$B$1+$A43</f>
        <v>44</v>
      </c>
      <c r="AI43" s="1">
        <f t="shared" si="81"/>
        <v>44</v>
      </c>
      <c r="AJ43" s="1">
        <f t="shared" si="35"/>
        <v>85</v>
      </c>
      <c r="AK43" s="1">
        <f t="shared" si="36"/>
        <v>44</v>
      </c>
      <c r="AL43" s="1">
        <f t="shared" si="37"/>
        <v>91</v>
      </c>
      <c r="AM43" s="1">
        <f t="shared" si="38"/>
        <v>44</v>
      </c>
      <c r="AN43" s="1">
        <f t="shared" si="39"/>
        <v>94</v>
      </c>
      <c r="AO43" s="1">
        <f t="shared" si="40"/>
        <v>44</v>
      </c>
      <c r="AP43" s="1">
        <f t="shared" si="41"/>
        <v>103</v>
      </c>
      <c r="AR43" s="8">
        <f>COUNTIFS(score4pijlen,AP43) </f>
        <v>41</v>
      </c>
    </row>
    <row r="44">
      <c r="A44" s="2">
        <v>44.0</v>
      </c>
      <c r="B44" s="1">
        <f t="shared" si="2"/>
        <v>45</v>
      </c>
      <c r="C44" s="1">
        <f t="shared" si="3"/>
        <v>46</v>
      </c>
      <c r="D44" s="1">
        <f t="shared" si="4"/>
        <v>45</v>
      </c>
      <c r="E44" s="1">
        <f t="shared" si="5"/>
        <v>48</v>
      </c>
      <c r="F44" s="1">
        <f t="shared" si="6"/>
        <v>45</v>
      </c>
      <c r="G44" s="1">
        <f t="shared" si="7"/>
        <v>50</v>
      </c>
      <c r="H44" s="1">
        <f t="shared" si="8"/>
        <v>45</v>
      </c>
      <c r="I44" s="1">
        <f t="shared" si="9"/>
        <v>52</v>
      </c>
      <c r="J44" s="1">
        <f t="shared" si="10"/>
        <v>45</v>
      </c>
      <c r="K44" s="1">
        <f t="shared" si="11"/>
        <v>54</v>
      </c>
      <c r="L44" s="1">
        <f t="shared" si="12"/>
        <v>45</v>
      </c>
      <c r="M44" s="1">
        <f t="shared" si="13"/>
        <v>56</v>
      </c>
      <c r="N44" s="1">
        <f t="shared" si="14"/>
        <v>45</v>
      </c>
      <c r="O44" s="1">
        <f t="shared" si="15"/>
        <v>58</v>
      </c>
      <c r="P44" s="1">
        <f t="shared" si="16"/>
        <v>45</v>
      </c>
      <c r="Q44" s="1">
        <f t="shared" si="17"/>
        <v>60</v>
      </c>
      <c r="R44" s="1">
        <f t="shared" si="18"/>
        <v>45</v>
      </c>
      <c r="S44" s="1">
        <f t="shared" si="19"/>
        <v>62</v>
      </c>
      <c r="T44" s="1">
        <f t="shared" si="20"/>
        <v>45</v>
      </c>
      <c r="U44" s="1">
        <f t="shared" si="21"/>
        <v>64</v>
      </c>
      <c r="V44" s="1">
        <f t="shared" si="22"/>
        <v>45</v>
      </c>
      <c r="W44" s="1">
        <f t="shared" si="23"/>
        <v>66</v>
      </c>
      <c r="X44" s="1">
        <f t="shared" si="24"/>
        <v>45</v>
      </c>
      <c r="Y44" s="1">
        <f t="shared" si="25"/>
        <v>69</v>
      </c>
      <c r="Z44" s="1">
        <f t="shared" si="26"/>
        <v>45</v>
      </c>
      <c r="AA44" s="1">
        <f t="shared" si="27"/>
        <v>72</v>
      </c>
      <c r="AB44" s="1">
        <f t="shared" si="28"/>
        <v>45</v>
      </c>
      <c r="AC44" s="1">
        <f t="shared" si="29"/>
        <v>76</v>
      </c>
      <c r="AD44" s="1">
        <f t="shared" si="30"/>
        <v>45</v>
      </c>
      <c r="AE44" s="1">
        <f t="shared" si="31"/>
        <v>78</v>
      </c>
      <c r="AF44" s="1">
        <f t="shared" si="32"/>
        <v>45</v>
      </c>
      <c r="AG44" s="1">
        <f t="shared" si="33"/>
        <v>82</v>
      </c>
      <c r="AH44" s="1">
        <f t="shared" ref="AH44:AI44" si="82">$B$1+$A44</f>
        <v>45</v>
      </c>
      <c r="AI44" s="1">
        <f t="shared" si="82"/>
        <v>45</v>
      </c>
      <c r="AJ44" s="1">
        <f t="shared" si="35"/>
        <v>86</v>
      </c>
      <c r="AK44" s="1">
        <f t="shared" si="36"/>
        <v>45</v>
      </c>
      <c r="AL44" s="1">
        <f t="shared" si="37"/>
        <v>92</v>
      </c>
      <c r="AM44" s="1">
        <f t="shared" si="38"/>
        <v>45</v>
      </c>
      <c r="AN44" s="1">
        <f t="shared" si="39"/>
        <v>95</v>
      </c>
      <c r="AO44" s="1">
        <f t="shared" si="40"/>
        <v>45</v>
      </c>
      <c r="AP44" s="1">
        <f t="shared" si="41"/>
        <v>104</v>
      </c>
      <c r="AR44" s="8">
        <f>COUNTIFS(score4pijlen,AP44) </f>
        <v>41</v>
      </c>
    </row>
    <row r="45">
      <c r="A45" s="2">
        <v>45.0</v>
      </c>
      <c r="B45" s="1">
        <f t="shared" si="2"/>
        <v>46</v>
      </c>
      <c r="C45" s="1">
        <f t="shared" si="3"/>
        <v>47</v>
      </c>
      <c r="D45" s="1">
        <f t="shared" si="4"/>
        <v>46</v>
      </c>
      <c r="E45" s="1">
        <f t="shared" si="5"/>
        <v>49</v>
      </c>
      <c r="F45" s="1">
        <f t="shared" si="6"/>
        <v>46</v>
      </c>
      <c r="G45" s="1">
        <f t="shared" si="7"/>
        <v>51</v>
      </c>
      <c r="H45" s="1">
        <f t="shared" si="8"/>
        <v>46</v>
      </c>
      <c r="I45" s="1">
        <f t="shared" si="9"/>
        <v>53</v>
      </c>
      <c r="J45" s="1">
        <f t="shared" si="10"/>
        <v>46</v>
      </c>
      <c r="K45" s="1">
        <f t="shared" si="11"/>
        <v>55</v>
      </c>
      <c r="L45" s="1">
        <f t="shared" si="12"/>
        <v>46</v>
      </c>
      <c r="M45" s="1">
        <f t="shared" si="13"/>
        <v>57</v>
      </c>
      <c r="N45" s="1">
        <f t="shared" si="14"/>
        <v>46</v>
      </c>
      <c r="O45" s="1">
        <f t="shared" si="15"/>
        <v>59</v>
      </c>
      <c r="P45" s="1">
        <f t="shared" si="16"/>
        <v>46</v>
      </c>
      <c r="Q45" s="1">
        <f t="shared" si="17"/>
        <v>61</v>
      </c>
      <c r="R45" s="1">
        <f t="shared" si="18"/>
        <v>46</v>
      </c>
      <c r="S45" s="1">
        <f t="shared" si="19"/>
        <v>63</v>
      </c>
      <c r="T45" s="1">
        <f t="shared" si="20"/>
        <v>46</v>
      </c>
      <c r="U45" s="1">
        <f t="shared" si="21"/>
        <v>65</v>
      </c>
      <c r="V45" s="1">
        <f t="shared" si="22"/>
        <v>46</v>
      </c>
      <c r="W45" s="1">
        <f t="shared" si="23"/>
        <v>67</v>
      </c>
      <c r="X45" s="1">
        <f t="shared" si="24"/>
        <v>46</v>
      </c>
      <c r="Y45" s="1">
        <f t="shared" si="25"/>
        <v>70</v>
      </c>
      <c r="Z45" s="1">
        <f t="shared" si="26"/>
        <v>46</v>
      </c>
      <c r="AA45" s="1">
        <f t="shared" si="27"/>
        <v>73</v>
      </c>
      <c r="AB45" s="1">
        <f t="shared" si="28"/>
        <v>46</v>
      </c>
      <c r="AC45" s="1">
        <f t="shared" si="29"/>
        <v>77</v>
      </c>
      <c r="AD45" s="1">
        <f t="shared" si="30"/>
        <v>46</v>
      </c>
      <c r="AE45" s="1">
        <f t="shared" si="31"/>
        <v>79</v>
      </c>
      <c r="AF45" s="1">
        <f t="shared" si="32"/>
        <v>46</v>
      </c>
      <c r="AG45" s="1">
        <f t="shared" si="33"/>
        <v>83</v>
      </c>
      <c r="AH45" s="1">
        <f t="shared" ref="AH45:AI45" si="83">$B$1+$A45</f>
        <v>46</v>
      </c>
      <c r="AI45" s="1">
        <f t="shared" si="83"/>
        <v>46</v>
      </c>
      <c r="AJ45" s="1">
        <f t="shared" si="35"/>
        <v>87</v>
      </c>
      <c r="AK45" s="1">
        <f t="shared" si="36"/>
        <v>46</v>
      </c>
      <c r="AL45" s="1">
        <f t="shared" si="37"/>
        <v>93</v>
      </c>
      <c r="AM45" s="1">
        <f t="shared" si="38"/>
        <v>46</v>
      </c>
      <c r="AN45" s="1">
        <f t="shared" si="39"/>
        <v>96</v>
      </c>
      <c r="AO45" s="1">
        <f t="shared" si="40"/>
        <v>46</v>
      </c>
      <c r="AP45" s="1">
        <f t="shared" si="41"/>
        <v>105</v>
      </c>
      <c r="AR45" s="8">
        <f>COUNTIFS(score4pijlen,AP45) </f>
        <v>41</v>
      </c>
    </row>
    <row r="46">
      <c r="A46" s="2">
        <v>46.0</v>
      </c>
      <c r="B46" s="1">
        <f t="shared" si="2"/>
        <v>47</v>
      </c>
      <c r="C46" s="1">
        <f t="shared" si="3"/>
        <v>48</v>
      </c>
      <c r="D46" s="1">
        <f t="shared" si="4"/>
        <v>47</v>
      </c>
      <c r="E46" s="1">
        <f t="shared" si="5"/>
        <v>50</v>
      </c>
      <c r="F46" s="1">
        <f t="shared" si="6"/>
        <v>47</v>
      </c>
      <c r="G46" s="1">
        <f t="shared" si="7"/>
        <v>52</v>
      </c>
      <c r="H46" s="1">
        <f t="shared" si="8"/>
        <v>47</v>
      </c>
      <c r="I46" s="1">
        <f t="shared" si="9"/>
        <v>54</v>
      </c>
      <c r="J46" s="1">
        <f t="shared" si="10"/>
        <v>47</v>
      </c>
      <c r="K46" s="1">
        <f t="shared" si="11"/>
        <v>56</v>
      </c>
      <c r="L46" s="1">
        <f t="shared" si="12"/>
        <v>47</v>
      </c>
      <c r="M46" s="1">
        <f t="shared" si="13"/>
        <v>58</v>
      </c>
      <c r="N46" s="1">
        <f t="shared" si="14"/>
        <v>47</v>
      </c>
      <c r="O46" s="1">
        <f t="shared" si="15"/>
        <v>60</v>
      </c>
      <c r="P46" s="1">
        <f t="shared" si="16"/>
        <v>47</v>
      </c>
      <c r="Q46" s="1">
        <f t="shared" si="17"/>
        <v>62</v>
      </c>
      <c r="R46" s="1">
        <f t="shared" si="18"/>
        <v>47</v>
      </c>
      <c r="S46" s="1">
        <f t="shared" si="19"/>
        <v>64</v>
      </c>
      <c r="T46" s="1">
        <f t="shared" si="20"/>
        <v>47</v>
      </c>
      <c r="U46" s="1">
        <f t="shared" si="21"/>
        <v>66</v>
      </c>
      <c r="V46" s="1">
        <f t="shared" si="22"/>
        <v>47</v>
      </c>
      <c r="W46" s="1">
        <f t="shared" si="23"/>
        <v>68</v>
      </c>
      <c r="X46" s="1">
        <f t="shared" si="24"/>
        <v>47</v>
      </c>
      <c r="Y46" s="1">
        <f t="shared" si="25"/>
        <v>71</v>
      </c>
      <c r="Z46" s="1">
        <f t="shared" si="26"/>
        <v>47</v>
      </c>
      <c r="AA46" s="1">
        <f t="shared" si="27"/>
        <v>74</v>
      </c>
      <c r="AB46" s="1">
        <f t="shared" si="28"/>
        <v>47</v>
      </c>
      <c r="AC46" s="1">
        <f t="shared" si="29"/>
        <v>78</v>
      </c>
      <c r="AD46" s="1">
        <f t="shared" si="30"/>
        <v>47</v>
      </c>
      <c r="AE46" s="1">
        <f t="shared" si="31"/>
        <v>80</v>
      </c>
      <c r="AF46" s="1">
        <f t="shared" si="32"/>
        <v>47</v>
      </c>
      <c r="AG46" s="1">
        <f t="shared" si="33"/>
        <v>84</v>
      </c>
      <c r="AH46" s="1">
        <f t="shared" ref="AH46:AI46" si="84">$B$1+$A46</f>
        <v>47</v>
      </c>
      <c r="AI46" s="1">
        <f t="shared" si="84"/>
        <v>47</v>
      </c>
      <c r="AJ46" s="1">
        <f t="shared" si="35"/>
        <v>88</v>
      </c>
      <c r="AK46" s="1">
        <f t="shared" si="36"/>
        <v>47</v>
      </c>
      <c r="AL46" s="1">
        <f t="shared" si="37"/>
        <v>94</v>
      </c>
      <c r="AM46" s="1">
        <f t="shared" si="38"/>
        <v>47</v>
      </c>
      <c r="AN46" s="1">
        <f t="shared" si="39"/>
        <v>97</v>
      </c>
      <c r="AO46" s="1">
        <f t="shared" si="40"/>
        <v>47</v>
      </c>
      <c r="AP46" s="1">
        <f t="shared" si="41"/>
        <v>106</v>
      </c>
      <c r="AR46" s="8">
        <f>COUNTIFS(score4pijlen,AP46) </f>
        <v>41</v>
      </c>
    </row>
    <row r="47">
      <c r="A47" s="2">
        <v>47.0</v>
      </c>
      <c r="B47" s="1">
        <f t="shared" si="2"/>
        <v>48</v>
      </c>
      <c r="C47" s="1">
        <f t="shared" si="3"/>
        <v>49</v>
      </c>
      <c r="D47" s="1">
        <f t="shared" si="4"/>
        <v>48</v>
      </c>
      <c r="E47" s="1">
        <f t="shared" si="5"/>
        <v>51</v>
      </c>
      <c r="F47" s="1">
        <f t="shared" si="6"/>
        <v>48</v>
      </c>
      <c r="G47" s="1">
        <f t="shared" si="7"/>
        <v>53</v>
      </c>
      <c r="H47" s="1">
        <f t="shared" si="8"/>
        <v>48</v>
      </c>
      <c r="I47" s="1">
        <f t="shared" si="9"/>
        <v>55</v>
      </c>
      <c r="J47" s="1">
        <f t="shared" si="10"/>
        <v>48</v>
      </c>
      <c r="K47" s="1">
        <f t="shared" si="11"/>
        <v>57</v>
      </c>
      <c r="L47" s="1">
        <f t="shared" si="12"/>
        <v>48</v>
      </c>
      <c r="M47" s="1">
        <f t="shared" si="13"/>
        <v>59</v>
      </c>
      <c r="N47" s="1">
        <f t="shared" si="14"/>
        <v>48</v>
      </c>
      <c r="O47" s="1">
        <f t="shared" si="15"/>
        <v>61</v>
      </c>
      <c r="P47" s="1">
        <f t="shared" si="16"/>
        <v>48</v>
      </c>
      <c r="Q47" s="1">
        <f t="shared" si="17"/>
        <v>63</v>
      </c>
      <c r="R47" s="1">
        <f t="shared" si="18"/>
        <v>48</v>
      </c>
      <c r="S47" s="1">
        <f t="shared" si="19"/>
        <v>65</v>
      </c>
      <c r="T47" s="1">
        <f t="shared" si="20"/>
        <v>48</v>
      </c>
      <c r="U47" s="1">
        <f t="shared" si="21"/>
        <v>67</v>
      </c>
      <c r="V47" s="1">
        <f t="shared" si="22"/>
        <v>48</v>
      </c>
      <c r="W47" s="1">
        <f t="shared" si="23"/>
        <v>69</v>
      </c>
      <c r="X47" s="1">
        <f t="shared" si="24"/>
        <v>48</v>
      </c>
      <c r="Y47" s="1">
        <f t="shared" si="25"/>
        <v>72</v>
      </c>
      <c r="Z47" s="1">
        <f t="shared" si="26"/>
        <v>48</v>
      </c>
      <c r="AA47" s="1">
        <f t="shared" si="27"/>
        <v>75</v>
      </c>
      <c r="AB47" s="1">
        <f t="shared" si="28"/>
        <v>48</v>
      </c>
      <c r="AC47" s="1">
        <f t="shared" si="29"/>
        <v>79</v>
      </c>
      <c r="AD47" s="1">
        <f t="shared" si="30"/>
        <v>48</v>
      </c>
      <c r="AE47" s="1">
        <f t="shared" si="31"/>
        <v>81</v>
      </c>
      <c r="AF47" s="1">
        <f t="shared" si="32"/>
        <v>48</v>
      </c>
      <c r="AG47" s="1">
        <f t="shared" si="33"/>
        <v>85</v>
      </c>
      <c r="AH47" s="1">
        <f t="shared" ref="AH47:AI47" si="85">$B$1+$A47</f>
        <v>48</v>
      </c>
      <c r="AI47" s="1">
        <f t="shared" si="85"/>
        <v>48</v>
      </c>
      <c r="AJ47" s="1">
        <f t="shared" si="35"/>
        <v>89</v>
      </c>
      <c r="AK47" s="1">
        <f t="shared" si="36"/>
        <v>48</v>
      </c>
      <c r="AL47" s="1">
        <f t="shared" si="37"/>
        <v>95</v>
      </c>
      <c r="AM47" s="1">
        <f t="shared" si="38"/>
        <v>48</v>
      </c>
      <c r="AN47" s="1">
        <f t="shared" si="39"/>
        <v>98</v>
      </c>
      <c r="AO47" s="1">
        <f t="shared" si="40"/>
        <v>48</v>
      </c>
      <c r="AP47" s="1">
        <f t="shared" si="41"/>
        <v>107</v>
      </c>
      <c r="AR47" s="8">
        <f>COUNTIFS(score4pijlen,AP47) </f>
        <v>41</v>
      </c>
    </row>
    <row r="48">
      <c r="A48" s="2">
        <v>48.0</v>
      </c>
      <c r="B48" s="1">
        <f t="shared" si="2"/>
        <v>49</v>
      </c>
      <c r="C48" s="1">
        <f t="shared" si="3"/>
        <v>50</v>
      </c>
      <c r="D48" s="1">
        <f t="shared" si="4"/>
        <v>49</v>
      </c>
      <c r="E48" s="1">
        <f t="shared" si="5"/>
        <v>52</v>
      </c>
      <c r="F48" s="1">
        <f t="shared" si="6"/>
        <v>49</v>
      </c>
      <c r="G48" s="1">
        <f t="shared" si="7"/>
        <v>54</v>
      </c>
      <c r="H48" s="1">
        <f t="shared" si="8"/>
        <v>49</v>
      </c>
      <c r="I48" s="1">
        <f t="shared" si="9"/>
        <v>56</v>
      </c>
      <c r="J48" s="1">
        <f t="shared" si="10"/>
        <v>49</v>
      </c>
      <c r="K48" s="1">
        <f t="shared" si="11"/>
        <v>58</v>
      </c>
      <c r="L48" s="1">
        <f t="shared" si="12"/>
        <v>49</v>
      </c>
      <c r="M48" s="1">
        <f t="shared" si="13"/>
        <v>60</v>
      </c>
      <c r="N48" s="1">
        <f t="shared" si="14"/>
        <v>49</v>
      </c>
      <c r="O48" s="1">
        <f t="shared" si="15"/>
        <v>62</v>
      </c>
      <c r="P48" s="1">
        <f t="shared" si="16"/>
        <v>49</v>
      </c>
      <c r="Q48" s="1">
        <f t="shared" si="17"/>
        <v>64</v>
      </c>
      <c r="R48" s="1">
        <f t="shared" si="18"/>
        <v>49</v>
      </c>
      <c r="S48" s="1">
        <f t="shared" si="19"/>
        <v>66</v>
      </c>
      <c r="T48" s="1">
        <f t="shared" si="20"/>
        <v>49</v>
      </c>
      <c r="U48" s="1">
        <f t="shared" si="21"/>
        <v>68</v>
      </c>
      <c r="V48" s="1">
        <f t="shared" si="22"/>
        <v>49</v>
      </c>
      <c r="W48" s="1">
        <f t="shared" si="23"/>
        <v>70</v>
      </c>
      <c r="X48" s="1">
        <f t="shared" si="24"/>
        <v>49</v>
      </c>
      <c r="Y48" s="1">
        <f t="shared" si="25"/>
        <v>73</v>
      </c>
      <c r="Z48" s="1">
        <f t="shared" si="26"/>
        <v>49</v>
      </c>
      <c r="AA48" s="1">
        <f t="shared" si="27"/>
        <v>76</v>
      </c>
      <c r="AB48" s="1">
        <f t="shared" si="28"/>
        <v>49</v>
      </c>
      <c r="AC48" s="1">
        <f t="shared" si="29"/>
        <v>80</v>
      </c>
      <c r="AD48" s="1">
        <f t="shared" si="30"/>
        <v>49</v>
      </c>
      <c r="AE48" s="1">
        <f t="shared" si="31"/>
        <v>82</v>
      </c>
      <c r="AF48" s="1">
        <f t="shared" si="32"/>
        <v>49</v>
      </c>
      <c r="AG48" s="1">
        <f t="shared" si="33"/>
        <v>86</v>
      </c>
      <c r="AH48" s="1">
        <f t="shared" ref="AH48:AI48" si="86">$B$1+$A48</f>
        <v>49</v>
      </c>
      <c r="AI48" s="1">
        <f t="shared" si="86"/>
        <v>49</v>
      </c>
      <c r="AJ48" s="1">
        <f t="shared" si="35"/>
        <v>90</v>
      </c>
      <c r="AK48" s="1">
        <f t="shared" si="36"/>
        <v>49</v>
      </c>
      <c r="AL48" s="1">
        <f t="shared" si="37"/>
        <v>96</v>
      </c>
      <c r="AM48" s="1">
        <f t="shared" si="38"/>
        <v>49</v>
      </c>
      <c r="AN48" s="1">
        <f t="shared" si="39"/>
        <v>99</v>
      </c>
      <c r="AO48" s="1">
        <f t="shared" si="40"/>
        <v>49</v>
      </c>
      <c r="AP48" s="1">
        <f t="shared" si="41"/>
        <v>108</v>
      </c>
      <c r="AR48" s="8">
        <f>COUNTIFS(score4pijlen,AP48) </f>
        <v>41</v>
      </c>
    </row>
    <row r="49">
      <c r="A49" s="2">
        <v>49.0</v>
      </c>
      <c r="B49" s="1">
        <f t="shared" si="2"/>
        <v>50</v>
      </c>
      <c r="C49" s="1">
        <f t="shared" si="3"/>
        <v>51</v>
      </c>
      <c r="D49" s="1">
        <f t="shared" si="4"/>
        <v>50</v>
      </c>
      <c r="E49" s="1">
        <f t="shared" si="5"/>
        <v>53</v>
      </c>
      <c r="F49" s="1">
        <f t="shared" si="6"/>
        <v>50</v>
      </c>
      <c r="G49" s="1">
        <f t="shared" si="7"/>
        <v>55</v>
      </c>
      <c r="H49" s="1">
        <f t="shared" si="8"/>
        <v>50</v>
      </c>
      <c r="I49" s="1">
        <f t="shared" si="9"/>
        <v>57</v>
      </c>
      <c r="J49" s="1">
        <f t="shared" si="10"/>
        <v>50</v>
      </c>
      <c r="K49" s="1">
        <f t="shared" si="11"/>
        <v>59</v>
      </c>
      <c r="L49" s="1">
        <f t="shared" si="12"/>
        <v>50</v>
      </c>
      <c r="M49" s="1">
        <f t="shared" si="13"/>
        <v>61</v>
      </c>
      <c r="N49" s="1">
        <f t="shared" si="14"/>
        <v>50</v>
      </c>
      <c r="O49" s="1">
        <f t="shared" si="15"/>
        <v>63</v>
      </c>
      <c r="P49" s="1">
        <f t="shared" si="16"/>
        <v>50</v>
      </c>
      <c r="Q49" s="1">
        <f t="shared" si="17"/>
        <v>65</v>
      </c>
      <c r="R49" s="1">
        <f t="shared" si="18"/>
        <v>50</v>
      </c>
      <c r="S49" s="1">
        <f t="shared" si="19"/>
        <v>67</v>
      </c>
      <c r="T49" s="1">
        <f t="shared" si="20"/>
        <v>50</v>
      </c>
      <c r="U49" s="1">
        <f t="shared" si="21"/>
        <v>69</v>
      </c>
      <c r="V49" s="1">
        <f t="shared" si="22"/>
        <v>50</v>
      </c>
      <c r="W49" s="1">
        <f t="shared" si="23"/>
        <v>71</v>
      </c>
      <c r="X49" s="1">
        <f t="shared" si="24"/>
        <v>50</v>
      </c>
      <c r="Y49" s="1">
        <f t="shared" si="25"/>
        <v>74</v>
      </c>
      <c r="Z49" s="1">
        <f t="shared" si="26"/>
        <v>50</v>
      </c>
      <c r="AA49" s="1">
        <f t="shared" si="27"/>
        <v>77</v>
      </c>
      <c r="AB49" s="1">
        <f t="shared" si="28"/>
        <v>50</v>
      </c>
      <c r="AC49" s="1">
        <f t="shared" si="29"/>
        <v>81</v>
      </c>
      <c r="AD49" s="1">
        <f t="shared" si="30"/>
        <v>50</v>
      </c>
      <c r="AE49" s="1">
        <f t="shared" si="31"/>
        <v>83</v>
      </c>
      <c r="AF49" s="1">
        <f t="shared" si="32"/>
        <v>50</v>
      </c>
      <c r="AG49" s="1">
        <f t="shared" si="33"/>
        <v>87</v>
      </c>
      <c r="AH49" s="1">
        <f t="shared" ref="AH49:AI49" si="87">$B$1+$A49</f>
        <v>50</v>
      </c>
      <c r="AI49" s="1">
        <f t="shared" si="87"/>
        <v>50</v>
      </c>
      <c r="AJ49" s="1">
        <f t="shared" si="35"/>
        <v>91</v>
      </c>
      <c r="AK49" s="1">
        <f t="shared" si="36"/>
        <v>50</v>
      </c>
      <c r="AL49" s="1">
        <f t="shared" si="37"/>
        <v>97</v>
      </c>
      <c r="AM49" s="1">
        <f t="shared" si="38"/>
        <v>50</v>
      </c>
      <c r="AN49" s="1">
        <f t="shared" si="39"/>
        <v>100</v>
      </c>
      <c r="AO49" s="1">
        <f t="shared" si="40"/>
        <v>50</v>
      </c>
      <c r="AP49" s="1">
        <f t="shared" si="41"/>
        <v>109</v>
      </c>
      <c r="AR49" s="8">
        <f>COUNTIFS(score4pijlen,AP49) </f>
        <v>41</v>
      </c>
    </row>
    <row r="50">
      <c r="A50" s="2">
        <v>50.0</v>
      </c>
      <c r="B50" s="1">
        <f t="shared" si="2"/>
        <v>51</v>
      </c>
      <c r="C50" s="1">
        <f t="shared" si="3"/>
        <v>52</v>
      </c>
      <c r="D50" s="1">
        <f t="shared" si="4"/>
        <v>51</v>
      </c>
      <c r="E50" s="1">
        <f t="shared" si="5"/>
        <v>54</v>
      </c>
      <c r="F50" s="1">
        <f t="shared" si="6"/>
        <v>51</v>
      </c>
      <c r="G50" s="1">
        <f t="shared" si="7"/>
        <v>56</v>
      </c>
      <c r="H50" s="1">
        <f t="shared" si="8"/>
        <v>51</v>
      </c>
      <c r="I50" s="1">
        <f t="shared" si="9"/>
        <v>58</v>
      </c>
      <c r="J50" s="1">
        <f t="shared" si="10"/>
        <v>51</v>
      </c>
      <c r="K50" s="1">
        <f t="shared" si="11"/>
        <v>60</v>
      </c>
      <c r="L50" s="1">
        <f t="shared" si="12"/>
        <v>51</v>
      </c>
      <c r="M50" s="1">
        <f t="shared" si="13"/>
        <v>62</v>
      </c>
      <c r="N50" s="1">
        <f t="shared" si="14"/>
        <v>51</v>
      </c>
      <c r="O50" s="1">
        <f t="shared" si="15"/>
        <v>64</v>
      </c>
      <c r="P50" s="1">
        <f t="shared" si="16"/>
        <v>51</v>
      </c>
      <c r="Q50" s="1">
        <f t="shared" si="17"/>
        <v>66</v>
      </c>
      <c r="R50" s="1">
        <f t="shared" si="18"/>
        <v>51</v>
      </c>
      <c r="S50" s="1">
        <f t="shared" si="19"/>
        <v>68</v>
      </c>
      <c r="T50" s="1">
        <f t="shared" si="20"/>
        <v>51</v>
      </c>
      <c r="U50" s="1">
        <f t="shared" si="21"/>
        <v>70</v>
      </c>
      <c r="V50" s="1">
        <f t="shared" si="22"/>
        <v>51</v>
      </c>
      <c r="W50" s="1">
        <f t="shared" si="23"/>
        <v>72</v>
      </c>
      <c r="X50" s="1">
        <f t="shared" si="24"/>
        <v>51</v>
      </c>
      <c r="Y50" s="1">
        <f t="shared" si="25"/>
        <v>75</v>
      </c>
      <c r="Z50" s="1">
        <f t="shared" si="26"/>
        <v>51</v>
      </c>
      <c r="AA50" s="1">
        <f t="shared" si="27"/>
        <v>78</v>
      </c>
      <c r="AB50" s="1">
        <f t="shared" si="28"/>
        <v>51</v>
      </c>
      <c r="AC50" s="1">
        <f t="shared" si="29"/>
        <v>82</v>
      </c>
      <c r="AD50" s="1">
        <f t="shared" si="30"/>
        <v>51</v>
      </c>
      <c r="AE50" s="1">
        <f t="shared" si="31"/>
        <v>84</v>
      </c>
      <c r="AF50" s="1">
        <f t="shared" si="32"/>
        <v>51</v>
      </c>
      <c r="AG50" s="1">
        <f t="shared" si="33"/>
        <v>88</v>
      </c>
      <c r="AH50" s="1">
        <f t="shared" ref="AH50:AI50" si="88">$B$1+$A50</f>
        <v>51</v>
      </c>
      <c r="AI50" s="1">
        <f t="shared" si="88"/>
        <v>51</v>
      </c>
      <c r="AJ50" s="1">
        <f t="shared" si="35"/>
        <v>92</v>
      </c>
      <c r="AK50" s="1">
        <f t="shared" si="36"/>
        <v>51</v>
      </c>
      <c r="AL50" s="1">
        <f t="shared" si="37"/>
        <v>98</v>
      </c>
      <c r="AM50" s="1">
        <f t="shared" si="38"/>
        <v>51</v>
      </c>
      <c r="AN50" s="1">
        <f t="shared" si="39"/>
        <v>101</v>
      </c>
      <c r="AO50" s="1">
        <f t="shared" si="40"/>
        <v>51</v>
      </c>
      <c r="AP50" s="1">
        <f t="shared" si="41"/>
        <v>110</v>
      </c>
      <c r="AR50" s="8">
        <f>COUNTIFS(score4pijlen,AP50) </f>
        <v>41</v>
      </c>
    </row>
    <row r="51">
      <c r="A51" s="2">
        <v>51.0</v>
      </c>
      <c r="B51" s="1">
        <f t="shared" si="2"/>
        <v>52</v>
      </c>
      <c r="C51" s="1">
        <f t="shared" si="3"/>
        <v>53</v>
      </c>
      <c r="D51" s="1">
        <f t="shared" si="4"/>
        <v>52</v>
      </c>
      <c r="E51" s="1">
        <f t="shared" si="5"/>
        <v>55</v>
      </c>
      <c r="F51" s="1">
        <f t="shared" si="6"/>
        <v>52</v>
      </c>
      <c r="G51" s="1">
        <f t="shared" si="7"/>
        <v>57</v>
      </c>
      <c r="H51" s="1">
        <f t="shared" si="8"/>
        <v>52</v>
      </c>
      <c r="I51" s="1">
        <f t="shared" si="9"/>
        <v>59</v>
      </c>
      <c r="J51" s="1">
        <f t="shared" si="10"/>
        <v>52</v>
      </c>
      <c r="K51" s="1">
        <f t="shared" si="11"/>
        <v>61</v>
      </c>
      <c r="L51" s="1">
        <f t="shared" si="12"/>
        <v>52</v>
      </c>
      <c r="M51" s="1">
        <f t="shared" si="13"/>
        <v>63</v>
      </c>
      <c r="N51" s="1">
        <f t="shared" si="14"/>
        <v>52</v>
      </c>
      <c r="O51" s="1">
        <f t="shared" si="15"/>
        <v>65</v>
      </c>
      <c r="P51" s="1">
        <f t="shared" si="16"/>
        <v>52</v>
      </c>
      <c r="Q51" s="1">
        <f t="shared" si="17"/>
        <v>67</v>
      </c>
      <c r="R51" s="1">
        <f t="shared" si="18"/>
        <v>52</v>
      </c>
      <c r="S51" s="1">
        <f t="shared" si="19"/>
        <v>69</v>
      </c>
      <c r="T51" s="1">
        <f t="shared" si="20"/>
        <v>52</v>
      </c>
      <c r="U51" s="1">
        <f t="shared" si="21"/>
        <v>71</v>
      </c>
      <c r="V51" s="1">
        <f t="shared" si="22"/>
        <v>52</v>
      </c>
      <c r="W51" s="1">
        <f t="shared" si="23"/>
        <v>73</v>
      </c>
      <c r="X51" s="1">
        <f t="shared" si="24"/>
        <v>52</v>
      </c>
      <c r="Y51" s="1">
        <f t="shared" si="25"/>
        <v>76</v>
      </c>
      <c r="Z51" s="1">
        <f t="shared" si="26"/>
        <v>52</v>
      </c>
      <c r="AA51" s="1">
        <f t="shared" si="27"/>
        <v>79</v>
      </c>
      <c r="AB51" s="1">
        <f t="shared" si="28"/>
        <v>52</v>
      </c>
      <c r="AC51" s="1">
        <f t="shared" si="29"/>
        <v>83</v>
      </c>
      <c r="AD51" s="1">
        <f t="shared" si="30"/>
        <v>52</v>
      </c>
      <c r="AE51" s="1">
        <f t="shared" si="31"/>
        <v>85</v>
      </c>
      <c r="AF51" s="1">
        <f t="shared" si="32"/>
        <v>52</v>
      </c>
      <c r="AG51" s="1">
        <f t="shared" si="33"/>
        <v>89</v>
      </c>
      <c r="AH51" s="1">
        <f t="shared" ref="AH51:AI51" si="89">$B$1+$A51</f>
        <v>52</v>
      </c>
      <c r="AI51" s="1">
        <f t="shared" si="89"/>
        <v>52</v>
      </c>
      <c r="AJ51" s="1">
        <f t="shared" si="35"/>
        <v>93</v>
      </c>
      <c r="AK51" s="1">
        <f t="shared" si="36"/>
        <v>52</v>
      </c>
      <c r="AL51" s="1">
        <f t="shared" si="37"/>
        <v>99</v>
      </c>
      <c r="AM51" s="1">
        <f t="shared" si="38"/>
        <v>52</v>
      </c>
      <c r="AN51" s="1">
        <f t="shared" si="39"/>
        <v>102</v>
      </c>
      <c r="AO51" s="1">
        <f t="shared" si="40"/>
        <v>52</v>
      </c>
      <c r="AP51" s="1">
        <f t="shared" si="41"/>
        <v>111</v>
      </c>
      <c r="AR51" s="8">
        <f>COUNTIFS(score4pijlen,AP51) </f>
        <v>41</v>
      </c>
    </row>
    <row r="52">
      <c r="A52" s="2">
        <v>52.0</v>
      </c>
      <c r="B52" s="1">
        <f t="shared" si="2"/>
        <v>53</v>
      </c>
      <c r="C52" s="1">
        <f t="shared" si="3"/>
        <v>54</v>
      </c>
      <c r="D52" s="1">
        <f t="shared" si="4"/>
        <v>53</v>
      </c>
      <c r="E52" s="1">
        <f t="shared" si="5"/>
        <v>56</v>
      </c>
      <c r="F52" s="1">
        <f t="shared" si="6"/>
        <v>53</v>
      </c>
      <c r="G52" s="1">
        <f t="shared" si="7"/>
        <v>58</v>
      </c>
      <c r="H52" s="1">
        <f t="shared" si="8"/>
        <v>53</v>
      </c>
      <c r="I52" s="1">
        <f t="shared" si="9"/>
        <v>60</v>
      </c>
      <c r="J52" s="1">
        <f t="shared" si="10"/>
        <v>53</v>
      </c>
      <c r="K52" s="1">
        <f t="shared" si="11"/>
        <v>62</v>
      </c>
      <c r="L52" s="1">
        <f t="shared" si="12"/>
        <v>53</v>
      </c>
      <c r="M52" s="1">
        <f t="shared" si="13"/>
        <v>64</v>
      </c>
      <c r="N52" s="1">
        <f t="shared" si="14"/>
        <v>53</v>
      </c>
      <c r="O52" s="1">
        <f t="shared" si="15"/>
        <v>66</v>
      </c>
      <c r="P52" s="1">
        <f t="shared" si="16"/>
        <v>53</v>
      </c>
      <c r="Q52" s="1">
        <f t="shared" si="17"/>
        <v>68</v>
      </c>
      <c r="R52" s="1">
        <f t="shared" si="18"/>
        <v>53</v>
      </c>
      <c r="S52" s="1">
        <f t="shared" si="19"/>
        <v>70</v>
      </c>
      <c r="T52" s="1">
        <f t="shared" si="20"/>
        <v>53</v>
      </c>
      <c r="U52" s="1">
        <f t="shared" si="21"/>
        <v>72</v>
      </c>
      <c r="V52" s="1">
        <f t="shared" si="22"/>
        <v>53</v>
      </c>
      <c r="W52" s="1">
        <f t="shared" si="23"/>
        <v>74</v>
      </c>
      <c r="X52" s="1">
        <f t="shared" si="24"/>
        <v>53</v>
      </c>
      <c r="Y52" s="1">
        <f t="shared" si="25"/>
        <v>77</v>
      </c>
      <c r="Z52" s="1">
        <f t="shared" si="26"/>
        <v>53</v>
      </c>
      <c r="AA52" s="1">
        <f t="shared" si="27"/>
        <v>80</v>
      </c>
      <c r="AB52" s="1">
        <f t="shared" si="28"/>
        <v>53</v>
      </c>
      <c r="AC52" s="1">
        <f t="shared" si="29"/>
        <v>84</v>
      </c>
      <c r="AD52" s="1">
        <f t="shared" si="30"/>
        <v>53</v>
      </c>
      <c r="AE52" s="1">
        <f t="shared" si="31"/>
        <v>86</v>
      </c>
      <c r="AF52" s="1">
        <f t="shared" si="32"/>
        <v>53</v>
      </c>
      <c r="AG52" s="1">
        <f t="shared" si="33"/>
        <v>90</v>
      </c>
      <c r="AH52" s="1">
        <f t="shared" ref="AH52:AI52" si="90">$B$1+$A52</f>
        <v>53</v>
      </c>
      <c r="AI52" s="1">
        <f t="shared" si="90"/>
        <v>53</v>
      </c>
      <c r="AJ52" s="1">
        <f t="shared" si="35"/>
        <v>94</v>
      </c>
      <c r="AK52" s="1">
        <f t="shared" si="36"/>
        <v>53</v>
      </c>
      <c r="AL52" s="1">
        <f t="shared" si="37"/>
        <v>100</v>
      </c>
      <c r="AM52" s="1">
        <f t="shared" si="38"/>
        <v>53</v>
      </c>
      <c r="AN52" s="1">
        <f t="shared" si="39"/>
        <v>103</v>
      </c>
      <c r="AO52" s="1">
        <f t="shared" si="40"/>
        <v>53</v>
      </c>
      <c r="AP52" s="1">
        <f t="shared" si="41"/>
        <v>112</v>
      </c>
      <c r="AR52" s="8">
        <f>COUNTIFS(score4pijlen,AP52) </f>
        <v>41</v>
      </c>
    </row>
    <row r="53">
      <c r="A53" s="2">
        <v>53.0</v>
      </c>
      <c r="B53" s="1">
        <f t="shared" si="2"/>
        <v>54</v>
      </c>
      <c r="C53" s="1">
        <f t="shared" si="3"/>
        <v>55</v>
      </c>
      <c r="D53" s="1">
        <f t="shared" si="4"/>
        <v>54</v>
      </c>
      <c r="E53" s="1">
        <f t="shared" si="5"/>
        <v>57</v>
      </c>
      <c r="F53" s="1">
        <f t="shared" si="6"/>
        <v>54</v>
      </c>
      <c r="G53" s="1">
        <f t="shared" si="7"/>
        <v>59</v>
      </c>
      <c r="H53" s="1">
        <f t="shared" si="8"/>
        <v>54</v>
      </c>
      <c r="I53" s="1">
        <f t="shared" si="9"/>
        <v>61</v>
      </c>
      <c r="J53" s="1">
        <f t="shared" si="10"/>
        <v>54</v>
      </c>
      <c r="K53" s="1">
        <f t="shared" si="11"/>
        <v>63</v>
      </c>
      <c r="L53" s="1">
        <f t="shared" si="12"/>
        <v>54</v>
      </c>
      <c r="M53" s="1">
        <f t="shared" si="13"/>
        <v>65</v>
      </c>
      <c r="N53" s="1">
        <f t="shared" si="14"/>
        <v>54</v>
      </c>
      <c r="O53" s="1">
        <f t="shared" si="15"/>
        <v>67</v>
      </c>
      <c r="P53" s="1">
        <f t="shared" si="16"/>
        <v>54</v>
      </c>
      <c r="Q53" s="1">
        <f t="shared" si="17"/>
        <v>69</v>
      </c>
      <c r="R53" s="1">
        <f t="shared" si="18"/>
        <v>54</v>
      </c>
      <c r="S53" s="1">
        <f t="shared" si="19"/>
        <v>71</v>
      </c>
      <c r="T53" s="1">
        <f t="shared" si="20"/>
        <v>54</v>
      </c>
      <c r="U53" s="1">
        <f t="shared" si="21"/>
        <v>73</v>
      </c>
      <c r="V53" s="1">
        <f t="shared" si="22"/>
        <v>54</v>
      </c>
      <c r="W53" s="1">
        <f t="shared" si="23"/>
        <v>75</v>
      </c>
      <c r="X53" s="1">
        <f t="shared" si="24"/>
        <v>54</v>
      </c>
      <c r="Y53" s="1">
        <f t="shared" si="25"/>
        <v>78</v>
      </c>
      <c r="Z53" s="1">
        <f t="shared" si="26"/>
        <v>54</v>
      </c>
      <c r="AA53" s="1">
        <f t="shared" si="27"/>
        <v>81</v>
      </c>
      <c r="AB53" s="1">
        <f t="shared" si="28"/>
        <v>54</v>
      </c>
      <c r="AC53" s="1">
        <f t="shared" si="29"/>
        <v>85</v>
      </c>
      <c r="AD53" s="1">
        <f t="shared" si="30"/>
        <v>54</v>
      </c>
      <c r="AE53" s="1">
        <f t="shared" si="31"/>
        <v>87</v>
      </c>
      <c r="AF53" s="1">
        <f t="shared" si="32"/>
        <v>54</v>
      </c>
      <c r="AG53" s="1">
        <f t="shared" si="33"/>
        <v>91</v>
      </c>
      <c r="AH53" s="1">
        <f t="shared" ref="AH53:AI53" si="91">$B$1+$A53</f>
        <v>54</v>
      </c>
      <c r="AI53" s="1">
        <f t="shared" si="91"/>
        <v>54</v>
      </c>
      <c r="AJ53" s="1">
        <f t="shared" si="35"/>
        <v>95</v>
      </c>
      <c r="AK53" s="1">
        <f t="shared" si="36"/>
        <v>54</v>
      </c>
      <c r="AL53" s="1">
        <f t="shared" si="37"/>
        <v>101</v>
      </c>
      <c r="AM53" s="1">
        <f t="shared" si="38"/>
        <v>54</v>
      </c>
      <c r="AN53" s="1">
        <f t="shared" si="39"/>
        <v>104</v>
      </c>
      <c r="AO53" s="1">
        <f t="shared" si="40"/>
        <v>54</v>
      </c>
      <c r="AP53" s="1">
        <f t="shared" si="41"/>
        <v>113</v>
      </c>
      <c r="AR53" s="8">
        <f>COUNTIFS(score4pijlen,AP53) </f>
        <v>41</v>
      </c>
    </row>
    <row r="54">
      <c r="A54" s="2">
        <v>54.0</v>
      </c>
      <c r="B54" s="1">
        <f t="shared" si="2"/>
        <v>55</v>
      </c>
      <c r="C54" s="1">
        <f t="shared" si="3"/>
        <v>56</v>
      </c>
      <c r="D54" s="1">
        <f t="shared" si="4"/>
        <v>55</v>
      </c>
      <c r="E54" s="1">
        <f t="shared" si="5"/>
        <v>58</v>
      </c>
      <c r="F54" s="1">
        <f t="shared" si="6"/>
        <v>55</v>
      </c>
      <c r="G54" s="1">
        <f t="shared" si="7"/>
        <v>60</v>
      </c>
      <c r="H54" s="1">
        <f t="shared" si="8"/>
        <v>55</v>
      </c>
      <c r="I54" s="1">
        <f t="shared" si="9"/>
        <v>62</v>
      </c>
      <c r="J54" s="1">
        <f t="shared" si="10"/>
        <v>55</v>
      </c>
      <c r="K54" s="1">
        <f t="shared" si="11"/>
        <v>64</v>
      </c>
      <c r="L54" s="1">
        <f t="shared" si="12"/>
        <v>55</v>
      </c>
      <c r="M54" s="1">
        <f t="shared" si="13"/>
        <v>66</v>
      </c>
      <c r="N54" s="1">
        <f t="shared" si="14"/>
        <v>55</v>
      </c>
      <c r="O54" s="1">
        <f t="shared" si="15"/>
        <v>68</v>
      </c>
      <c r="P54" s="1">
        <f t="shared" si="16"/>
        <v>55</v>
      </c>
      <c r="Q54" s="1">
        <f t="shared" si="17"/>
        <v>70</v>
      </c>
      <c r="R54" s="1">
        <f t="shared" si="18"/>
        <v>55</v>
      </c>
      <c r="S54" s="1">
        <f t="shared" si="19"/>
        <v>72</v>
      </c>
      <c r="T54" s="1">
        <f t="shared" si="20"/>
        <v>55</v>
      </c>
      <c r="U54" s="1">
        <f t="shared" si="21"/>
        <v>74</v>
      </c>
      <c r="V54" s="1">
        <f t="shared" si="22"/>
        <v>55</v>
      </c>
      <c r="W54" s="1">
        <f t="shared" si="23"/>
        <v>76</v>
      </c>
      <c r="X54" s="1">
        <f t="shared" si="24"/>
        <v>55</v>
      </c>
      <c r="Y54" s="1">
        <f t="shared" si="25"/>
        <v>79</v>
      </c>
      <c r="Z54" s="1">
        <f t="shared" si="26"/>
        <v>55</v>
      </c>
      <c r="AA54" s="1">
        <f t="shared" si="27"/>
        <v>82</v>
      </c>
      <c r="AB54" s="1">
        <f t="shared" si="28"/>
        <v>55</v>
      </c>
      <c r="AC54" s="1">
        <f t="shared" si="29"/>
        <v>86</v>
      </c>
      <c r="AD54" s="1">
        <f t="shared" si="30"/>
        <v>55</v>
      </c>
      <c r="AE54" s="1">
        <f t="shared" si="31"/>
        <v>88</v>
      </c>
      <c r="AF54" s="1">
        <f t="shared" si="32"/>
        <v>55</v>
      </c>
      <c r="AG54" s="1">
        <f t="shared" si="33"/>
        <v>92</v>
      </c>
      <c r="AH54" s="1">
        <f t="shared" ref="AH54:AI54" si="92">$B$1+$A54</f>
        <v>55</v>
      </c>
      <c r="AI54" s="1">
        <f t="shared" si="92"/>
        <v>55</v>
      </c>
      <c r="AJ54" s="1">
        <f t="shared" si="35"/>
        <v>96</v>
      </c>
      <c r="AK54" s="1">
        <f t="shared" si="36"/>
        <v>55</v>
      </c>
      <c r="AL54" s="1">
        <f t="shared" si="37"/>
        <v>102</v>
      </c>
      <c r="AM54" s="1">
        <f t="shared" si="38"/>
        <v>55</v>
      </c>
      <c r="AN54" s="1">
        <f t="shared" si="39"/>
        <v>105</v>
      </c>
      <c r="AO54" s="1">
        <f t="shared" si="40"/>
        <v>55</v>
      </c>
      <c r="AP54" s="1">
        <f t="shared" si="41"/>
        <v>114</v>
      </c>
      <c r="AR54" s="8">
        <f>COUNTIFS(score4pijlen,AP54) </f>
        <v>41</v>
      </c>
    </row>
    <row r="55">
      <c r="A55" s="2">
        <v>55.0</v>
      </c>
      <c r="B55" s="1">
        <f t="shared" si="2"/>
        <v>56</v>
      </c>
      <c r="C55" s="1">
        <f t="shared" si="3"/>
        <v>57</v>
      </c>
      <c r="D55" s="1">
        <f t="shared" si="4"/>
        <v>56</v>
      </c>
      <c r="E55" s="1">
        <f t="shared" si="5"/>
        <v>59</v>
      </c>
      <c r="F55" s="1">
        <f t="shared" si="6"/>
        <v>56</v>
      </c>
      <c r="G55" s="1">
        <f t="shared" si="7"/>
        <v>61</v>
      </c>
      <c r="H55" s="1">
        <f t="shared" si="8"/>
        <v>56</v>
      </c>
      <c r="I55" s="1">
        <f t="shared" si="9"/>
        <v>63</v>
      </c>
      <c r="J55" s="1">
        <f t="shared" si="10"/>
        <v>56</v>
      </c>
      <c r="K55" s="1">
        <f t="shared" si="11"/>
        <v>65</v>
      </c>
      <c r="L55" s="1">
        <f t="shared" si="12"/>
        <v>56</v>
      </c>
      <c r="M55" s="1">
        <f t="shared" si="13"/>
        <v>67</v>
      </c>
      <c r="N55" s="1">
        <f t="shared" si="14"/>
        <v>56</v>
      </c>
      <c r="O55" s="1">
        <f t="shared" si="15"/>
        <v>69</v>
      </c>
      <c r="P55" s="1">
        <f t="shared" si="16"/>
        <v>56</v>
      </c>
      <c r="Q55" s="1">
        <f t="shared" si="17"/>
        <v>71</v>
      </c>
      <c r="R55" s="1">
        <f t="shared" si="18"/>
        <v>56</v>
      </c>
      <c r="S55" s="1">
        <f t="shared" si="19"/>
        <v>73</v>
      </c>
      <c r="T55" s="1">
        <f t="shared" si="20"/>
        <v>56</v>
      </c>
      <c r="U55" s="1">
        <f t="shared" si="21"/>
        <v>75</v>
      </c>
      <c r="V55" s="1">
        <f t="shared" si="22"/>
        <v>56</v>
      </c>
      <c r="W55" s="1">
        <f t="shared" si="23"/>
        <v>77</v>
      </c>
      <c r="X55" s="1">
        <f t="shared" si="24"/>
        <v>56</v>
      </c>
      <c r="Y55" s="1">
        <f t="shared" si="25"/>
        <v>80</v>
      </c>
      <c r="Z55" s="1">
        <f t="shared" si="26"/>
        <v>56</v>
      </c>
      <c r="AA55" s="1">
        <f t="shared" si="27"/>
        <v>83</v>
      </c>
      <c r="AB55" s="1">
        <f t="shared" si="28"/>
        <v>56</v>
      </c>
      <c r="AC55" s="1">
        <f t="shared" si="29"/>
        <v>87</v>
      </c>
      <c r="AD55" s="1">
        <f t="shared" si="30"/>
        <v>56</v>
      </c>
      <c r="AE55" s="1">
        <f t="shared" si="31"/>
        <v>89</v>
      </c>
      <c r="AF55" s="1">
        <f t="shared" si="32"/>
        <v>56</v>
      </c>
      <c r="AG55" s="1">
        <f t="shared" si="33"/>
        <v>93</v>
      </c>
      <c r="AH55" s="1">
        <f t="shared" ref="AH55:AI55" si="93">$B$1+$A55</f>
        <v>56</v>
      </c>
      <c r="AI55" s="1">
        <f t="shared" si="93"/>
        <v>56</v>
      </c>
      <c r="AJ55" s="1">
        <f t="shared" si="35"/>
        <v>97</v>
      </c>
      <c r="AK55" s="1">
        <f t="shared" si="36"/>
        <v>56</v>
      </c>
      <c r="AL55" s="1">
        <f t="shared" si="37"/>
        <v>103</v>
      </c>
      <c r="AM55" s="1">
        <f t="shared" si="38"/>
        <v>56</v>
      </c>
      <c r="AN55" s="1">
        <f t="shared" si="39"/>
        <v>106</v>
      </c>
      <c r="AO55" s="1">
        <f t="shared" si="40"/>
        <v>56</v>
      </c>
      <c r="AP55" s="1">
        <f t="shared" si="41"/>
        <v>115</v>
      </c>
      <c r="AR55" s="8">
        <f>COUNTIFS(score4pijlen,AP55) </f>
        <v>41</v>
      </c>
    </row>
    <row r="56">
      <c r="A56" s="2">
        <v>56.0</v>
      </c>
      <c r="B56" s="1">
        <f t="shared" si="2"/>
        <v>57</v>
      </c>
      <c r="C56" s="1">
        <f t="shared" si="3"/>
        <v>58</v>
      </c>
      <c r="D56" s="1">
        <f t="shared" si="4"/>
        <v>57</v>
      </c>
      <c r="E56" s="1">
        <f t="shared" si="5"/>
        <v>60</v>
      </c>
      <c r="F56" s="1">
        <f t="shared" si="6"/>
        <v>57</v>
      </c>
      <c r="G56" s="1">
        <f t="shared" si="7"/>
        <v>62</v>
      </c>
      <c r="H56" s="1">
        <f t="shared" si="8"/>
        <v>57</v>
      </c>
      <c r="I56" s="1">
        <f t="shared" si="9"/>
        <v>64</v>
      </c>
      <c r="J56" s="1">
        <f t="shared" si="10"/>
        <v>57</v>
      </c>
      <c r="K56" s="1">
        <f t="shared" si="11"/>
        <v>66</v>
      </c>
      <c r="L56" s="1">
        <f t="shared" si="12"/>
        <v>57</v>
      </c>
      <c r="M56" s="1">
        <f t="shared" si="13"/>
        <v>68</v>
      </c>
      <c r="N56" s="1">
        <f t="shared" si="14"/>
        <v>57</v>
      </c>
      <c r="O56" s="1">
        <f t="shared" si="15"/>
        <v>70</v>
      </c>
      <c r="P56" s="1">
        <f t="shared" si="16"/>
        <v>57</v>
      </c>
      <c r="Q56" s="1">
        <f t="shared" si="17"/>
        <v>72</v>
      </c>
      <c r="R56" s="1">
        <f t="shared" si="18"/>
        <v>57</v>
      </c>
      <c r="S56" s="1">
        <f t="shared" si="19"/>
        <v>74</v>
      </c>
      <c r="T56" s="1">
        <f t="shared" si="20"/>
        <v>57</v>
      </c>
      <c r="U56" s="1">
        <f t="shared" si="21"/>
        <v>76</v>
      </c>
      <c r="V56" s="1">
        <f t="shared" si="22"/>
        <v>57</v>
      </c>
      <c r="W56" s="1">
        <f t="shared" si="23"/>
        <v>78</v>
      </c>
      <c r="X56" s="1">
        <f t="shared" si="24"/>
        <v>57</v>
      </c>
      <c r="Y56" s="1">
        <f t="shared" si="25"/>
        <v>81</v>
      </c>
      <c r="Z56" s="1">
        <f t="shared" si="26"/>
        <v>57</v>
      </c>
      <c r="AA56" s="1">
        <f t="shared" si="27"/>
        <v>84</v>
      </c>
      <c r="AB56" s="1">
        <f t="shared" si="28"/>
        <v>57</v>
      </c>
      <c r="AC56" s="1">
        <f t="shared" si="29"/>
        <v>88</v>
      </c>
      <c r="AD56" s="1">
        <f t="shared" si="30"/>
        <v>57</v>
      </c>
      <c r="AE56" s="1">
        <f t="shared" si="31"/>
        <v>90</v>
      </c>
      <c r="AF56" s="1">
        <f t="shared" si="32"/>
        <v>57</v>
      </c>
      <c r="AG56" s="1">
        <f t="shared" si="33"/>
        <v>94</v>
      </c>
      <c r="AH56" s="1">
        <f t="shared" ref="AH56:AI56" si="94">$B$1+$A56</f>
        <v>57</v>
      </c>
      <c r="AI56" s="1">
        <f t="shared" si="94"/>
        <v>57</v>
      </c>
      <c r="AJ56" s="1">
        <f t="shared" si="35"/>
        <v>98</v>
      </c>
      <c r="AK56" s="1">
        <f t="shared" si="36"/>
        <v>57</v>
      </c>
      <c r="AL56" s="1">
        <f t="shared" si="37"/>
        <v>104</v>
      </c>
      <c r="AM56" s="1">
        <f t="shared" si="38"/>
        <v>57</v>
      </c>
      <c r="AN56" s="1">
        <f t="shared" si="39"/>
        <v>107</v>
      </c>
      <c r="AO56" s="1">
        <f t="shared" si="40"/>
        <v>57</v>
      </c>
      <c r="AP56" s="1">
        <f t="shared" si="41"/>
        <v>116</v>
      </c>
      <c r="AR56" s="8">
        <f>COUNTIFS(score4pijlen,AP56) </f>
        <v>41</v>
      </c>
    </row>
    <row r="57">
      <c r="A57" s="2">
        <v>57.0</v>
      </c>
      <c r="B57" s="1">
        <f t="shared" si="2"/>
        <v>58</v>
      </c>
      <c r="C57" s="1">
        <f t="shared" si="3"/>
        <v>59</v>
      </c>
      <c r="D57" s="1">
        <f t="shared" si="4"/>
        <v>58</v>
      </c>
      <c r="E57" s="1">
        <f t="shared" si="5"/>
        <v>61</v>
      </c>
      <c r="F57" s="1">
        <f t="shared" si="6"/>
        <v>58</v>
      </c>
      <c r="G57" s="1">
        <f t="shared" si="7"/>
        <v>63</v>
      </c>
      <c r="H57" s="1">
        <f t="shared" si="8"/>
        <v>58</v>
      </c>
      <c r="I57" s="1">
        <f t="shared" si="9"/>
        <v>65</v>
      </c>
      <c r="J57" s="1">
        <f t="shared" si="10"/>
        <v>58</v>
      </c>
      <c r="K57" s="1">
        <f t="shared" si="11"/>
        <v>67</v>
      </c>
      <c r="L57" s="1">
        <f t="shared" si="12"/>
        <v>58</v>
      </c>
      <c r="M57" s="1">
        <f t="shared" si="13"/>
        <v>69</v>
      </c>
      <c r="N57" s="1">
        <f t="shared" si="14"/>
        <v>58</v>
      </c>
      <c r="O57" s="1">
        <f t="shared" si="15"/>
        <v>71</v>
      </c>
      <c r="P57" s="1">
        <f t="shared" si="16"/>
        <v>58</v>
      </c>
      <c r="Q57" s="1">
        <f t="shared" si="17"/>
        <v>73</v>
      </c>
      <c r="R57" s="1">
        <f t="shared" si="18"/>
        <v>58</v>
      </c>
      <c r="S57" s="1">
        <f t="shared" si="19"/>
        <v>75</v>
      </c>
      <c r="T57" s="1">
        <f t="shared" si="20"/>
        <v>58</v>
      </c>
      <c r="U57" s="1">
        <f t="shared" si="21"/>
        <v>77</v>
      </c>
      <c r="V57" s="1">
        <f t="shared" si="22"/>
        <v>58</v>
      </c>
      <c r="W57" s="1">
        <f t="shared" si="23"/>
        <v>79</v>
      </c>
      <c r="X57" s="1">
        <f t="shared" si="24"/>
        <v>58</v>
      </c>
      <c r="Y57" s="1">
        <f t="shared" si="25"/>
        <v>82</v>
      </c>
      <c r="Z57" s="1">
        <f t="shared" si="26"/>
        <v>58</v>
      </c>
      <c r="AA57" s="1">
        <f t="shared" si="27"/>
        <v>85</v>
      </c>
      <c r="AB57" s="1">
        <f t="shared" si="28"/>
        <v>58</v>
      </c>
      <c r="AC57" s="1">
        <f t="shared" si="29"/>
        <v>89</v>
      </c>
      <c r="AD57" s="1">
        <f t="shared" si="30"/>
        <v>58</v>
      </c>
      <c r="AE57" s="1">
        <f t="shared" si="31"/>
        <v>91</v>
      </c>
      <c r="AF57" s="1">
        <f t="shared" si="32"/>
        <v>58</v>
      </c>
      <c r="AG57" s="1">
        <f t="shared" si="33"/>
        <v>95</v>
      </c>
      <c r="AH57" s="1">
        <f t="shared" ref="AH57:AI57" si="95">$B$1+$A57</f>
        <v>58</v>
      </c>
      <c r="AI57" s="1">
        <f t="shared" si="95"/>
        <v>58</v>
      </c>
      <c r="AJ57" s="1">
        <f t="shared" si="35"/>
        <v>99</v>
      </c>
      <c r="AK57" s="1">
        <f t="shared" si="36"/>
        <v>58</v>
      </c>
      <c r="AL57" s="1">
        <f t="shared" si="37"/>
        <v>105</v>
      </c>
      <c r="AM57" s="1">
        <f t="shared" si="38"/>
        <v>58</v>
      </c>
      <c r="AN57" s="1">
        <f t="shared" si="39"/>
        <v>108</v>
      </c>
      <c r="AO57" s="1">
        <f t="shared" si="40"/>
        <v>58</v>
      </c>
      <c r="AP57" s="1">
        <f t="shared" si="41"/>
        <v>117</v>
      </c>
      <c r="AR57" s="8">
        <f>COUNTIFS(score4pijlen,AP57) </f>
        <v>41</v>
      </c>
    </row>
    <row r="58">
      <c r="A58" s="2">
        <v>58.0</v>
      </c>
      <c r="B58" s="1">
        <f t="shared" si="2"/>
        <v>59</v>
      </c>
      <c r="C58" s="1">
        <f t="shared" si="3"/>
        <v>60</v>
      </c>
      <c r="D58" s="1">
        <f t="shared" si="4"/>
        <v>59</v>
      </c>
      <c r="E58" s="1">
        <f t="shared" si="5"/>
        <v>62</v>
      </c>
      <c r="F58" s="1">
        <f t="shared" si="6"/>
        <v>59</v>
      </c>
      <c r="G58" s="1">
        <f t="shared" si="7"/>
        <v>64</v>
      </c>
      <c r="H58" s="1">
        <f t="shared" si="8"/>
        <v>59</v>
      </c>
      <c r="I58" s="1">
        <f t="shared" si="9"/>
        <v>66</v>
      </c>
      <c r="J58" s="1">
        <f t="shared" si="10"/>
        <v>59</v>
      </c>
      <c r="K58" s="1">
        <f t="shared" si="11"/>
        <v>68</v>
      </c>
      <c r="L58" s="1">
        <f t="shared" si="12"/>
        <v>59</v>
      </c>
      <c r="M58" s="1">
        <f t="shared" si="13"/>
        <v>70</v>
      </c>
      <c r="N58" s="1">
        <f t="shared" si="14"/>
        <v>59</v>
      </c>
      <c r="O58" s="1">
        <f t="shared" si="15"/>
        <v>72</v>
      </c>
      <c r="P58" s="1">
        <f t="shared" si="16"/>
        <v>59</v>
      </c>
      <c r="Q58" s="1">
        <f t="shared" si="17"/>
        <v>74</v>
      </c>
      <c r="R58" s="1">
        <f t="shared" si="18"/>
        <v>59</v>
      </c>
      <c r="S58" s="1">
        <f t="shared" si="19"/>
        <v>76</v>
      </c>
      <c r="T58" s="1">
        <f t="shared" si="20"/>
        <v>59</v>
      </c>
      <c r="U58" s="1">
        <f t="shared" si="21"/>
        <v>78</v>
      </c>
      <c r="V58" s="1">
        <f t="shared" si="22"/>
        <v>59</v>
      </c>
      <c r="W58" s="1">
        <f t="shared" si="23"/>
        <v>80</v>
      </c>
      <c r="X58" s="1">
        <f t="shared" si="24"/>
        <v>59</v>
      </c>
      <c r="Y58" s="1">
        <f t="shared" si="25"/>
        <v>83</v>
      </c>
      <c r="Z58" s="1">
        <f t="shared" si="26"/>
        <v>59</v>
      </c>
      <c r="AA58" s="1">
        <f t="shared" si="27"/>
        <v>86</v>
      </c>
      <c r="AB58" s="1">
        <f t="shared" si="28"/>
        <v>59</v>
      </c>
      <c r="AC58" s="1">
        <f t="shared" si="29"/>
        <v>90</v>
      </c>
      <c r="AD58" s="1">
        <f t="shared" si="30"/>
        <v>59</v>
      </c>
      <c r="AE58" s="1">
        <f t="shared" si="31"/>
        <v>92</v>
      </c>
      <c r="AF58" s="1">
        <f t="shared" si="32"/>
        <v>59</v>
      </c>
      <c r="AG58" s="1">
        <f t="shared" si="33"/>
        <v>96</v>
      </c>
      <c r="AH58" s="1">
        <f t="shared" ref="AH58:AI58" si="96">$B$1+$A58</f>
        <v>59</v>
      </c>
      <c r="AI58" s="1">
        <f t="shared" si="96"/>
        <v>59</v>
      </c>
      <c r="AJ58" s="1">
        <f t="shared" si="35"/>
        <v>100</v>
      </c>
      <c r="AK58" s="1">
        <f t="shared" si="36"/>
        <v>59</v>
      </c>
      <c r="AL58" s="1">
        <f t="shared" si="37"/>
        <v>106</v>
      </c>
      <c r="AM58" s="1">
        <f t="shared" si="38"/>
        <v>59</v>
      </c>
      <c r="AN58" s="1">
        <f t="shared" si="39"/>
        <v>109</v>
      </c>
      <c r="AO58" s="1">
        <f t="shared" si="40"/>
        <v>59</v>
      </c>
      <c r="AP58" s="1">
        <f t="shared" si="41"/>
        <v>118</v>
      </c>
      <c r="AR58" s="8">
        <f>COUNTIFS(score4pijlen,AP58) </f>
        <v>41</v>
      </c>
    </row>
    <row r="59">
      <c r="A59" s="2">
        <v>59.0</v>
      </c>
      <c r="B59" s="1">
        <f t="shared" si="2"/>
        <v>60</v>
      </c>
      <c r="C59" s="1">
        <f t="shared" si="3"/>
        <v>61</v>
      </c>
      <c r="D59" s="1">
        <f t="shared" si="4"/>
        <v>60</v>
      </c>
      <c r="E59" s="1">
        <f t="shared" si="5"/>
        <v>63</v>
      </c>
      <c r="F59" s="1">
        <f t="shared" si="6"/>
        <v>60</v>
      </c>
      <c r="G59" s="1">
        <f t="shared" si="7"/>
        <v>65</v>
      </c>
      <c r="H59" s="1">
        <f t="shared" si="8"/>
        <v>60</v>
      </c>
      <c r="I59" s="1">
        <f t="shared" si="9"/>
        <v>67</v>
      </c>
      <c r="J59" s="1">
        <f t="shared" si="10"/>
        <v>60</v>
      </c>
      <c r="K59" s="1">
        <f t="shared" si="11"/>
        <v>69</v>
      </c>
      <c r="L59" s="1">
        <f t="shared" si="12"/>
        <v>60</v>
      </c>
      <c r="M59" s="1">
        <f t="shared" si="13"/>
        <v>71</v>
      </c>
      <c r="N59" s="1">
        <f t="shared" si="14"/>
        <v>60</v>
      </c>
      <c r="O59" s="1">
        <f t="shared" si="15"/>
        <v>73</v>
      </c>
      <c r="P59" s="1">
        <f t="shared" si="16"/>
        <v>60</v>
      </c>
      <c r="Q59" s="1">
        <f t="shared" si="17"/>
        <v>75</v>
      </c>
      <c r="R59" s="1">
        <f t="shared" si="18"/>
        <v>60</v>
      </c>
      <c r="S59" s="1">
        <f t="shared" si="19"/>
        <v>77</v>
      </c>
      <c r="T59" s="1">
        <f t="shared" si="20"/>
        <v>60</v>
      </c>
      <c r="U59" s="1">
        <f t="shared" si="21"/>
        <v>79</v>
      </c>
      <c r="V59" s="1">
        <f t="shared" si="22"/>
        <v>60</v>
      </c>
      <c r="W59" s="1">
        <f t="shared" si="23"/>
        <v>81</v>
      </c>
      <c r="X59" s="1">
        <f t="shared" si="24"/>
        <v>60</v>
      </c>
      <c r="Y59" s="1">
        <f t="shared" si="25"/>
        <v>84</v>
      </c>
      <c r="Z59" s="1">
        <f t="shared" si="26"/>
        <v>60</v>
      </c>
      <c r="AA59" s="1">
        <f t="shared" si="27"/>
        <v>87</v>
      </c>
      <c r="AB59" s="1">
        <f t="shared" si="28"/>
        <v>60</v>
      </c>
      <c r="AC59" s="1">
        <f t="shared" si="29"/>
        <v>91</v>
      </c>
      <c r="AD59" s="1">
        <f t="shared" si="30"/>
        <v>60</v>
      </c>
      <c r="AE59" s="1">
        <f t="shared" si="31"/>
        <v>93</v>
      </c>
      <c r="AF59" s="1">
        <f t="shared" si="32"/>
        <v>60</v>
      </c>
      <c r="AG59" s="1">
        <f t="shared" si="33"/>
        <v>97</v>
      </c>
      <c r="AH59" s="1">
        <f t="shared" ref="AH59:AI59" si="97">$B$1+$A59</f>
        <v>60</v>
      </c>
      <c r="AI59" s="1">
        <f t="shared" si="97"/>
        <v>60</v>
      </c>
      <c r="AJ59" s="1">
        <f t="shared" si="35"/>
        <v>101</v>
      </c>
      <c r="AK59" s="1">
        <f t="shared" si="36"/>
        <v>60</v>
      </c>
      <c r="AL59" s="1">
        <f t="shared" si="37"/>
        <v>107</v>
      </c>
      <c r="AM59" s="1">
        <f t="shared" si="38"/>
        <v>60</v>
      </c>
      <c r="AN59" s="1">
        <f t="shared" si="39"/>
        <v>110</v>
      </c>
      <c r="AO59" s="1">
        <f t="shared" si="40"/>
        <v>60</v>
      </c>
      <c r="AP59" s="1">
        <f t="shared" si="41"/>
        <v>119</v>
      </c>
      <c r="AR59" s="8">
        <f>COUNTIFS(score4pijlen,AP59) </f>
        <v>41</v>
      </c>
    </row>
    <row r="60">
      <c r="A60" s="2">
        <v>60.0</v>
      </c>
      <c r="B60" s="1">
        <f t="shared" si="2"/>
        <v>61</v>
      </c>
      <c r="C60" s="1">
        <f t="shared" si="3"/>
        <v>62</v>
      </c>
      <c r="D60" s="1">
        <f t="shared" si="4"/>
        <v>61</v>
      </c>
      <c r="E60" s="1">
        <f t="shared" si="5"/>
        <v>64</v>
      </c>
      <c r="F60" s="1">
        <f t="shared" si="6"/>
        <v>61</v>
      </c>
      <c r="G60" s="1">
        <f t="shared" si="7"/>
        <v>66</v>
      </c>
      <c r="H60" s="1">
        <f t="shared" si="8"/>
        <v>61</v>
      </c>
      <c r="I60" s="1">
        <f t="shared" si="9"/>
        <v>68</v>
      </c>
      <c r="J60" s="1">
        <f t="shared" si="10"/>
        <v>61</v>
      </c>
      <c r="K60" s="1">
        <f t="shared" si="11"/>
        <v>70</v>
      </c>
      <c r="L60" s="1">
        <f t="shared" si="12"/>
        <v>61</v>
      </c>
      <c r="M60" s="1">
        <f t="shared" si="13"/>
        <v>72</v>
      </c>
      <c r="N60" s="1">
        <f t="shared" si="14"/>
        <v>61</v>
      </c>
      <c r="O60" s="1">
        <f t="shared" si="15"/>
        <v>74</v>
      </c>
      <c r="P60" s="1">
        <f t="shared" si="16"/>
        <v>61</v>
      </c>
      <c r="Q60" s="1">
        <f t="shared" si="17"/>
        <v>76</v>
      </c>
      <c r="R60" s="1">
        <f t="shared" si="18"/>
        <v>61</v>
      </c>
      <c r="S60" s="1">
        <f t="shared" si="19"/>
        <v>78</v>
      </c>
      <c r="T60" s="1">
        <f t="shared" si="20"/>
        <v>61</v>
      </c>
      <c r="U60" s="1">
        <f t="shared" si="21"/>
        <v>80</v>
      </c>
      <c r="V60" s="1">
        <f t="shared" si="22"/>
        <v>61</v>
      </c>
      <c r="W60" s="1">
        <f t="shared" si="23"/>
        <v>82</v>
      </c>
      <c r="X60" s="1">
        <f t="shared" si="24"/>
        <v>61</v>
      </c>
      <c r="Y60" s="1">
        <f t="shared" si="25"/>
        <v>85</v>
      </c>
      <c r="Z60" s="1">
        <f t="shared" si="26"/>
        <v>61</v>
      </c>
      <c r="AA60" s="1">
        <f t="shared" si="27"/>
        <v>88</v>
      </c>
      <c r="AB60" s="1">
        <f t="shared" si="28"/>
        <v>61</v>
      </c>
      <c r="AC60" s="1">
        <f t="shared" si="29"/>
        <v>92</v>
      </c>
      <c r="AD60" s="1">
        <f t="shared" si="30"/>
        <v>61</v>
      </c>
      <c r="AE60" s="1">
        <f t="shared" si="31"/>
        <v>94</v>
      </c>
      <c r="AF60" s="1">
        <f t="shared" si="32"/>
        <v>61</v>
      </c>
      <c r="AG60" s="1">
        <f t="shared" si="33"/>
        <v>98</v>
      </c>
      <c r="AH60" s="1">
        <f t="shared" ref="AH60:AI60" si="98">$B$1+$A60</f>
        <v>61</v>
      </c>
      <c r="AI60" s="1">
        <f t="shared" si="98"/>
        <v>61</v>
      </c>
      <c r="AJ60" s="1">
        <f t="shared" si="35"/>
        <v>102</v>
      </c>
      <c r="AK60" s="1">
        <f t="shared" si="36"/>
        <v>61</v>
      </c>
      <c r="AL60" s="1">
        <f t="shared" si="37"/>
        <v>108</v>
      </c>
      <c r="AM60" s="1">
        <f t="shared" si="38"/>
        <v>61</v>
      </c>
      <c r="AN60" s="1">
        <f t="shared" si="39"/>
        <v>111</v>
      </c>
      <c r="AO60" s="1">
        <f t="shared" si="40"/>
        <v>61</v>
      </c>
      <c r="AP60" s="1">
        <f t="shared" si="41"/>
        <v>120</v>
      </c>
      <c r="AR60" s="8">
        <f>COUNTIFS(score4pijlen,AP60) </f>
        <v>41</v>
      </c>
    </row>
    <row r="61">
      <c r="A61" s="2">
        <v>61.0</v>
      </c>
      <c r="B61" s="1">
        <f t="shared" si="2"/>
        <v>62</v>
      </c>
      <c r="C61" s="1">
        <f t="shared" si="3"/>
        <v>63</v>
      </c>
      <c r="D61" s="1">
        <f t="shared" si="4"/>
        <v>62</v>
      </c>
      <c r="E61" s="1">
        <f t="shared" si="5"/>
        <v>65</v>
      </c>
      <c r="F61" s="1">
        <f t="shared" si="6"/>
        <v>62</v>
      </c>
      <c r="G61" s="1">
        <f t="shared" si="7"/>
        <v>67</v>
      </c>
      <c r="H61" s="1">
        <f t="shared" si="8"/>
        <v>62</v>
      </c>
      <c r="I61" s="1">
        <f t="shared" si="9"/>
        <v>69</v>
      </c>
      <c r="J61" s="1">
        <f t="shared" si="10"/>
        <v>62</v>
      </c>
      <c r="K61" s="1">
        <f t="shared" si="11"/>
        <v>71</v>
      </c>
      <c r="L61" s="1">
        <f t="shared" si="12"/>
        <v>62</v>
      </c>
      <c r="M61" s="1">
        <f t="shared" si="13"/>
        <v>73</v>
      </c>
      <c r="N61" s="1">
        <f t="shared" si="14"/>
        <v>62</v>
      </c>
      <c r="O61" s="1">
        <f t="shared" si="15"/>
        <v>75</v>
      </c>
      <c r="P61" s="1">
        <f t="shared" si="16"/>
        <v>62</v>
      </c>
      <c r="Q61" s="1">
        <f t="shared" si="17"/>
        <v>77</v>
      </c>
      <c r="R61" s="1">
        <f t="shared" si="18"/>
        <v>62</v>
      </c>
      <c r="S61" s="1">
        <f t="shared" si="19"/>
        <v>79</v>
      </c>
      <c r="T61" s="1">
        <f t="shared" si="20"/>
        <v>62</v>
      </c>
      <c r="U61" s="1">
        <f t="shared" si="21"/>
        <v>81</v>
      </c>
      <c r="V61" s="1">
        <f t="shared" si="22"/>
        <v>62</v>
      </c>
      <c r="W61" s="1">
        <f t="shared" si="23"/>
        <v>83</v>
      </c>
      <c r="X61" s="1">
        <f t="shared" si="24"/>
        <v>62</v>
      </c>
      <c r="Y61" s="1">
        <f t="shared" si="25"/>
        <v>86</v>
      </c>
      <c r="Z61" s="1">
        <f t="shared" si="26"/>
        <v>62</v>
      </c>
      <c r="AA61" s="1">
        <f t="shared" si="27"/>
        <v>89</v>
      </c>
      <c r="AB61" s="1">
        <f t="shared" si="28"/>
        <v>62</v>
      </c>
      <c r="AC61" s="1">
        <f t="shared" si="29"/>
        <v>93</v>
      </c>
      <c r="AD61" s="1">
        <f t="shared" si="30"/>
        <v>62</v>
      </c>
      <c r="AE61" s="1">
        <f t="shared" si="31"/>
        <v>95</v>
      </c>
      <c r="AF61" s="1">
        <f t="shared" si="32"/>
        <v>62</v>
      </c>
      <c r="AG61" s="1">
        <f t="shared" si="33"/>
        <v>99</v>
      </c>
      <c r="AH61" s="1">
        <f t="shared" ref="AH61:AI61" si="99">$B$1+$A61</f>
        <v>62</v>
      </c>
      <c r="AI61" s="1">
        <f t="shared" si="99"/>
        <v>62</v>
      </c>
      <c r="AJ61" s="1">
        <f t="shared" si="35"/>
        <v>103</v>
      </c>
      <c r="AK61" s="1">
        <f t="shared" si="36"/>
        <v>62</v>
      </c>
      <c r="AL61" s="1">
        <f t="shared" si="37"/>
        <v>109</v>
      </c>
      <c r="AM61" s="1">
        <f t="shared" si="38"/>
        <v>62</v>
      </c>
      <c r="AN61" s="1">
        <f t="shared" si="39"/>
        <v>112</v>
      </c>
      <c r="AO61" s="1">
        <f t="shared" si="40"/>
        <v>62</v>
      </c>
      <c r="AP61" s="1">
        <f t="shared" si="41"/>
        <v>121</v>
      </c>
      <c r="AR61" s="8">
        <f>COUNTIFS(score4pijlen,AP61) </f>
        <v>41</v>
      </c>
    </row>
    <row r="62">
      <c r="A62" s="2">
        <v>62.0</v>
      </c>
      <c r="B62" s="1">
        <f t="shared" si="2"/>
        <v>63</v>
      </c>
      <c r="C62" s="1">
        <f t="shared" si="3"/>
        <v>64</v>
      </c>
      <c r="D62" s="1">
        <f t="shared" si="4"/>
        <v>63</v>
      </c>
      <c r="E62" s="1">
        <f t="shared" si="5"/>
        <v>66</v>
      </c>
      <c r="F62" s="1">
        <f t="shared" si="6"/>
        <v>63</v>
      </c>
      <c r="G62" s="1">
        <f t="shared" si="7"/>
        <v>68</v>
      </c>
      <c r="H62" s="1">
        <f t="shared" si="8"/>
        <v>63</v>
      </c>
      <c r="I62" s="1">
        <f t="shared" si="9"/>
        <v>70</v>
      </c>
      <c r="J62" s="1">
        <f t="shared" si="10"/>
        <v>63</v>
      </c>
      <c r="K62" s="1">
        <f t="shared" si="11"/>
        <v>72</v>
      </c>
      <c r="L62" s="1">
        <f t="shared" si="12"/>
        <v>63</v>
      </c>
      <c r="M62" s="1">
        <f t="shared" si="13"/>
        <v>74</v>
      </c>
      <c r="N62" s="1">
        <f t="shared" si="14"/>
        <v>63</v>
      </c>
      <c r="O62" s="1">
        <f t="shared" si="15"/>
        <v>76</v>
      </c>
      <c r="P62" s="1">
        <f t="shared" si="16"/>
        <v>63</v>
      </c>
      <c r="Q62" s="1">
        <f t="shared" si="17"/>
        <v>78</v>
      </c>
      <c r="R62" s="1">
        <f t="shared" si="18"/>
        <v>63</v>
      </c>
      <c r="S62" s="1">
        <f t="shared" si="19"/>
        <v>80</v>
      </c>
      <c r="T62" s="1">
        <f t="shared" si="20"/>
        <v>63</v>
      </c>
      <c r="U62" s="1">
        <f t="shared" si="21"/>
        <v>82</v>
      </c>
      <c r="V62" s="1">
        <f t="shared" si="22"/>
        <v>63</v>
      </c>
      <c r="W62" s="1">
        <f t="shared" si="23"/>
        <v>84</v>
      </c>
      <c r="X62" s="1">
        <f t="shared" si="24"/>
        <v>63</v>
      </c>
      <c r="Y62" s="1">
        <f t="shared" si="25"/>
        <v>87</v>
      </c>
      <c r="Z62" s="1">
        <f t="shared" si="26"/>
        <v>63</v>
      </c>
      <c r="AA62" s="1">
        <f t="shared" si="27"/>
        <v>90</v>
      </c>
      <c r="AB62" s="1">
        <f t="shared" si="28"/>
        <v>63</v>
      </c>
      <c r="AC62" s="1">
        <f t="shared" si="29"/>
        <v>94</v>
      </c>
      <c r="AD62" s="1">
        <f t="shared" si="30"/>
        <v>63</v>
      </c>
      <c r="AE62" s="1">
        <f t="shared" si="31"/>
        <v>96</v>
      </c>
      <c r="AF62" s="1">
        <f t="shared" si="32"/>
        <v>63</v>
      </c>
      <c r="AG62" s="1">
        <f t="shared" si="33"/>
        <v>100</v>
      </c>
      <c r="AH62" s="1">
        <f t="shared" ref="AH62:AI62" si="100">$B$1+$A62</f>
        <v>63</v>
      </c>
      <c r="AI62" s="1">
        <f t="shared" si="100"/>
        <v>63</v>
      </c>
      <c r="AJ62" s="1">
        <f t="shared" si="35"/>
        <v>104</v>
      </c>
      <c r="AK62" s="1">
        <f t="shared" si="36"/>
        <v>63</v>
      </c>
      <c r="AL62" s="1">
        <f t="shared" si="37"/>
        <v>110</v>
      </c>
      <c r="AM62" s="1">
        <f t="shared" si="38"/>
        <v>63</v>
      </c>
      <c r="AN62" s="1">
        <f t="shared" si="39"/>
        <v>113</v>
      </c>
      <c r="AO62" s="1">
        <f t="shared" si="40"/>
        <v>63</v>
      </c>
      <c r="AP62" s="1">
        <f t="shared" si="41"/>
        <v>122</v>
      </c>
      <c r="AR62" s="8">
        <f>COUNTIFS(score4pijlen,AP62) </f>
        <v>41</v>
      </c>
    </row>
    <row r="63">
      <c r="A63" s="2">
        <v>63.0</v>
      </c>
      <c r="B63" s="1">
        <f t="shared" si="2"/>
        <v>64</v>
      </c>
      <c r="C63" s="1">
        <f t="shared" si="3"/>
        <v>65</v>
      </c>
      <c r="D63" s="1">
        <f t="shared" si="4"/>
        <v>64</v>
      </c>
      <c r="E63" s="1">
        <f t="shared" si="5"/>
        <v>67</v>
      </c>
      <c r="F63" s="1">
        <f t="shared" si="6"/>
        <v>64</v>
      </c>
      <c r="G63" s="1">
        <f t="shared" si="7"/>
        <v>69</v>
      </c>
      <c r="H63" s="1">
        <f t="shared" si="8"/>
        <v>64</v>
      </c>
      <c r="I63" s="1">
        <f t="shared" si="9"/>
        <v>71</v>
      </c>
      <c r="J63" s="1">
        <f t="shared" si="10"/>
        <v>64</v>
      </c>
      <c r="K63" s="1">
        <f t="shared" si="11"/>
        <v>73</v>
      </c>
      <c r="L63" s="1">
        <f t="shared" si="12"/>
        <v>64</v>
      </c>
      <c r="M63" s="1">
        <f t="shared" si="13"/>
        <v>75</v>
      </c>
      <c r="N63" s="1">
        <f t="shared" si="14"/>
        <v>64</v>
      </c>
      <c r="O63" s="1">
        <f t="shared" si="15"/>
        <v>77</v>
      </c>
      <c r="P63" s="1">
        <f t="shared" si="16"/>
        <v>64</v>
      </c>
      <c r="Q63" s="1">
        <f t="shared" si="17"/>
        <v>79</v>
      </c>
      <c r="R63" s="1">
        <f t="shared" si="18"/>
        <v>64</v>
      </c>
      <c r="S63" s="1">
        <f t="shared" si="19"/>
        <v>81</v>
      </c>
      <c r="T63" s="1">
        <f t="shared" si="20"/>
        <v>64</v>
      </c>
      <c r="U63" s="1">
        <f t="shared" si="21"/>
        <v>83</v>
      </c>
      <c r="V63" s="1">
        <f t="shared" si="22"/>
        <v>64</v>
      </c>
      <c r="W63" s="1">
        <f t="shared" si="23"/>
        <v>85</v>
      </c>
      <c r="X63" s="1">
        <f t="shared" si="24"/>
        <v>64</v>
      </c>
      <c r="Y63" s="1">
        <f t="shared" si="25"/>
        <v>88</v>
      </c>
      <c r="Z63" s="1">
        <f t="shared" si="26"/>
        <v>64</v>
      </c>
      <c r="AA63" s="1">
        <f t="shared" si="27"/>
        <v>91</v>
      </c>
      <c r="AB63" s="1">
        <f t="shared" si="28"/>
        <v>64</v>
      </c>
      <c r="AC63" s="1">
        <f t="shared" si="29"/>
        <v>95</v>
      </c>
      <c r="AD63" s="1">
        <f t="shared" si="30"/>
        <v>64</v>
      </c>
      <c r="AE63" s="1">
        <f t="shared" si="31"/>
        <v>97</v>
      </c>
      <c r="AF63" s="1">
        <f t="shared" si="32"/>
        <v>64</v>
      </c>
      <c r="AG63" s="1">
        <f t="shared" si="33"/>
        <v>101</v>
      </c>
      <c r="AH63" s="1">
        <f t="shared" ref="AH63:AI63" si="101">$B$1+$A63</f>
        <v>64</v>
      </c>
      <c r="AI63" s="1">
        <f t="shared" si="101"/>
        <v>64</v>
      </c>
      <c r="AJ63" s="1">
        <f t="shared" si="35"/>
        <v>105</v>
      </c>
      <c r="AK63" s="1">
        <f t="shared" si="36"/>
        <v>64</v>
      </c>
      <c r="AL63" s="1">
        <f t="shared" si="37"/>
        <v>111</v>
      </c>
      <c r="AM63" s="1">
        <f t="shared" si="38"/>
        <v>64</v>
      </c>
      <c r="AN63" s="1">
        <f t="shared" si="39"/>
        <v>114</v>
      </c>
      <c r="AO63" s="1">
        <f t="shared" si="40"/>
        <v>64</v>
      </c>
      <c r="AP63" s="1">
        <f t="shared" si="41"/>
        <v>123</v>
      </c>
      <c r="AR63" s="8">
        <f>COUNTIFS(score4pijlen,AP63) </f>
        <v>41</v>
      </c>
    </row>
    <row r="64">
      <c r="A64" s="2">
        <v>64.0</v>
      </c>
      <c r="B64" s="1">
        <f t="shared" si="2"/>
        <v>65</v>
      </c>
      <c r="C64" s="1">
        <f t="shared" si="3"/>
        <v>66</v>
      </c>
      <c r="D64" s="1">
        <f t="shared" si="4"/>
        <v>65</v>
      </c>
      <c r="E64" s="1">
        <f t="shared" si="5"/>
        <v>68</v>
      </c>
      <c r="F64" s="1">
        <f t="shared" si="6"/>
        <v>65</v>
      </c>
      <c r="G64" s="1">
        <f t="shared" si="7"/>
        <v>70</v>
      </c>
      <c r="H64" s="1">
        <f t="shared" si="8"/>
        <v>65</v>
      </c>
      <c r="I64" s="1">
        <f t="shared" si="9"/>
        <v>72</v>
      </c>
      <c r="J64" s="1">
        <f t="shared" si="10"/>
        <v>65</v>
      </c>
      <c r="K64" s="1">
        <f t="shared" si="11"/>
        <v>74</v>
      </c>
      <c r="L64" s="1">
        <f t="shared" si="12"/>
        <v>65</v>
      </c>
      <c r="M64" s="1">
        <f t="shared" si="13"/>
        <v>76</v>
      </c>
      <c r="N64" s="1">
        <f t="shared" si="14"/>
        <v>65</v>
      </c>
      <c r="O64" s="1">
        <f t="shared" si="15"/>
        <v>78</v>
      </c>
      <c r="P64" s="1">
        <f t="shared" si="16"/>
        <v>65</v>
      </c>
      <c r="Q64" s="1">
        <f t="shared" si="17"/>
        <v>80</v>
      </c>
      <c r="R64" s="1">
        <f t="shared" si="18"/>
        <v>65</v>
      </c>
      <c r="S64" s="1">
        <f t="shared" si="19"/>
        <v>82</v>
      </c>
      <c r="T64" s="1">
        <f t="shared" si="20"/>
        <v>65</v>
      </c>
      <c r="U64" s="1">
        <f t="shared" si="21"/>
        <v>84</v>
      </c>
      <c r="V64" s="1">
        <f t="shared" si="22"/>
        <v>65</v>
      </c>
      <c r="W64" s="1">
        <f t="shared" si="23"/>
        <v>86</v>
      </c>
      <c r="X64" s="1">
        <f t="shared" si="24"/>
        <v>65</v>
      </c>
      <c r="Y64" s="1">
        <f t="shared" si="25"/>
        <v>89</v>
      </c>
      <c r="Z64" s="1">
        <f t="shared" si="26"/>
        <v>65</v>
      </c>
      <c r="AA64" s="1">
        <f t="shared" si="27"/>
        <v>92</v>
      </c>
      <c r="AB64" s="1">
        <f t="shared" si="28"/>
        <v>65</v>
      </c>
      <c r="AC64" s="1">
        <f t="shared" si="29"/>
        <v>96</v>
      </c>
      <c r="AD64" s="1">
        <f t="shared" si="30"/>
        <v>65</v>
      </c>
      <c r="AE64" s="1">
        <f t="shared" si="31"/>
        <v>98</v>
      </c>
      <c r="AF64" s="1">
        <f t="shared" si="32"/>
        <v>65</v>
      </c>
      <c r="AG64" s="1">
        <f t="shared" si="33"/>
        <v>102</v>
      </c>
      <c r="AH64" s="1">
        <f t="shared" ref="AH64:AI64" si="102">$B$1+$A64</f>
        <v>65</v>
      </c>
      <c r="AI64" s="1">
        <f t="shared" si="102"/>
        <v>65</v>
      </c>
      <c r="AJ64" s="1">
        <f t="shared" si="35"/>
        <v>106</v>
      </c>
      <c r="AK64" s="1">
        <f t="shared" si="36"/>
        <v>65</v>
      </c>
      <c r="AL64" s="1">
        <f t="shared" si="37"/>
        <v>112</v>
      </c>
      <c r="AM64" s="1">
        <f t="shared" si="38"/>
        <v>65</v>
      </c>
      <c r="AN64" s="1">
        <f t="shared" si="39"/>
        <v>115</v>
      </c>
      <c r="AO64" s="1">
        <f t="shared" si="40"/>
        <v>65</v>
      </c>
      <c r="AP64" s="1">
        <f t="shared" si="41"/>
        <v>124</v>
      </c>
      <c r="AR64" s="8">
        <f>COUNTIFS(score4pijlen,AP64) </f>
        <v>41</v>
      </c>
    </row>
    <row r="65">
      <c r="A65" s="2">
        <v>65.0</v>
      </c>
      <c r="B65" s="1">
        <f t="shared" si="2"/>
        <v>66</v>
      </c>
      <c r="C65" s="1">
        <f t="shared" si="3"/>
        <v>67</v>
      </c>
      <c r="D65" s="1">
        <f t="shared" si="4"/>
        <v>66</v>
      </c>
      <c r="E65" s="1">
        <f t="shared" si="5"/>
        <v>69</v>
      </c>
      <c r="F65" s="1">
        <f t="shared" si="6"/>
        <v>66</v>
      </c>
      <c r="G65" s="1">
        <f t="shared" si="7"/>
        <v>71</v>
      </c>
      <c r="H65" s="1">
        <f t="shared" si="8"/>
        <v>66</v>
      </c>
      <c r="I65" s="1">
        <f t="shared" si="9"/>
        <v>73</v>
      </c>
      <c r="J65" s="1">
        <f t="shared" si="10"/>
        <v>66</v>
      </c>
      <c r="K65" s="1">
        <f t="shared" si="11"/>
        <v>75</v>
      </c>
      <c r="L65" s="1">
        <f t="shared" si="12"/>
        <v>66</v>
      </c>
      <c r="M65" s="1">
        <f t="shared" si="13"/>
        <v>77</v>
      </c>
      <c r="N65" s="1">
        <f t="shared" si="14"/>
        <v>66</v>
      </c>
      <c r="O65" s="1">
        <f t="shared" si="15"/>
        <v>79</v>
      </c>
      <c r="P65" s="1">
        <f t="shared" si="16"/>
        <v>66</v>
      </c>
      <c r="Q65" s="1">
        <f t="shared" si="17"/>
        <v>81</v>
      </c>
      <c r="R65" s="1">
        <f t="shared" si="18"/>
        <v>66</v>
      </c>
      <c r="S65" s="1">
        <f t="shared" si="19"/>
        <v>83</v>
      </c>
      <c r="T65" s="1">
        <f t="shared" si="20"/>
        <v>66</v>
      </c>
      <c r="U65" s="1">
        <f t="shared" si="21"/>
        <v>85</v>
      </c>
      <c r="V65" s="1">
        <f t="shared" si="22"/>
        <v>66</v>
      </c>
      <c r="W65" s="1">
        <f t="shared" si="23"/>
        <v>87</v>
      </c>
      <c r="X65" s="1">
        <f t="shared" si="24"/>
        <v>66</v>
      </c>
      <c r="Y65" s="1">
        <f t="shared" si="25"/>
        <v>90</v>
      </c>
      <c r="Z65" s="1">
        <f t="shared" si="26"/>
        <v>66</v>
      </c>
      <c r="AA65" s="1">
        <f t="shared" si="27"/>
        <v>93</v>
      </c>
      <c r="AB65" s="1">
        <f t="shared" si="28"/>
        <v>66</v>
      </c>
      <c r="AC65" s="1">
        <f t="shared" si="29"/>
        <v>97</v>
      </c>
      <c r="AD65" s="1">
        <f t="shared" si="30"/>
        <v>66</v>
      </c>
      <c r="AE65" s="1">
        <f t="shared" si="31"/>
        <v>99</v>
      </c>
      <c r="AF65" s="1">
        <f t="shared" si="32"/>
        <v>66</v>
      </c>
      <c r="AG65" s="1">
        <f t="shared" si="33"/>
        <v>103</v>
      </c>
      <c r="AH65" s="1">
        <f t="shared" ref="AH65:AI65" si="103">$B$1+$A65</f>
        <v>66</v>
      </c>
      <c r="AI65" s="1">
        <f t="shared" si="103"/>
        <v>66</v>
      </c>
      <c r="AJ65" s="1">
        <f t="shared" si="35"/>
        <v>107</v>
      </c>
      <c r="AK65" s="1">
        <f t="shared" si="36"/>
        <v>66</v>
      </c>
      <c r="AL65" s="1">
        <f t="shared" si="37"/>
        <v>113</v>
      </c>
      <c r="AM65" s="1">
        <f t="shared" si="38"/>
        <v>66</v>
      </c>
      <c r="AN65" s="1">
        <f t="shared" si="39"/>
        <v>116</v>
      </c>
      <c r="AO65" s="1">
        <f t="shared" si="40"/>
        <v>66</v>
      </c>
      <c r="AP65" s="1">
        <f t="shared" si="41"/>
        <v>125</v>
      </c>
      <c r="AR65" s="8">
        <f>COUNTIFS(score4pijlen,AP65) </f>
        <v>41</v>
      </c>
    </row>
    <row r="66">
      <c r="A66" s="2">
        <v>66.0</v>
      </c>
      <c r="B66" s="1">
        <f t="shared" si="2"/>
        <v>67</v>
      </c>
      <c r="C66" s="1">
        <f t="shared" si="3"/>
        <v>68</v>
      </c>
      <c r="D66" s="1">
        <f t="shared" si="4"/>
        <v>67</v>
      </c>
      <c r="E66" s="1">
        <f t="shared" si="5"/>
        <v>70</v>
      </c>
      <c r="F66" s="1">
        <f t="shared" si="6"/>
        <v>67</v>
      </c>
      <c r="G66" s="1">
        <f t="shared" si="7"/>
        <v>72</v>
      </c>
      <c r="H66" s="1">
        <f t="shared" si="8"/>
        <v>67</v>
      </c>
      <c r="I66" s="1">
        <f t="shared" si="9"/>
        <v>74</v>
      </c>
      <c r="J66" s="1">
        <f t="shared" si="10"/>
        <v>67</v>
      </c>
      <c r="K66" s="1">
        <f t="shared" si="11"/>
        <v>76</v>
      </c>
      <c r="L66" s="1">
        <f t="shared" si="12"/>
        <v>67</v>
      </c>
      <c r="M66" s="1">
        <f t="shared" si="13"/>
        <v>78</v>
      </c>
      <c r="N66" s="1">
        <f t="shared" si="14"/>
        <v>67</v>
      </c>
      <c r="O66" s="1">
        <f t="shared" si="15"/>
        <v>80</v>
      </c>
      <c r="P66" s="1">
        <f t="shared" si="16"/>
        <v>67</v>
      </c>
      <c r="Q66" s="1">
        <f t="shared" si="17"/>
        <v>82</v>
      </c>
      <c r="R66" s="1">
        <f t="shared" si="18"/>
        <v>67</v>
      </c>
      <c r="S66" s="1">
        <f t="shared" si="19"/>
        <v>84</v>
      </c>
      <c r="T66" s="1">
        <f t="shared" si="20"/>
        <v>67</v>
      </c>
      <c r="U66" s="1">
        <f t="shared" si="21"/>
        <v>86</v>
      </c>
      <c r="V66" s="1">
        <f t="shared" si="22"/>
        <v>67</v>
      </c>
      <c r="W66" s="1">
        <f t="shared" si="23"/>
        <v>88</v>
      </c>
      <c r="X66" s="1">
        <f t="shared" si="24"/>
        <v>67</v>
      </c>
      <c r="Y66" s="1">
        <f t="shared" si="25"/>
        <v>91</v>
      </c>
      <c r="Z66" s="1">
        <f t="shared" si="26"/>
        <v>67</v>
      </c>
      <c r="AA66" s="1">
        <f t="shared" si="27"/>
        <v>94</v>
      </c>
      <c r="AB66" s="1">
        <f t="shared" si="28"/>
        <v>67</v>
      </c>
      <c r="AC66" s="1">
        <f t="shared" si="29"/>
        <v>98</v>
      </c>
      <c r="AD66" s="1">
        <f t="shared" si="30"/>
        <v>67</v>
      </c>
      <c r="AE66" s="1">
        <f t="shared" si="31"/>
        <v>100</v>
      </c>
      <c r="AF66" s="1">
        <f t="shared" si="32"/>
        <v>67</v>
      </c>
      <c r="AG66" s="1">
        <f t="shared" si="33"/>
        <v>104</v>
      </c>
      <c r="AH66" s="1">
        <f t="shared" ref="AH66:AI66" si="104">$B$1+$A66</f>
        <v>67</v>
      </c>
      <c r="AI66" s="1">
        <f t="shared" si="104"/>
        <v>67</v>
      </c>
      <c r="AJ66" s="1">
        <f t="shared" si="35"/>
        <v>108</v>
      </c>
      <c r="AK66" s="1">
        <f t="shared" si="36"/>
        <v>67</v>
      </c>
      <c r="AL66" s="1">
        <f t="shared" si="37"/>
        <v>114</v>
      </c>
      <c r="AM66" s="1">
        <f t="shared" si="38"/>
        <v>67</v>
      </c>
      <c r="AN66" s="1">
        <f t="shared" si="39"/>
        <v>117</v>
      </c>
      <c r="AO66" s="1">
        <f t="shared" si="40"/>
        <v>67</v>
      </c>
      <c r="AP66" s="1">
        <f t="shared" si="41"/>
        <v>126</v>
      </c>
      <c r="AR66" s="8">
        <f>COUNTIFS(score4pijlen,AP66) </f>
        <v>41</v>
      </c>
    </row>
    <row r="67">
      <c r="A67" s="2">
        <v>67.0</v>
      </c>
      <c r="B67" s="1">
        <f t="shared" si="2"/>
        <v>68</v>
      </c>
      <c r="C67" s="1">
        <f t="shared" si="3"/>
        <v>69</v>
      </c>
      <c r="D67" s="1">
        <f t="shared" si="4"/>
        <v>68</v>
      </c>
      <c r="E67" s="1">
        <f t="shared" si="5"/>
        <v>71</v>
      </c>
      <c r="F67" s="1">
        <f t="shared" si="6"/>
        <v>68</v>
      </c>
      <c r="G67" s="1">
        <f t="shared" si="7"/>
        <v>73</v>
      </c>
      <c r="H67" s="1">
        <f t="shared" si="8"/>
        <v>68</v>
      </c>
      <c r="I67" s="1">
        <f t="shared" si="9"/>
        <v>75</v>
      </c>
      <c r="J67" s="1">
        <f t="shared" si="10"/>
        <v>68</v>
      </c>
      <c r="K67" s="1">
        <f t="shared" si="11"/>
        <v>77</v>
      </c>
      <c r="L67" s="1">
        <f t="shared" si="12"/>
        <v>68</v>
      </c>
      <c r="M67" s="1">
        <f t="shared" si="13"/>
        <v>79</v>
      </c>
      <c r="N67" s="1">
        <f t="shared" si="14"/>
        <v>68</v>
      </c>
      <c r="O67" s="1">
        <f t="shared" si="15"/>
        <v>81</v>
      </c>
      <c r="P67" s="1">
        <f t="shared" si="16"/>
        <v>68</v>
      </c>
      <c r="Q67" s="1">
        <f t="shared" si="17"/>
        <v>83</v>
      </c>
      <c r="R67" s="1">
        <f t="shared" si="18"/>
        <v>68</v>
      </c>
      <c r="S67" s="1">
        <f t="shared" si="19"/>
        <v>85</v>
      </c>
      <c r="T67" s="1">
        <f t="shared" si="20"/>
        <v>68</v>
      </c>
      <c r="U67" s="1">
        <f t="shared" si="21"/>
        <v>87</v>
      </c>
      <c r="V67" s="1">
        <f t="shared" si="22"/>
        <v>68</v>
      </c>
      <c r="W67" s="1">
        <f t="shared" si="23"/>
        <v>89</v>
      </c>
      <c r="X67" s="1">
        <f t="shared" si="24"/>
        <v>68</v>
      </c>
      <c r="Y67" s="1">
        <f t="shared" si="25"/>
        <v>92</v>
      </c>
      <c r="Z67" s="1">
        <f t="shared" si="26"/>
        <v>68</v>
      </c>
      <c r="AA67" s="1">
        <f t="shared" si="27"/>
        <v>95</v>
      </c>
      <c r="AB67" s="1">
        <f t="shared" si="28"/>
        <v>68</v>
      </c>
      <c r="AC67" s="1">
        <f t="shared" si="29"/>
        <v>99</v>
      </c>
      <c r="AD67" s="1">
        <f t="shared" si="30"/>
        <v>68</v>
      </c>
      <c r="AE67" s="1">
        <f t="shared" si="31"/>
        <v>101</v>
      </c>
      <c r="AF67" s="1">
        <f t="shared" si="32"/>
        <v>68</v>
      </c>
      <c r="AG67" s="1">
        <f t="shared" si="33"/>
        <v>105</v>
      </c>
      <c r="AH67" s="1">
        <f t="shared" ref="AH67:AI67" si="105">$B$1+$A67</f>
        <v>68</v>
      </c>
      <c r="AI67" s="1">
        <f t="shared" si="105"/>
        <v>68</v>
      </c>
      <c r="AJ67" s="1">
        <f t="shared" si="35"/>
        <v>109</v>
      </c>
      <c r="AK67" s="1">
        <f t="shared" si="36"/>
        <v>68</v>
      </c>
      <c r="AL67" s="1">
        <f t="shared" si="37"/>
        <v>115</v>
      </c>
      <c r="AM67" s="1">
        <f t="shared" si="38"/>
        <v>68</v>
      </c>
      <c r="AN67" s="1">
        <f t="shared" si="39"/>
        <v>118</v>
      </c>
      <c r="AO67" s="1">
        <f t="shared" si="40"/>
        <v>68</v>
      </c>
      <c r="AP67" s="1">
        <f t="shared" si="41"/>
        <v>127</v>
      </c>
      <c r="AR67" s="8">
        <f>COUNTIFS(score4pijlen,AP67) </f>
        <v>41</v>
      </c>
    </row>
    <row r="68">
      <c r="A68" s="2">
        <v>68.0</v>
      </c>
      <c r="B68" s="1">
        <f t="shared" si="2"/>
        <v>69</v>
      </c>
      <c r="C68" s="1">
        <f t="shared" si="3"/>
        <v>70</v>
      </c>
      <c r="D68" s="1">
        <f t="shared" si="4"/>
        <v>69</v>
      </c>
      <c r="E68" s="1">
        <f t="shared" si="5"/>
        <v>72</v>
      </c>
      <c r="F68" s="1">
        <f t="shared" si="6"/>
        <v>69</v>
      </c>
      <c r="G68" s="1">
        <f t="shared" si="7"/>
        <v>74</v>
      </c>
      <c r="H68" s="1">
        <f t="shared" si="8"/>
        <v>69</v>
      </c>
      <c r="I68" s="1">
        <f t="shared" si="9"/>
        <v>76</v>
      </c>
      <c r="J68" s="1">
        <f t="shared" si="10"/>
        <v>69</v>
      </c>
      <c r="K68" s="1">
        <f t="shared" si="11"/>
        <v>78</v>
      </c>
      <c r="L68" s="1">
        <f t="shared" si="12"/>
        <v>69</v>
      </c>
      <c r="M68" s="1">
        <f t="shared" si="13"/>
        <v>80</v>
      </c>
      <c r="N68" s="1">
        <f t="shared" si="14"/>
        <v>69</v>
      </c>
      <c r="O68" s="1">
        <f t="shared" si="15"/>
        <v>82</v>
      </c>
      <c r="P68" s="1">
        <f t="shared" si="16"/>
        <v>69</v>
      </c>
      <c r="Q68" s="1">
        <f t="shared" si="17"/>
        <v>84</v>
      </c>
      <c r="R68" s="1">
        <f t="shared" si="18"/>
        <v>69</v>
      </c>
      <c r="S68" s="1">
        <f t="shared" si="19"/>
        <v>86</v>
      </c>
      <c r="T68" s="1">
        <f t="shared" si="20"/>
        <v>69</v>
      </c>
      <c r="U68" s="1">
        <f t="shared" si="21"/>
        <v>88</v>
      </c>
      <c r="V68" s="1">
        <f t="shared" si="22"/>
        <v>69</v>
      </c>
      <c r="W68" s="1">
        <f t="shared" si="23"/>
        <v>90</v>
      </c>
      <c r="X68" s="1">
        <f t="shared" si="24"/>
        <v>69</v>
      </c>
      <c r="Y68" s="1">
        <f t="shared" si="25"/>
        <v>93</v>
      </c>
      <c r="Z68" s="1">
        <f t="shared" si="26"/>
        <v>69</v>
      </c>
      <c r="AA68" s="1">
        <f t="shared" si="27"/>
        <v>96</v>
      </c>
      <c r="AB68" s="1">
        <f t="shared" si="28"/>
        <v>69</v>
      </c>
      <c r="AC68" s="1">
        <f t="shared" si="29"/>
        <v>100</v>
      </c>
      <c r="AD68" s="1">
        <f t="shared" si="30"/>
        <v>69</v>
      </c>
      <c r="AE68" s="1">
        <f t="shared" si="31"/>
        <v>102</v>
      </c>
      <c r="AF68" s="1">
        <f t="shared" si="32"/>
        <v>69</v>
      </c>
      <c r="AG68" s="1">
        <f t="shared" si="33"/>
        <v>106</v>
      </c>
      <c r="AH68" s="1">
        <f t="shared" ref="AH68:AI68" si="106">$B$1+$A68</f>
        <v>69</v>
      </c>
      <c r="AI68" s="1">
        <f t="shared" si="106"/>
        <v>69</v>
      </c>
      <c r="AJ68" s="1">
        <f t="shared" si="35"/>
        <v>110</v>
      </c>
      <c r="AK68" s="1">
        <f t="shared" si="36"/>
        <v>69</v>
      </c>
      <c r="AL68" s="1">
        <f t="shared" si="37"/>
        <v>116</v>
      </c>
      <c r="AM68" s="1">
        <f t="shared" si="38"/>
        <v>69</v>
      </c>
      <c r="AN68" s="1">
        <f t="shared" si="39"/>
        <v>119</v>
      </c>
      <c r="AO68" s="1">
        <f t="shared" si="40"/>
        <v>69</v>
      </c>
      <c r="AP68" s="1">
        <f t="shared" si="41"/>
        <v>128</v>
      </c>
      <c r="AR68" s="8">
        <f>COUNTIFS(score4pijlen,AP68) </f>
        <v>41</v>
      </c>
    </row>
    <row r="69">
      <c r="A69" s="2">
        <v>69.0</v>
      </c>
      <c r="B69" s="1">
        <f t="shared" si="2"/>
        <v>70</v>
      </c>
      <c r="C69" s="1">
        <f t="shared" si="3"/>
        <v>71</v>
      </c>
      <c r="D69" s="1">
        <f t="shared" si="4"/>
        <v>70</v>
      </c>
      <c r="E69" s="1">
        <f t="shared" si="5"/>
        <v>73</v>
      </c>
      <c r="F69" s="1">
        <f t="shared" si="6"/>
        <v>70</v>
      </c>
      <c r="G69" s="1">
        <f t="shared" si="7"/>
        <v>75</v>
      </c>
      <c r="H69" s="1">
        <f t="shared" si="8"/>
        <v>70</v>
      </c>
      <c r="I69" s="1">
        <f t="shared" si="9"/>
        <v>77</v>
      </c>
      <c r="J69" s="1">
        <f t="shared" si="10"/>
        <v>70</v>
      </c>
      <c r="K69" s="1">
        <f t="shared" si="11"/>
        <v>79</v>
      </c>
      <c r="L69" s="1">
        <f t="shared" si="12"/>
        <v>70</v>
      </c>
      <c r="M69" s="1">
        <f t="shared" si="13"/>
        <v>81</v>
      </c>
      <c r="N69" s="1">
        <f t="shared" si="14"/>
        <v>70</v>
      </c>
      <c r="O69" s="1">
        <f t="shared" si="15"/>
        <v>83</v>
      </c>
      <c r="P69" s="1">
        <f t="shared" si="16"/>
        <v>70</v>
      </c>
      <c r="Q69" s="1">
        <f t="shared" si="17"/>
        <v>85</v>
      </c>
      <c r="R69" s="1">
        <f t="shared" si="18"/>
        <v>70</v>
      </c>
      <c r="S69" s="1">
        <f t="shared" si="19"/>
        <v>87</v>
      </c>
      <c r="T69" s="1">
        <f t="shared" si="20"/>
        <v>70</v>
      </c>
      <c r="U69" s="1">
        <f t="shared" si="21"/>
        <v>89</v>
      </c>
      <c r="V69" s="1">
        <f t="shared" si="22"/>
        <v>70</v>
      </c>
      <c r="W69" s="1">
        <f t="shared" si="23"/>
        <v>91</v>
      </c>
      <c r="X69" s="1">
        <f t="shared" si="24"/>
        <v>70</v>
      </c>
      <c r="Y69" s="1">
        <f t="shared" si="25"/>
        <v>94</v>
      </c>
      <c r="Z69" s="1">
        <f t="shared" si="26"/>
        <v>70</v>
      </c>
      <c r="AA69" s="1">
        <f t="shared" si="27"/>
        <v>97</v>
      </c>
      <c r="AB69" s="1">
        <f t="shared" si="28"/>
        <v>70</v>
      </c>
      <c r="AC69" s="1">
        <f t="shared" si="29"/>
        <v>101</v>
      </c>
      <c r="AD69" s="1">
        <f t="shared" si="30"/>
        <v>70</v>
      </c>
      <c r="AE69" s="1">
        <f t="shared" si="31"/>
        <v>103</v>
      </c>
      <c r="AF69" s="1">
        <f t="shared" si="32"/>
        <v>70</v>
      </c>
      <c r="AG69" s="1">
        <f t="shared" si="33"/>
        <v>107</v>
      </c>
      <c r="AH69" s="1">
        <f t="shared" ref="AH69:AI69" si="107">$B$1+$A69</f>
        <v>70</v>
      </c>
      <c r="AI69" s="1">
        <f t="shared" si="107"/>
        <v>70</v>
      </c>
      <c r="AJ69" s="1">
        <f t="shared" si="35"/>
        <v>111</v>
      </c>
      <c r="AK69" s="1">
        <f t="shared" si="36"/>
        <v>70</v>
      </c>
      <c r="AL69" s="1">
        <f t="shared" si="37"/>
        <v>117</v>
      </c>
      <c r="AM69" s="1">
        <f t="shared" si="38"/>
        <v>70</v>
      </c>
      <c r="AN69" s="1">
        <f t="shared" si="39"/>
        <v>120</v>
      </c>
      <c r="AO69" s="1">
        <f t="shared" si="40"/>
        <v>70</v>
      </c>
      <c r="AP69" s="1">
        <f t="shared" si="41"/>
        <v>129</v>
      </c>
      <c r="AR69" s="8">
        <f>COUNTIFS(score4pijlen,AP69) </f>
        <v>41</v>
      </c>
    </row>
    <row r="70">
      <c r="A70" s="2">
        <v>70.0</v>
      </c>
      <c r="B70" s="1">
        <f t="shared" si="2"/>
        <v>71</v>
      </c>
      <c r="C70" s="1">
        <f t="shared" si="3"/>
        <v>72</v>
      </c>
      <c r="D70" s="1">
        <f t="shared" si="4"/>
        <v>71</v>
      </c>
      <c r="E70" s="1">
        <f t="shared" si="5"/>
        <v>74</v>
      </c>
      <c r="F70" s="1">
        <f t="shared" si="6"/>
        <v>71</v>
      </c>
      <c r="G70" s="1">
        <f t="shared" si="7"/>
        <v>76</v>
      </c>
      <c r="H70" s="1">
        <f t="shared" si="8"/>
        <v>71</v>
      </c>
      <c r="I70" s="1">
        <f t="shared" si="9"/>
        <v>78</v>
      </c>
      <c r="J70" s="1">
        <f t="shared" si="10"/>
        <v>71</v>
      </c>
      <c r="K70" s="1">
        <f t="shared" si="11"/>
        <v>80</v>
      </c>
      <c r="L70" s="1">
        <f t="shared" si="12"/>
        <v>71</v>
      </c>
      <c r="M70" s="1">
        <f t="shared" si="13"/>
        <v>82</v>
      </c>
      <c r="N70" s="1">
        <f t="shared" si="14"/>
        <v>71</v>
      </c>
      <c r="O70" s="1">
        <f t="shared" si="15"/>
        <v>84</v>
      </c>
      <c r="P70" s="1">
        <f t="shared" si="16"/>
        <v>71</v>
      </c>
      <c r="Q70" s="1">
        <f t="shared" si="17"/>
        <v>86</v>
      </c>
      <c r="R70" s="1">
        <f t="shared" si="18"/>
        <v>71</v>
      </c>
      <c r="S70" s="1">
        <f t="shared" si="19"/>
        <v>88</v>
      </c>
      <c r="T70" s="1">
        <f t="shared" si="20"/>
        <v>71</v>
      </c>
      <c r="U70" s="1">
        <f t="shared" si="21"/>
        <v>90</v>
      </c>
      <c r="V70" s="1">
        <f t="shared" si="22"/>
        <v>71</v>
      </c>
      <c r="W70" s="1">
        <f t="shared" si="23"/>
        <v>92</v>
      </c>
      <c r="X70" s="1">
        <f t="shared" si="24"/>
        <v>71</v>
      </c>
      <c r="Y70" s="1">
        <f t="shared" si="25"/>
        <v>95</v>
      </c>
      <c r="Z70" s="1">
        <f t="shared" si="26"/>
        <v>71</v>
      </c>
      <c r="AA70" s="1">
        <f t="shared" si="27"/>
        <v>98</v>
      </c>
      <c r="AB70" s="1">
        <f t="shared" si="28"/>
        <v>71</v>
      </c>
      <c r="AC70" s="1">
        <f t="shared" si="29"/>
        <v>102</v>
      </c>
      <c r="AD70" s="1">
        <f t="shared" si="30"/>
        <v>71</v>
      </c>
      <c r="AE70" s="1">
        <f t="shared" si="31"/>
        <v>104</v>
      </c>
      <c r="AF70" s="1">
        <f t="shared" si="32"/>
        <v>71</v>
      </c>
      <c r="AG70" s="1">
        <f t="shared" si="33"/>
        <v>108</v>
      </c>
      <c r="AH70" s="1">
        <f t="shared" ref="AH70:AI70" si="108">$B$1+$A70</f>
        <v>71</v>
      </c>
      <c r="AI70" s="1">
        <f t="shared" si="108"/>
        <v>71</v>
      </c>
      <c r="AJ70" s="1">
        <f t="shared" si="35"/>
        <v>112</v>
      </c>
      <c r="AK70" s="1">
        <f t="shared" si="36"/>
        <v>71</v>
      </c>
      <c r="AL70" s="1">
        <f t="shared" si="37"/>
        <v>118</v>
      </c>
      <c r="AM70" s="1">
        <f t="shared" si="38"/>
        <v>71</v>
      </c>
      <c r="AN70" s="1">
        <f t="shared" si="39"/>
        <v>121</v>
      </c>
      <c r="AO70" s="1">
        <f t="shared" si="40"/>
        <v>71</v>
      </c>
      <c r="AP70" s="1">
        <f t="shared" si="41"/>
        <v>130</v>
      </c>
      <c r="AR70" s="8">
        <f>COUNTIFS(score4pijlen,AP70) </f>
        <v>41</v>
      </c>
    </row>
    <row r="71">
      <c r="A71" s="2">
        <v>71.0</v>
      </c>
      <c r="B71" s="1">
        <f t="shared" si="2"/>
        <v>72</v>
      </c>
      <c r="C71" s="1">
        <f t="shared" si="3"/>
        <v>73</v>
      </c>
      <c r="D71" s="1">
        <f t="shared" si="4"/>
        <v>72</v>
      </c>
      <c r="E71" s="1">
        <f t="shared" si="5"/>
        <v>75</v>
      </c>
      <c r="F71" s="1">
        <f t="shared" si="6"/>
        <v>72</v>
      </c>
      <c r="G71" s="1">
        <f t="shared" si="7"/>
        <v>77</v>
      </c>
      <c r="H71" s="1">
        <f t="shared" si="8"/>
        <v>72</v>
      </c>
      <c r="I71" s="1">
        <f t="shared" si="9"/>
        <v>79</v>
      </c>
      <c r="J71" s="1">
        <f t="shared" si="10"/>
        <v>72</v>
      </c>
      <c r="K71" s="1">
        <f t="shared" si="11"/>
        <v>81</v>
      </c>
      <c r="L71" s="1">
        <f t="shared" si="12"/>
        <v>72</v>
      </c>
      <c r="M71" s="1">
        <f t="shared" si="13"/>
        <v>83</v>
      </c>
      <c r="N71" s="1">
        <f t="shared" si="14"/>
        <v>72</v>
      </c>
      <c r="O71" s="1">
        <f t="shared" si="15"/>
        <v>85</v>
      </c>
      <c r="P71" s="1">
        <f t="shared" si="16"/>
        <v>72</v>
      </c>
      <c r="Q71" s="1">
        <f t="shared" si="17"/>
        <v>87</v>
      </c>
      <c r="R71" s="1">
        <f t="shared" si="18"/>
        <v>72</v>
      </c>
      <c r="S71" s="1">
        <f t="shared" si="19"/>
        <v>89</v>
      </c>
      <c r="T71" s="1">
        <f t="shared" si="20"/>
        <v>72</v>
      </c>
      <c r="U71" s="1">
        <f t="shared" si="21"/>
        <v>91</v>
      </c>
      <c r="V71" s="1">
        <f t="shared" si="22"/>
        <v>72</v>
      </c>
      <c r="W71" s="1">
        <f t="shared" si="23"/>
        <v>93</v>
      </c>
      <c r="X71" s="1">
        <f t="shared" si="24"/>
        <v>72</v>
      </c>
      <c r="Y71" s="1">
        <f t="shared" si="25"/>
        <v>96</v>
      </c>
      <c r="Z71" s="1">
        <f t="shared" si="26"/>
        <v>72</v>
      </c>
      <c r="AA71" s="1">
        <f t="shared" si="27"/>
        <v>99</v>
      </c>
      <c r="AB71" s="1">
        <f t="shared" si="28"/>
        <v>72</v>
      </c>
      <c r="AC71" s="1">
        <f t="shared" si="29"/>
        <v>103</v>
      </c>
      <c r="AD71" s="1">
        <f t="shared" si="30"/>
        <v>72</v>
      </c>
      <c r="AE71" s="1">
        <f t="shared" si="31"/>
        <v>105</v>
      </c>
      <c r="AF71" s="1">
        <f t="shared" si="32"/>
        <v>72</v>
      </c>
      <c r="AG71" s="1">
        <f t="shared" si="33"/>
        <v>109</v>
      </c>
      <c r="AH71" s="1">
        <f t="shared" ref="AH71:AI71" si="109">$B$1+$A71</f>
        <v>72</v>
      </c>
      <c r="AI71" s="1">
        <f t="shared" si="109"/>
        <v>72</v>
      </c>
      <c r="AJ71" s="1">
        <f t="shared" si="35"/>
        <v>113</v>
      </c>
      <c r="AK71" s="1">
        <f t="shared" si="36"/>
        <v>72</v>
      </c>
      <c r="AL71" s="1">
        <f t="shared" si="37"/>
        <v>119</v>
      </c>
      <c r="AM71" s="1">
        <f t="shared" si="38"/>
        <v>72</v>
      </c>
      <c r="AN71" s="1">
        <f t="shared" si="39"/>
        <v>122</v>
      </c>
      <c r="AO71" s="1">
        <f t="shared" si="40"/>
        <v>72</v>
      </c>
      <c r="AP71" s="1">
        <f t="shared" si="41"/>
        <v>131</v>
      </c>
      <c r="AR71" s="8">
        <f>COUNTIFS(score4pijlen,AP71) </f>
        <v>41</v>
      </c>
    </row>
    <row r="72">
      <c r="A72" s="2">
        <v>72.0</v>
      </c>
      <c r="B72" s="1">
        <f t="shared" si="2"/>
        <v>73</v>
      </c>
      <c r="C72" s="1">
        <f t="shared" si="3"/>
        <v>74</v>
      </c>
      <c r="D72" s="1">
        <f t="shared" si="4"/>
        <v>73</v>
      </c>
      <c r="E72" s="1">
        <f t="shared" si="5"/>
        <v>76</v>
      </c>
      <c r="F72" s="1">
        <f t="shared" si="6"/>
        <v>73</v>
      </c>
      <c r="G72" s="1">
        <f t="shared" si="7"/>
        <v>78</v>
      </c>
      <c r="H72" s="1">
        <f t="shared" si="8"/>
        <v>73</v>
      </c>
      <c r="I72" s="1">
        <f t="shared" si="9"/>
        <v>80</v>
      </c>
      <c r="J72" s="1">
        <f t="shared" si="10"/>
        <v>73</v>
      </c>
      <c r="K72" s="1">
        <f t="shared" si="11"/>
        <v>82</v>
      </c>
      <c r="L72" s="1">
        <f t="shared" si="12"/>
        <v>73</v>
      </c>
      <c r="M72" s="1">
        <f t="shared" si="13"/>
        <v>84</v>
      </c>
      <c r="N72" s="1">
        <f t="shared" si="14"/>
        <v>73</v>
      </c>
      <c r="O72" s="1">
        <f t="shared" si="15"/>
        <v>86</v>
      </c>
      <c r="P72" s="1">
        <f t="shared" si="16"/>
        <v>73</v>
      </c>
      <c r="Q72" s="1">
        <f t="shared" si="17"/>
        <v>88</v>
      </c>
      <c r="R72" s="1">
        <f t="shared" si="18"/>
        <v>73</v>
      </c>
      <c r="S72" s="1">
        <f t="shared" si="19"/>
        <v>90</v>
      </c>
      <c r="T72" s="1">
        <f t="shared" si="20"/>
        <v>73</v>
      </c>
      <c r="U72" s="1">
        <f t="shared" si="21"/>
        <v>92</v>
      </c>
      <c r="V72" s="1">
        <f t="shared" si="22"/>
        <v>73</v>
      </c>
      <c r="W72" s="1">
        <f t="shared" si="23"/>
        <v>94</v>
      </c>
      <c r="X72" s="1">
        <f t="shared" si="24"/>
        <v>73</v>
      </c>
      <c r="Y72" s="1">
        <f t="shared" si="25"/>
        <v>97</v>
      </c>
      <c r="Z72" s="1">
        <f t="shared" si="26"/>
        <v>73</v>
      </c>
      <c r="AA72" s="1">
        <f t="shared" si="27"/>
        <v>100</v>
      </c>
      <c r="AB72" s="1">
        <f t="shared" si="28"/>
        <v>73</v>
      </c>
      <c r="AC72" s="1">
        <f t="shared" si="29"/>
        <v>104</v>
      </c>
      <c r="AD72" s="1">
        <f t="shared" si="30"/>
        <v>73</v>
      </c>
      <c r="AE72" s="1">
        <f t="shared" si="31"/>
        <v>106</v>
      </c>
      <c r="AF72" s="1">
        <f t="shared" si="32"/>
        <v>73</v>
      </c>
      <c r="AG72" s="1">
        <f t="shared" si="33"/>
        <v>110</v>
      </c>
      <c r="AH72" s="1">
        <f t="shared" ref="AH72:AI72" si="110">$B$1+$A72</f>
        <v>73</v>
      </c>
      <c r="AI72" s="1">
        <f t="shared" si="110"/>
        <v>73</v>
      </c>
      <c r="AJ72" s="1">
        <f t="shared" si="35"/>
        <v>114</v>
      </c>
      <c r="AK72" s="1">
        <f t="shared" si="36"/>
        <v>73</v>
      </c>
      <c r="AL72" s="1">
        <f t="shared" si="37"/>
        <v>120</v>
      </c>
      <c r="AM72" s="1">
        <f t="shared" si="38"/>
        <v>73</v>
      </c>
      <c r="AN72" s="1">
        <f t="shared" si="39"/>
        <v>123</v>
      </c>
      <c r="AO72" s="1">
        <f t="shared" si="40"/>
        <v>73</v>
      </c>
      <c r="AP72" s="1">
        <f t="shared" si="41"/>
        <v>132</v>
      </c>
      <c r="AR72" s="8">
        <f>COUNTIFS(score4pijlen,AP72) </f>
        <v>41</v>
      </c>
    </row>
    <row r="73">
      <c r="A73" s="2">
        <v>73.0</v>
      </c>
      <c r="B73" s="1">
        <f t="shared" si="2"/>
        <v>74</v>
      </c>
      <c r="C73" s="1">
        <f t="shared" si="3"/>
        <v>75</v>
      </c>
      <c r="D73" s="1">
        <f t="shared" si="4"/>
        <v>74</v>
      </c>
      <c r="E73" s="1">
        <f t="shared" si="5"/>
        <v>77</v>
      </c>
      <c r="F73" s="1">
        <f t="shared" si="6"/>
        <v>74</v>
      </c>
      <c r="G73" s="1">
        <f t="shared" si="7"/>
        <v>79</v>
      </c>
      <c r="H73" s="1">
        <f t="shared" si="8"/>
        <v>74</v>
      </c>
      <c r="I73" s="1">
        <f t="shared" si="9"/>
        <v>81</v>
      </c>
      <c r="J73" s="1">
        <f t="shared" si="10"/>
        <v>74</v>
      </c>
      <c r="K73" s="1">
        <f t="shared" si="11"/>
        <v>83</v>
      </c>
      <c r="L73" s="1">
        <f t="shared" si="12"/>
        <v>74</v>
      </c>
      <c r="M73" s="1">
        <f t="shared" si="13"/>
        <v>85</v>
      </c>
      <c r="N73" s="1">
        <f t="shared" si="14"/>
        <v>74</v>
      </c>
      <c r="O73" s="1">
        <f t="shared" si="15"/>
        <v>87</v>
      </c>
      <c r="P73" s="1">
        <f t="shared" si="16"/>
        <v>74</v>
      </c>
      <c r="Q73" s="1">
        <f t="shared" si="17"/>
        <v>89</v>
      </c>
      <c r="R73" s="1">
        <f t="shared" si="18"/>
        <v>74</v>
      </c>
      <c r="S73" s="1">
        <f t="shared" si="19"/>
        <v>91</v>
      </c>
      <c r="T73" s="1">
        <f t="shared" si="20"/>
        <v>74</v>
      </c>
      <c r="U73" s="1">
        <f t="shared" si="21"/>
        <v>93</v>
      </c>
      <c r="V73" s="1">
        <f t="shared" si="22"/>
        <v>74</v>
      </c>
      <c r="W73" s="1">
        <f t="shared" si="23"/>
        <v>95</v>
      </c>
      <c r="X73" s="1">
        <f t="shared" si="24"/>
        <v>74</v>
      </c>
      <c r="Y73" s="1">
        <f t="shared" si="25"/>
        <v>98</v>
      </c>
      <c r="Z73" s="1">
        <f t="shared" si="26"/>
        <v>74</v>
      </c>
      <c r="AA73" s="1">
        <f t="shared" si="27"/>
        <v>101</v>
      </c>
      <c r="AB73" s="1">
        <f t="shared" si="28"/>
        <v>74</v>
      </c>
      <c r="AC73" s="1">
        <f t="shared" si="29"/>
        <v>105</v>
      </c>
      <c r="AD73" s="1">
        <f t="shared" si="30"/>
        <v>74</v>
      </c>
      <c r="AE73" s="1">
        <f t="shared" si="31"/>
        <v>107</v>
      </c>
      <c r="AF73" s="1">
        <f t="shared" si="32"/>
        <v>74</v>
      </c>
      <c r="AG73" s="1">
        <f t="shared" si="33"/>
        <v>111</v>
      </c>
      <c r="AH73" s="1">
        <f t="shared" ref="AH73:AI73" si="111">$B$1+$A73</f>
        <v>74</v>
      </c>
      <c r="AI73" s="1">
        <f t="shared" si="111"/>
        <v>74</v>
      </c>
      <c r="AJ73" s="1">
        <f t="shared" si="35"/>
        <v>115</v>
      </c>
      <c r="AK73" s="1">
        <f t="shared" si="36"/>
        <v>74</v>
      </c>
      <c r="AL73" s="1">
        <f t="shared" si="37"/>
        <v>121</v>
      </c>
      <c r="AM73" s="1">
        <f t="shared" si="38"/>
        <v>74</v>
      </c>
      <c r="AN73" s="1">
        <f t="shared" si="39"/>
        <v>124</v>
      </c>
      <c r="AO73" s="1">
        <f t="shared" si="40"/>
        <v>74</v>
      </c>
      <c r="AP73" s="1">
        <f t="shared" si="41"/>
        <v>133</v>
      </c>
      <c r="AR73" s="8">
        <f>COUNTIFS(score4pijlen,AP73) </f>
        <v>41</v>
      </c>
    </row>
    <row r="74">
      <c r="A74" s="2">
        <v>74.0</v>
      </c>
      <c r="B74" s="1">
        <f t="shared" si="2"/>
        <v>75</v>
      </c>
      <c r="C74" s="1">
        <f t="shared" si="3"/>
        <v>76</v>
      </c>
      <c r="D74" s="1">
        <f t="shared" si="4"/>
        <v>75</v>
      </c>
      <c r="E74" s="1">
        <f t="shared" si="5"/>
        <v>78</v>
      </c>
      <c r="F74" s="1">
        <f t="shared" si="6"/>
        <v>75</v>
      </c>
      <c r="G74" s="1">
        <f t="shared" si="7"/>
        <v>80</v>
      </c>
      <c r="H74" s="1">
        <f t="shared" si="8"/>
        <v>75</v>
      </c>
      <c r="I74" s="1">
        <f t="shared" si="9"/>
        <v>82</v>
      </c>
      <c r="J74" s="1">
        <f t="shared" si="10"/>
        <v>75</v>
      </c>
      <c r="K74" s="1">
        <f t="shared" si="11"/>
        <v>84</v>
      </c>
      <c r="L74" s="1">
        <f t="shared" si="12"/>
        <v>75</v>
      </c>
      <c r="M74" s="1">
        <f t="shared" si="13"/>
        <v>86</v>
      </c>
      <c r="N74" s="1">
        <f t="shared" si="14"/>
        <v>75</v>
      </c>
      <c r="O74" s="1">
        <f t="shared" si="15"/>
        <v>88</v>
      </c>
      <c r="P74" s="1">
        <f t="shared" si="16"/>
        <v>75</v>
      </c>
      <c r="Q74" s="1">
        <f t="shared" si="17"/>
        <v>90</v>
      </c>
      <c r="R74" s="1">
        <f t="shared" si="18"/>
        <v>75</v>
      </c>
      <c r="S74" s="1">
        <f t="shared" si="19"/>
        <v>92</v>
      </c>
      <c r="T74" s="1">
        <f t="shared" si="20"/>
        <v>75</v>
      </c>
      <c r="U74" s="1">
        <f t="shared" si="21"/>
        <v>94</v>
      </c>
      <c r="V74" s="1">
        <f t="shared" si="22"/>
        <v>75</v>
      </c>
      <c r="W74" s="1">
        <f t="shared" si="23"/>
        <v>96</v>
      </c>
      <c r="X74" s="1">
        <f t="shared" si="24"/>
        <v>75</v>
      </c>
      <c r="Y74" s="1">
        <f t="shared" si="25"/>
        <v>99</v>
      </c>
      <c r="Z74" s="1">
        <f t="shared" si="26"/>
        <v>75</v>
      </c>
      <c r="AA74" s="1">
        <f t="shared" si="27"/>
        <v>102</v>
      </c>
      <c r="AB74" s="1">
        <f t="shared" si="28"/>
        <v>75</v>
      </c>
      <c r="AC74" s="1">
        <f t="shared" si="29"/>
        <v>106</v>
      </c>
      <c r="AD74" s="1">
        <f t="shared" si="30"/>
        <v>75</v>
      </c>
      <c r="AE74" s="1">
        <f t="shared" si="31"/>
        <v>108</v>
      </c>
      <c r="AF74" s="1">
        <f t="shared" si="32"/>
        <v>75</v>
      </c>
      <c r="AG74" s="1">
        <f t="shared" si="33"/>
        <v>112</v>
      </c>
      <c r="AH74" s="1">
        <f t="shared" ref="AH74:AI74" si="112">$B$1+$A74</f>
        <v>75</v>
      </c>
      <c r="AI74" s="1">
        <f t="shared" si="112"/>
        <v>75</v>
      </c>
      <c r="AJ74" s="1">
        <f t="shared" si="35"/>
        <v>116</v>
      </c>
      <c r="AK74" s="1">
        <f t="shared" si="36"/>
        <v>75</v>
      </c>
      <c r="AL74" s="1">
        <f t="shared" si="37"/>
        <v>122</v>
      </c>
      <c r="AM74" s="1">
        <f t="shared" si="38"/>
        <v>75</v>
      </c>
      <c r="AN74" s="1">
        <f t="shared" si="39"/>
        <v>125</v>
      </c>
      <c r="AO74" s="1">
        <f t="shared" si="40"/>
        <v>75</v>
      </c>
      <c r="AP74" s="1">
        <f t="shared" si="41"/>
        <v>134</v>
      </c>
      <c r="AR74" s="8">
        <f>COUNTIFS(score4pijlen,AP74) </f>
        <v>41</v>
      </c>
    </row>
    <row r="75">
      <c r="A75" s="2">
        <v>75.0</v>
      </c>
      <c r="B75" s="1">
        <f t="shared" si="2"/>
        <v>76</v>
      </c>
      <c r="C75" s="1">
        <f t="shared" si="3"/>
        <v>77</v>
      </c>
      <c r="D75" s="1">
        <f t="shared" si="4"/>
        <v>76</v>
      </c>
      <c r="E75" s="1">
        <f t="shared" si="5"/>
        <v>79</v>
      </c>
      <c r="F75" s="1">
        <f t="shared" si="6"/>
        <v>76</v>
      </c>
      <c r="G75" s="1">
        <f t="shared" si="7"/>
        <v>81</v>
      </c>
      <c r="H75" s="1">
        <f t="shared" si="8"/>
        <v>76</v>
      </c>
      <c r="I75" s="1">
        <f t="shared" si="9"/>
        <v>83</v>
      </c>
      <c r="J75" s="1">
        <f t="shared" si="10"/>
        <v>76</v>
      </c>
      <c r="K75" s="1">
        <f t="shared" si="11"/>
        <v>85</v>
      </c>
      <c r="L75" s="1">
        <f t="shared" si="12"/>
        <v>76</v>
      </c>
      <c r="M75" s="1">
        <f t="shared" si="13"/>
        <v>87</v>
      </c>
      <c r="N75" s="1">
        <f t="shared" si="14"/>
        <v>76</v>
      </c>
      <c r="O75" s="1">
        <f t="shared" si="15"/>
        <v>89</v>
      </c>
      <c r="P75" s="1">
        <f t="shared" si="16"/>
        <v>76</v>
      </c>
      <c r="Q75" s="1">
        <f t="shared" si="17"/>
        <v>91</v>
      </c>
      <c r="R75" s="1">
        <f t="shared" si="18"/>
        <v>76</v>
      </c>
      <c r="S75" s="1">
        <f t="shared" si="19"/>
        <v>93</v>
      </c>
      <c r="T75" s="1">
        <f t="shared" si="20"/>
        <v>76</v>
      </c>
      <c r="U75" s="1">
        <f t="shared" si="21"/>
        <v>95</v>
      </c>
      <c r="V75" s="1">
        <f t="shared" si="22"/>
        <v>76</v>
      </c>
      <c r="W75" s="1">
        <f t="shared" si="23"/>
        <v>97</v>
      </c>
      <c r="X75" s="1">
        <f t="shared" si="24"/>
        <v>76</v>
      </c>
      <c r="Y75" s="1">
        <f t="shared" si="25"/>
        <v>100</v>
      </c>
      <c r="Z75" s="1">
        <f t="shared" si="26"/>
        <v>76</v>
      </c>
      <c r="AA75" s="1">
        <f t="shared" si="27"/>
        <v>103</v>
      </c>
      <c r="AB75" s="1">
        <f t="shared" si="28"/>
        <v>76</v>
      </c>
      <c r="AC75" s="1">
        <f t="shared" si="29"/>
        <v>107</v>
      </c>
      <c r="AD75" s="1">
        <f t="shared" si="30"/>
        <v>76</v>
      </c>
      <c r="AE75" s="1">
        <f t="shared" si="31"/>
        <v>109</v>
      </c>
      <c r="AF75" s="1">
        <f t="shared" si="32"/>
        <v>76</v>
      </c>
      <c r="AG75" s="1">
        <f t="shared" si="33"/>
        <v>113</v>
      </c>
      <c r="AH75" s="1">
        <f t="shared" ref="AH75:AI75" si="113">$B$1+$A75</f>
        <v>76</v>
      </c>
      <c r="AI75" s="1">
        <f t="shared" si="113"/>
        <v>76</v>
      </c>
      <c r="AJ75" s="1">
        <f t="shared" si="35"/>
        <v>117</v>
      </c>
      <c r="AK75" s="1">
        <f t="shared" si="36"/>
        <v>76</v>
      </c>
      <c r="AL75" s="1">
        <f t="shared" si="37"/>
        <v>123</v>
      </c>
      <c r="AM75" s="1">
        <f t="shared" si="38"/>
        <v>76</v>
      </c>
      <c r="AN75" s="1">
        <f t="shared" si="39"/>
        <v>126</v>
      </c>
      <c r="AO75" s="1">
        <f t="shared" si="40"/>
        <v>76</v>
      </c>
      <c r="AP75" s="1">
        <f t="shared" si="41"/>
        <v>135</v>
      </c>
      <c r="AR75" s="8">
        <f>COUNTIFS(score4pijlen,AP75) </f>
        <v>41</v>
      </c>
    </row>
    <row r="76">
      <c r="A76" s="2">
        <v>76.0</v>
      </c>
      <c r="B76" s="1">
        <f t="shared" si="2"/>
        <v>77</v>
      </c>
      <c r="C76" s="1">
        <f t="shared" si="3"/>
        <v>78</v>
      </c>
      <c r="D76" s="1">
        <f t="shared" si="4"/>
        <v>77</v>
      </c>
      <c r="E76" s="1">
        <f t="shared" si="5"/>
        <v>80</v>
      </c>
      <c r="F76" s="1">
        <f t="shared" si="6"/>
        <v>77</v>
      </c>
      <c r="G76" s="1">
        <f t="shared" si="7"/>
        <v>82</v>
      </c>
      <c r="H76" s="1">
        <f t="shared" si="8"/>
        <v>77</v>
      </c>
      <c r="I76" s="1">
        <f t="shared" si="9"/>
        <v>84</v>
      </c>
      <c r="J76" s="1">
        <f t="shared" si="10"/>
        <v>77</v>
      </c>
      <c r="K76" s="1">
        <f t="shared" si="11"/>
        <v>86</v>
      </c>
      <c r="L76" s="1">
        <f t="shared" si="12"/>
        <v>77</v>
      </c>
      <c r="M76" s="1">
        <f t="shared" si="13"/>
        <v>88</v>
      </c>
      <c r="N76" s="1">
        <f t="shared" si="14"/>
        <v>77</v>
      </c>
      <c r="O76" s="1">
        <f t="shared" si="15"/>
        <v>90</v>
      </c>
      <c r="P76" s="1">
        <f t="shared" si="16"/>
        <v>77</v>
      </c>
      <c r="Q76" s="1">
        <f t="shared" si="17"/>
        <v>92</v>
      </c>
      <c r="R76" s="1">
        <f t="shared" si="18"/>
        <v>77</v>
      </c>
      <c r="S76" s="1">
        <f t="shared" si="19"/>
        <v>94</v>
      </c>
      <c r="T76" s="1">
        <f t="shared" si="20"/>
        <v>77</v>
      </c>
      <c r="U76" s="1">
        <f t="shared" si="21"/>
        <v>96</v>
      </c>
      <c r="V76" s="1">
        <f t="shared" si="22"/>
        <v>77</v>
      </c>
      <c r="W76" s="1">
        <f t="shared" si="23"/>
        <v>98</v>
      </c>
      <c r="X76" s="1">
        <f t="shared" si="24"/>
        <v>77</v>
      </c>
      <c r="Y76" s="1">
        <f t="shared" si="25"/>
        <v>101</v>
      </c>
      <c r="Z76" s="1">
        <f t="shared" si="26"/>
        <v>77</v>
      </c>
      <c r="AA76" s="1">
        <f t="shared" si="27"/>
        <v>104</v>
      </c>
      <c r="AB76" s="1">
        <f t="shared" si="28"/>
        <v>77</v>
      </c>
      <c r="AC76" s="1">
        <f t="shared" si="29"/>
        <v>108</v>
      </c>
      <c r="AD76" s="1">
        <f t="shared" si="30"/>
        <v>77</v>
      </c>
      <c r="AE76" s="1">
        <f t="shared" si="31"/>
        <v>110</v>
      </c>
      <c r="AF76" s="1">
        <f t="shared" si="32"/>
        <v>77</v>
      </c>
      <c r="AG76" s="1">
        <f t="shared" si="33"/>
        <v>114</v>
      </c>
      <c r="AH76" s="1">
        <f t="shared" ref="AH76:AI76" si="114">$B$1+$A76</f>
        <v>77</v>
      </c>
      <c r="AI76" s="1">
        <f t="shared" si="114"/>
        <v>77</v>
      </c>
      <c r="AJ76" s="1">
        <f t="shared" si="35"/>
        <v>118</v>
      </c>
      <c r="AK76" s="1">
        <f t="shared" si="36"/>
        <v>77</v>
      </c>
      <c r="AL76" s="1">
        <f t="shared" si="37"/>
        <v>124</v>
      </c>
      <c r="AM76" s="1">
        <f t="shared" si="38"/>
        <v>77</v>
      </c>
      <c r="AN76" s="1">
        <f t="shared" si="39"/>
        <v>127</v>
      </c>
      <c r="AO76" s="1">
        <f t="shared" si="40"/>
        <v>77</v>
      </c>
      <c r="AP76" s="1">
        <f t="shared" si="41"/>
        <v>136</v>
      </c>
      <c r="AR76" s="8">
        <f>COUNTIFS(score4pijlen,AP76) </f>
        <v>41</v>
      </c>
    </row>
    <row r="77">
      <c r="A77" s="2">
        <v>77.0</v>
      </c>
      <c r="B77" s="1">
        <f t="shared" si="2"/>
        <v>78</v>
      </c>
      <c r="C77" s="1">
        <f t="shared" si="3"/>
        <v>79</v>
      </c>
      <c r="D77" s="1">
        <f t="shared" si="4"/>
        <v>78</v>
      </c>
      <c r="E77" s="1">
        <f t="shared" si="5"/>
        <v>81</v>
      </c>
      <c r="F77" s="1">
        <f t="shared" si="6"/>
        <v>78</v>
      </c>
      <c r="G77" s="1">
        <f t="shared" si="7"/>
        <v>83</v>
      </c>
      <c r="H77" s="1">
        <f t="shared" si="8"/>
        <v>78</v>
      </c>
      <c r="I77" s="1">
        <f t="shared" si="9"/>
        <v>85</v>
      </c>
      <c r="J77" s="1">
        <f t="shared" si="10"/>
        <v>78</v>
      </c>
      <c r="K77" s="1">
        <f t="shared" si="11"/>
        <v>87</v>
      </c>
      <c r="L77" s="1">
        <f t="shared" si="12"/>
        <v>78</v>
      </c>
      <c r="M77" s="1">
        <f t="shared" si="13"/>
        <v>89</v>
      </c>
      <c r="N77" s="1">
        <f t="shared" si="14"/>
        <v>78</v>
      </c>
      <c r="O77" s="1">
        <f t="shared" si="15"/>
        <v>91</v>
      </c>
      <c r="P77" s="1">
        <f t="shared" si="16"/>
        <v>78</v>
      </c>
      <c r="Q77" s="1">
        <f t="shared" si="17"/>
        <v>93</v>
      </c>
      <c r="R77" s="1">
        <f t="shared" si="18"/>
        <v>78</v>
      </c>
      <c r="S77" s="1">
        <f t="shared" si="19"/>
        <v>95</v>
      </c>
      <c r="T77" s="1">
        <f t="shared" si="20"/>
        <v>78</v>
      </c>
      <c r="U77" s="1">
        <f t="shared" si="21"/>
        <v>97</v>
      </c>
      <c r="V77" s="1">
        <f t="shared" si="22"/>
        <v>78</v>
      </c>
      <c r="W77" s="1">
        <f t="shared" si="23"/>
        <v>99</v>
      </c>
      <c r="X77" s="1">
        <f t="shared" si="24"/>
        <v>78</v>
      </c>
      <c r="Y77" s="1">
        <f t="shared" si="25"/>
        <v>102</v>
      </c>
      <c r="Z77" s="1">
        <f t="shared" si="26"/>
        <v>78</v>
      </c>
      <c r="AA77" s="1">
        <f t="shared" si="27"/>
        <v>105</v>
      </c>
      <c r="AB77" s="1">
        <f t="shared" si="28"/>
        <v>78</v>
      </c>
      <c r="AC77" s="1">
        <f t="shared" si="29"/>
        <v>109</v>
      </c>
      <c r="AD77" s="1">
        <f t="shared" si="30"/>
        <v>78</v>
      </c>
      <c r="AE77" s="1">
        <f t="shared" si="31"/>
        <v>111</v>
      </c>
      <c r="AF77" s="1">
        <f t="shared" si="32"/>
        <v>78</v>
      </c>
      <c r="AG77" s="1">
        <f t="shared" si="33"/>
        <v>115</v>
      </c>
      <c r="AH77" s="1">
        <f t="shared" ref="AH77:AI77" si="115">$B$1+$A77</f>
        <v>78</v>
      </c>
      <c r="AI77" s="1">
        <f t="shared" si="115"/>
        <v>78</v>
      </c>
      <c r="AJ77" s="1">
        <f t="shared" si="35"/>
        <v>119</v>
      </c>
      <c r="AK77" s="1">
        <f t="shared" si="36"/>
        <v>78</v>
      </c>
      <c r="AL77" s="1">
        <f t="shared" si="37"/>
        <v>125</v>
      </c>
      <c r="AM77" s="1">
        <f t="shared" si="38"/>
        <v>78</v>
      </c>
      <c r="AN77" s="1">
        <f t="shared" si="39"/>
        <v>128</v>
      </c>
      <c r="AO77" s="1">
        <f t="shared" si="40"/>
        <v>78</v>
      </c>
      <c r="AP77" s="1">
        <f t="shared" si="41"/>
        <v>137</v>
      </c>
      <c r="AR77" s="8">
        <f>COUNTIFS(score4pijlen,AP77) </f>
        <v>41</v>
      </c>
    </row>
    <row r="78">
      <c r="A78" s="2">
        <v>78.0</v>
      </c>
      <c r="B78" s="1">
        <f t="shared" si="2"/>
        <v>79</v>
      </c>
      <c r="C78" s="1">
        <f t="shared" si="3"/>
        <v>80</v>
      </c>
      <c r="D78" s="1">
        <f t="shared" si="4"/>
        <v>79</v>
      </c>
      <c r="E78" s="1">
        <f t="shared" si="5"/>
        <v>82</v>
      </c>
      <c r="F78" s="1">
        <f t="shared" si="6"/>
        <v>79</v>
      </c>
      <c r="G78" s="1">
        <f t="shared" si="7"/>
        <v>84</v>
      </c>
      <c r="H78" s="1">
        <f t="shared" si="8"/>
        <v>79</v>
      </c>
      <c r="I78" s="1">
        <f t="shared" si="9"/>
        <v>86</v>
      </c>
      <c r="J78" s="1">
        <f t="shared" si="10"/>
        <v>79</v>
      </c>
      <c r="K78" s="1">
        <f t="shared" si="11"/>
        <v>88</v>
      </c>
      <c r="L78" s="1">
        <f t="shared" si="12"/>
        <v>79</v>
      </c>
      <c r="M78" s="1">
        <f t="shared" si="13"/>
        <v>90</v>
      </c>
      <c r="N78" s="1">
        <f t="shared" si="14"/>
        <v>79</v>
      </c>
      <c r="O78" s="1">
        <f t="shared" si="15"/>
        <v>92</v>
      </c>
      <c r="P78" s="1">
        <f t="shared" si="16"/>
        <v>79</v>
      </c>
      <c r="Q78" s="1">
        <f t="shared" si="17"/>
        <v>94</v>
      </c>
      <c r="R78" s="1">
        <f t="shared" si="18"/>
        <v>79</v>
      </c>
      <c r="S78" s="1">
        <f t="shared" si="19"/>
        <v>96</v>
      </c>
      <c r="T78" s="1">
        <f t="shared" si="20"/>
        <v>79</v>
      </c>
      <c r="U78" s="1">
        <f t="shared" si="21"/>
        <v>98</v>
      </c>
      <c r="V78" s="1">
        <f t="shared" si="22"/>
        <v>79</v>
      </c>
      <c r="W78" s="1">
        <f t="shared" si="23"/>
        <v>100</v>
      </c>
      <c r="X78" s="1">
        <f t="shared" si="24"/>
        <v>79</v>
      </c>
      <c r="Y78" s="1">
        <f t="shared" si="25"/>
        <v>103</v>
      </c>
      <c r="Z78" s="1">
        <f t="shared" si="26"/>
        <v>79</v>
      </c>
      <c r="AA78" s="1">
        <f t="shared" si="27"/>
        <v>106</v>
      </c>
      <c r="AB78" s="1">
        <f t="shared" si="28"/>
        <v>79</v>
      </c>
      <c r="AC78" s="1">
        <f t="shared" si="29"/>
        <v>110</v>
      </c>
      <c r="AD78" s="1">
        <f t="shared" si="30"/>
        <v>79</v>
      </c>
      <c r="AE78" s="1">
        <f t="shared" si="31"/>
        <v>112</v>
      </c>
      <c r="AF78" s="1">
        <f t="shared" si="32"/>
        <v>79</v>
      </c>
      <c r="AG78" s="1">
        <f t="shared" si="33"/>
        <v>116</v>
      </c>
      <c r="AH78" s="1">
        <f t="shared" ref="AH78:AI78" si="116">$B$1+$A78</f>
        <v>79</v>
      </c>
      <c r="AI78" s="1">
        <f t="shared" si="116"/>
        <v>79</v>
      </c>
      <c r="AJ78" s="1">
        <f t="shared" si="35"/>
        <v>120</v>
      </c>
      <c r="AK78" s="1">
        <f t="shared" si="36"/>
        <v>79</v>
      </c>
      <c r="AL78" s="1">
        <f t="shared" si="37"/>
        <v>126</v>
      </c>
      <c r="AM78" s="1">
        <f t="shared" si="38"/>
        <v>79</v>
      </c>
      <c r="AN78" s="1">
        <f t="shared" si="39"/>
        <v>129</v>
      </c>
      <c r="AO78" s="1">
        <f t="shared" si="40"/>
        <v>79</v>
      </c>
      <c r="AP78" s="1">
        <f t="shared" si="41"/>
        <v>138</v>
      </c>
      <c r="AR78" s="8">
        <f>COUNTIFS(score4pijlen,AP78) </f>
        <v>41</v>
      </c>
    </row>
    <row r="79">
      <c r="A79" s="2">
        <v>79.0</v>
      </c>
      <c r="B79" s="1">
        <f t="shared" si="2"/>
        <v>80</v>
      </c>
      <c r="C79" s="1">
        <f t="shared" si="3"/>
        <v>81</v>
      </c>
      <c r="D79" s="1">
        <f t="shared" si="4"/>
        <v>80</v>
      </c>
      <c r="E79" s="1">
        <f t="shared" si="5"/>
        <v>83</v>
      </c>
      <c r="F79" s="1">
        <f t="shared" si="6"/>
        <v>80</v>
      </c>
      <c r="G79" s="1">
        <f t="shared" si="7"/>
        <v>85</v>
      </c>
      <c r="H79" s="1">
        <f t="shared" si="8"/>
        <v>80</v>
      </c>
      <c r="I79" s="1">
        <f t="shared" si="9"/>
        <v>87</v>
      </c>
      <c r="J79" s="1">
        <f t="shared" si="10"/>
        <v>80</v>
      </c>
      <c r="K79" s="1">
        <f t="shared" si="11"/>
        <v>89</v>
      </c>
      <c r="L79" s="1">
        <f t="shared" si="12"/>
        <v>80</v>
      </c>
      <c r="M79" s="1">
        <f t="shared" si="13"/>
        <v>91</v>
      </c>
      <c r="N79" s="1">
        <f t="shared" si="14"/>
        <v>80</v>
      </c>
      <c r="O79" s="1">
        <f t="shared" si="15"/>
        <v>93</v>
      </c>
      <c r="P79" s="1">
        <f t="shared" si="16"/>
        <v>80</v>
      </c>
      <c r="Q79" s="1">
        <f t="shared" si="17"/>
        <v>95</v>
      </c>
      <c r="R79" s="1">
        <f t="shared" si="18"/>
        <v>80</v>
      </c>
      <c r="S79" s="1">
        <f t="shared" si="19"/>
        <v>97</v>
      </c>
      <c r="T79" s="1">
        <f t="shared" si="20"/>
        <v>80</v>
      </c>
      <c r="U79" s="1">
        <f t="shared" si="21"/>
        <v>99</v>
      </c>
      <c r="V79" s="1">
        <f t="shared" si="22"/>
        <v>80</v>
      </c>
      <c r="W79" s="1">
        <f t="shared" si="23"/>
        <v>101</v>
      </c>
      <c r="X79" s="1">
        <f t="shared" si="24"/>
        <v>80</v>
      </c>
      <c r="Y79" s="1">
        <f t="shared" si="25"/>
        <v>104</v>
      </c>
      <c r="Z79" s="1">
        <f t="shared" si="26"/>
        <v>80</v>
      </c>
      <c r="AA79" s="1">
        <f t="shared" si="27"/>
        <v>107</v>
      </c>
      <c r="AB79" s="1">
        <f t="shared" si="28"/>
        <v>80</v>
      </c>
      <c r="AC79" s="1">
        <f t="shared" si="29"/>
        <v>111</v>
      </c>
      <c r="AD79" s="1">
        <f t="shared" si="30"/>
        <v>80</v>
      </c>
      <c r="AE79" s="1">
        <f t="shared" si="31"/>
        <v>113</v>
      </c>
      <c r="AF79" s="1">
        <f t="shared" si="32"/>
        <v>80</v>
      </c>
      <c r="AG79" s="1">
        <f t="shared" si="33"/>
        <v>117</v>
      </c>
      <c r="AH79" s="1">
        <f t="shared" ref="AH79:AI79" si="117">$B$1+$A79</f>
        <v>80</v>
      </c>
      <c r="AI79" s="1">
        <f t="shared" si="117"/>
        <v>80</v>
      </c>
      <c r="AJ79" s="1">
        <f t="shared" si="35"/>
        <v>121</v>
      </c>
      <c r="AK79" s="1">
        <f t="shared" si="36"/>
        <v>80</v>
      </c>
      <c r="AL79" s="1">
        <f t="shared" si="37"/>
        <v>127</v>
      </c>
      <c r="AM79" s="1">
        <f t="shared" si="38"/>
        <v>80</v>
      </c>
      <c r="AN79" s="1">
        <f t="shared" si="39"/>
        <v>130</v>
      </c>
      <c r="AO79" s="1">
        <f t="shared" si="40"/>
        <v>80</v>
      </c>
      <c r="AP79" s="1">
        <f t="shared" si="41"/>
        <v>139</v>
      </c>
      <c r="AR79" s="8">
        <f>COUNTIFS(score4pijlen,AP79) </f>
        <v>41</v>
      </c>
    </row>
    <row r="80">
      <c r="A80" s="2">
        <v>80.0</v>
      </c>
      <c r="B80" s="1">
        <f t="shared" si="2"/>
        <v>81</v>
      </c>
      <c r="C80" s="1">
        <f t="shared" si="3"/>
        <v>82</v>
      </c>
      <c r="D80" s="1">
        <f t="shared" si="4"/>
        <v>81</v>
      </c>
      <c r="E80" s="1">
        <f t="shared" si="5"/>
        <v>84</v>
      </c>
      <c r="F80" s="1">
        <f t="shared" si="6"/>
        <v>81</v>
      </c>
      <c r="G80" s="1">
        <f t="shared" si="7"/>
        <v>86</v>
      </c>
      <c r="H80" s="1">
        <f t="shared" si="8"/>
        <v>81</v>
      </c>
      <c r="I80" s="1">
        <f t="shared" si="9"/>
        <v>88</v>
      </c>
      <c r="J80" s="1">
        <f t="shared" si="10"/>
        <v>81</v>
      </c>
      <c r="K80" s="1">
        <f t="shared" si="11"/>
        <v>90</v>
      </c>
      <c r="L80" s="1">
        <f t="shared" si="12"/>
        <v>81</v>
      </c>
      <c r="M80" s="1">
        <f t="shared" si="13"/>
        <v>92</v>
      </c>
      <c r="N80" s="1">
        <f t="shared" si="14"/>
        <v>81</v>
      </c>
      <c r="O80" s="1">
        <f t="shared" si="15"/>
        <v>94</v>
      </c>
      <c r="P80" s="1">
        <f t="shared" si="16"/>
        <v>81</v>
      </c>
      <c r="Q80" s="1">
        <f t="shared" si="17"/>
        <v>96</v>
      </c>
      <c r="R80" s="1">
        <f t="shared" si="18"/>
        <v>81</v>
      </c>
      <c r="S80" s="1">
        <f t="shared" si="19"/>
        <v>98</v>
      </c>
      <c r="T80" s="1">
        <f t="shared" si="20"/>
        <v>81</v>
      </c>
      <c r="U80" s="1">
        <f t="shared" si="21"/>
        <v>100</v>
      </c>
      <c r="V80" s="1">
        <f t="shared" si="22"/>
        <v>81</v>
      </c>
      <c r="W80" s="1">
        <f t="shared" si="23"/>
        <v>102</v>
      </c>
      <c r="X80" s="1">
        <f t="shared" si="24"/>
        <v>81</v>
      </c>
      <c r="Y80" s="1">
        <f t="shared" si="25"/>
        <v>105</v>
      </c>
      <c r="Z80" s="1">
        <f t="shared" si="26"/>
        <v>81</v>
      </c>
      <c r="AA80" s="1">
        <f t="shared" si="27"/>
        <v>108</v>
      </c>
      <c r="AB80" s="1">
        <f t="shared" si="28"/>
        <v>81</v>
      </c>
      <c r="AC80" s="1">
        <f t="shared" si="29"/>
        <v>112</v>
      </c>
      <c r="AD80" s="1">
        <f t="shared" si="30"/>
        <v>81</v>
      </c>
      <c r="AE80" s="1">
        <f t="shared" si="31"/>
        <v>114</v>
      </c>
      <c r="AF80" s="1">
        <f t="shared" si="32"/>
        <v>81</v>
      </c>
      <c r="AG80" s="1">
        <f t="shared" si="33"/>
        <v>118</v>
      </c>
      <c r="AH80" s="1">
        <f t="shared" ref="AH80:AI80" si="118">$B$1+$A80</f>
        <v>81</v>
      </c>
      <c r="AI80" s="1">
        <f t="shared" si="118"/>
        <v>81</v>
      </c>
      <c r="AJ80" s="1">
        <f t="shared" si="35"/>
        <v>122</v>
      </c>
      <c r="AK80" s="1">
        <f t="shared" si="36"/>
        <v>81</v>
      </c>
      <c r="AL80" s="1">
        <f t="shared" si="37"/>
        <v>128</v>
      </c>
      <c r="AM80" s="1">
        <f t="shared" si="38"/>
        <v>81</v>
      </c>
      <c r="AN80" s="1">
        <f t="shared" si="39"/>
        <v>131</v>
      </c>
      <c r="AO80" s="1">
        <f t="shared" si="40"/>
        <v>81</v>
      </c>
      <c r="AP80" s="1">
        <f t="shared" si="41"/>
        <v>140</v>
      </c>
      <c r="AR80" s="8">
        <f>COUNTIFS(score4pijlen,AP80) </f>
        <v>41</v>
      </c>
    </row>
    <row r="81">
      <c r="A81" s="2">
        <v>81.0</v>
      </c>
      <c r="B81" s="1">
        <f t="shared" si="2"/>
        <v>82</v>
      </c>
      <c r="C81" s="1">
        <f t="shared" si="3"/>
        <v>83</v>
      </c>
      <c r="D81" s="1">
        <f t="shared" si="4"/>
        <v>82</v>
      </c>
      <c r="E81" s="1">
        <f t="shared" si="5"/>
        <v>85</v>
      </c>
      <c r="F81" s="1">
        <f t="shared" si="6"/>
        <v>82</v>
      </c>
      <c r="G81" s="1">
        <f t="shared" si="7"/>
        <v>87</v>
      </c>
      <c r="H81" s="1">
        <f t="shared" si="8"/>
        <v>82</v>
      </c>
      <c r="I81" s="1">
        <f t="shared" si="9"/>
        <v>89</v>
      </c>
      <c r="J81" s="1">
        <f t="shared" si="10"/>
        <v>82</v>
      </c>
      <c r="K81" s="1">
        <f t="shared" si="11"/>
        <v>91</v>
      </c>
      <c r="L81" s="1">
        <f t="shared" si="12"/>
        <v>82</v>
      </c>
      <c r="M81" s="1">
        <f t="shared" si="13"/>
        <v>93</v>
      </c>
      <c r="N81" s="1">
        <f t="shared" si="14"/>
        <v>82</v>
      </c>
      <c r="O81" s="1">
        <f t="shared" si="15"/>
        <v>95</v>
      </c>
      <c r="P81" s="1">
        <f t="shared" si="16"/>
        <v>82</v>
      </c>
      <c r="Q81" s="1">
        <f t="shared" si="17"/>
        <v>97</v>
      </c>
      <c r="R81" s="1">
        <f t="shared" si="18"/>
        <v>82</v>
      </c>
      <c r="S81" s="1">
        <f t="shared" si="19"/>
        <v>99</v>
      </c>
      <c r="T81" s="1">
        <f t="shared" si="20"/>
        <v>82</v>
      </c>
      <c r="U81" s="1">
        <f t="shared" si="21"/>
        <v>101</v>
      </c>
      <c r="V81" s="1">
        <f t="shared" si="22"/>
        <v>82</v>
      </c>
      <c r="W81" s="1">
        <f t="shared" si="23"/>
        <v>103</v>
      </c>
      <c r="X81" s="1">
        <f t="shared" si="24"/>
        <v>82</v>
      </c>
      <c r="Y81" s="1">
        <f t="shared" si="25"/>
        <v>106</v>
      </c>
      <c r="Z81" s="1">
        <f t="shared" si="26"/>
        <v>82</v>
      </c>
      <c r="AA81" s="1">
        <f t="shared" si="27"/>
        <v>109</v>
      </c>
      <c r="AB81" s="1">
        <f t="shared" si="28"/>
        <v>82</v>
      </c>
      <c r="AC81" s="1">
        <f t="shared" si="29"/>
        <v>113</v>
      </c>
      <c r="AD81" s="1">
        <f t="shared" si="30"/>
        <v>82</v>
      </c>
      <c r="AE81" s="1">
        <f t="shared" si="31"/>
        <v>115</v>
      </c>
      <c r="AF81" s="1">
        <f t="shared" si="32"/>
        <v>82</v>
      </c>
      <c r="AG81" s="1">
        <f t="shared" si="33"/>
        <v>119</v>
      </c>
      <c r="AH81" s="1">
        <f t="shared" ref="AH81:AI81" si="119">$B$1+$A81</f>
        <v>82</v>
      </c>
      <c r="AI81" s="1">
        <f t="shared" si="119"/>
        <v>82</v>
      </c>
      <c r="AJ81" s="1">
        <f t="shared" si="35"/>
        <v>123</v>
      </c>
      <c r="AK81" s="1">
        <f t="shared" si="36"/>
        <v>82</v>
      </c>
      <c r="AL81" s="1">
        <f t="shared" si="37"/>
        <v>129</v>
      </c>
      <c r="AM81" s="1">
        <f t="shared" si="38"/>
        <v>82</v>
      </c>
      <c r="AN81" s="1">
        <f t="shared" si="39"/>
        <v>132</v>
      </c>
      <c r="AO81" s="1">
        <f t="shared" si="40"/>
        <v>82</v>
      </c>
      <c r="AP81" s="1">
        <f t="shared" si="41"/>
        <v>141</v>
      </c>
      <c r="AR81" s="8">
        <f>COUNTIFS(score4pijlen,AP81) </f>
        <v>41</v>
      </c>
    </row>
    <row r="82">
      <c r="A82" s="2">
        <v>82.0</v>
      </c>
      <c r="B82" s="1">
        <f t="shared" si="2"/>
        <v>83</v>
      </c>
      <c r="C82" s="1">
        <f t="shared" si="3"/>
        <v>84</v>
      </c>
      <c r="D82" s="1">
        <f t="shared" si="4"/>
        <v>83</v>
      </c>
      <c r="E82" s="1">
        <f t="shared" si="5"/>
        <v>86</v>
      </c>
      <c r="F82" s="1">
        <f t="shared" si="6"/>
        <v>83</v>
      </c>
      <c r="G82" s="1">
        <f t="shared" si="7"/>
        <v>88</v>
      </c>
      <c r="H82" s="1">
        <f t="shared" si="8"/>
        <v>83</v>
      </c>
      <c r="I82" s="1">
        <f t="shared" si="9"/>
        <v>90</v>
      </c>
      <c r="J82" s="1">
        <f t="shared" si="10"/>
        <v>83</v>
      </c>
      <c r="K82" s="1">
        <f t="shared" si="11"/>
        <v>92</v>
      </c>
      <c r="L82" s="1">
        <f t="shared" si="12"/>
        <v>83</v>
      </c>
      <c r="M82" s="1">
        <f t="shared" si="13"/>
        <v>94</v>
      </c>
      <c r="N82" s="1">
        <f t="shared" si="14"/>
        <v>83</v>
      </c>
      <c r="O82" s="1">
        <f t="shared" si="15"/>
        <v>96</v>
      </c>
      <c r="P82" s="1">
        <f t="shared" si="16"/>
        <v>83</v>
      </c>
      <c r="Q82" s="1">
        <f t="shared" si="17"/>
        <v>98</v>
      </c>
      <c r="R82" s="1">
        <f t="shared" si="18"/>
        <v>83</v>
      </c>
      <c r="S82" s="1">
        <f t="shared" si="19"/>
        <v>100</v>
      </c>
      <c r="T82" s="1">
        <f t="shared" si="20"/>
        <v>83</v>
      </c>
      <c r="U82" s="1">
        <f t="shared" si="21"/>
        <v>102</v>
      </c>
      <c r="V82" s="1">
        <f t="shared" si="22"/>
        <v>83</v>
      </c>
      <c r="W82" s="1">
        <f t="shared" si="23"/>
        <v>104</v>
      </c>
      <c r="X82" s="1">
        <f t="shared" si="24"/>
        <v>83</v>
      </c>
      <c r="Y82" s="1">
        <f t="shared" si="25"/>
        <v>107</v>
      </c>
      <c r="Z82" s="1">
        <f t="shared" si="26"/>
        <v>83</v>
      </c>
      <c r="AA82" s="1">
        <f t="shared" si="27"/>
        <v>110</v>
      </c>
      <c r="AB82" s="1">
        <f t="shared" si="28"/>
        <v>83</v>
      </c>
      <c r="AC82" s="1">
        <f t="shared" si="29"/>
        <v>114</v>
      </c>
      <c r="AD82" s="1">
        <f t="shared" si="30"/>
        <v>83</v>
      </c>
      <c r="AE82" s="1">
        <f t="shared" si="31"/>
        <v>116</v>
      </c>
      <c r="AF82" s="1">
        <f t="shared" si="32"/>
        <v>83</v>
      </c>
      <c r="AG82" s="1">
        <f t="shared" si="33"/>
        <v>120</v>
      </c>
      <c r="AH82" s="1">
        <f t="shared" ref="AH82:AI82" si="120">$B$1+$A82</f>
        <v>83</v>
      </c>
      <c r="AI82" s="1">
        <f t="shared" si="120"/>
        <v>83</v>
      </c>
      <c r="AJ82" s="1">
        <f t="shared" si="35"/>
        <v>124</v>
      </c>
      <c r="AK82" s="1">
        <f t="shared" si="36"/>
        <v>83</v>
      </c>
      <c r="AL82" s="1">
        <f t="shared" si="37"/>
        <v>130</v>
      </c>
      <c r="AM82" s="1">
        <f t="shared" si="38"/>
        <v>83</v>
      </c>
      <c r="AN82" s="1">
        <f t="shared" si="39"/>
        <v>133</v>
      </c>
      <c r="AO82" s="1">
        <f t="shared" si="40"/>
        <v>83</v>
      </c>
      <c r="AP82" s="1">
        <f t="shared" si="41"/>
        <v>142</v>
      </c>
      <c r="AR82" s="8">
        <f>COUNTIFS(score4pijlen,AP82) </f>
        <v>41</v>
      </c>
    </row>
    <row r="83">
      <c r="A83" s="2">
        <v>83.0</v>
      </c>
      <c r="B83" s="1">
        <f t="shared" si="2"/>
        <v>84</v>
      </c>
      <c r="C83" s="1">
        <f t="shared" si="3"/>
        <v>85</v>
      </c>
      <c r="D83" s="1">
        <f t="shared" si="4"/>
        <v>84</v>
      </c>
      <c r="E83" s="1">
        <f t="shared" si="5"/>
        <v>87</v>
      </c>
      <c r="F83" s="1">
        <f t="shared" si="6"/>
        <v>84</v>
      </c>
      <c r="G83" s="1">
        <f t="shared" si="7"/>
        <v>89</v>
      </c>
      <c r="H83" s="1">
        <f t="shared" si="8"/>
        <v>84</v>
      </c>
      <c r="I83" s="1">
        <f t="shared" si="9"/>
        <v>91</v>
      </c>
      <c r="J83" s="1">
        <f t="shared" si="10"/>
        <v>84</v>
      </c>
      <c r="K83" s="1">
        <f t="shared" si="11"/>
        <v>93</v>
      </c>
      <c r="L83" s="1">
        <f t="shared" si="12"/>
        <v>84</v>
      </c>
      <c r="M83" s="1">
        <f t="shared" si="13"/>
        <v>95</v>
      </c>
      <c r="N83" s="1">
        <f t="shared" si="14"/>
        <v>84</v>
      </c>
      <c r="O83" s="1">
        <f t="shared" si="15"/>
        <v>97</v>
      </c>
      <c r="P83" s="1">
        <f t="shared" si="16"/>
        <v>84</v>
      </c>
      <c r="Q83" s="1">
        <f t="shared" si="17"/>
        <v>99</v>
      </c>
      <c r="R83" s="1">
        <f t="shared" si="18"/>
        <v>84</v>
      </c>
      <c r="S83" s="1">
        <f t="shared" si="19"/>
        <v>101</v>
      </c>
      <c r="T83" s="1">
        <f t="shared" si="20"/>
        <v>84</v>
      </c>
      <c r="U83" s="1">
        <f t="shared" si="21"/>
        <v>103</v>
      </c>
      <c r="V83" s="1">
        <f t="shared" si="22"/>
        <v>84</v>
      </c>
      <c r="W83" s="1">
        <f t="shared" si="23"/>
        <v>105</v>
      </c>
      <c r="X83" s="1">
        <f t="shared" si="24"/>
        <v>84</v>
      </c>
      <c r="Y83" s="1">
        <f t="shared" si="25"/>
        <v>108</v>
      </c>
      <c r="Z83" s="1">
        <f t="shared" si="26"/>
        <v>84</v>
      </c>
      <c r="AA83" s="1">
        <f t="shared" si="27"/>
        <v>111</v>
      </c>
      <c r="AB83" s="1">
        <f t="shared" si="28"/>
        <v>84</v>
      </c>
      <c r="AC83" s="1">
        <f t="shared" si="29"/>
        <v>115</v>
      </c>
      <c r="AD83" s="1">
        <f t="shared" si="30"/>
        <v>84</v>
      </c>
      <c r="AE83" s="1">
        <f t="shared" si="31"/>
        <v>117</v>
      </c>
      <c r="AF83" s="1">
        <f t="shared" si="32"/>
        <v>84</v>
      </c>
      <c r="AG83" s="1">
        <f t="shared" si="33"/>
        <v>121</v>
      </c>
      <c r="AH83" s="1">
        <f t="shared" ref="AH83:AI83" si="121">$B$1+$A83</f>
        <v>84</v>
      </c>
      <c r="AI83" s="1">
        <f t="shared" si="121"/>
        <v>84</v>
      </c>
      <c r="AJ83" s="1">
        <f t="shared" si="35"/>
        <v>125</v>
      </c>
      <c r="AK83" s="1">
        <f t="shared" si="36"/>
        <v>84</v>
      </c>
      <c r="AL83" s="1">
        <f t="shared" si="37"/>
        <v>131</v>
      </c>
      <c r="AM83" s="1">
        <f t="shared" si="38"/>
        <v>84</v>
      </c>
      <c r="AN83" s="1">
        <f t="shared" si="39"/>
        <v>134</v>
      </c>
      <c r="AO83" s="1">
        <f t="shared" si="40"/>
        <v>84</v>
      </c>
      <c r="AP83" s="1">
        <f t="shared" si="41"/>
        <v>143</v>
      </c>
      <c r="AR83" s="8">
        <f>COUNTIFS(score4pijlen,AP83) </f>
        <v>41</v>
      </c>
    </row>
    <row r="84">
      <c r="A84" s="2">
        <v>84.0</v>
      </c>
      <c r="B84" s="1">
        <f t="shared" si="2"/>
        <v>85</v>
      </c>
      <c r="C84" s="1">
        <f t="shared" si="3"/>
        <v>86</v>
      </c>
      <c r="D84" s="1">
        <f t="shared" si="4"/>
        <v>85</v>
      </c>
      <c r="E84" s="1">
        <f t="shared" si="5"/>
        <v>88</v>
      </c>
      <c r="F84" s="1">
        <f t="shared" si="6"/>
        <v>85</v>
      </c>
      <c r="G84" s="1">
        <f t="shared" si="7"/>
        <v>90</v>
      </c>
      <c r="H84" s="1">
        <f t="shared" si="8"/>
        <v>85</v>
      </c>
      <c r="I84" s="1">
        <f t="shared" si="9"/>
        <v>92</v>
      </c>
      <c r="J84" s="1">
        <f t="shared" si="10"/>
        <v>85</v>
      </c>
      <c r="K84" s="1">
        <f t="shared" si="11"/>
        <v>94</v>
      </c>
      <c r="L84" s="1">
        <f t="shared" si="12"/>
        <v>85</v>
      </c>
      <c r="M84" s="1">
        <f t="shared" si="13"/>
        <v>96</v>
      </c>
      <c r="N84" s="1">
        <f t="shared" si="14"/>
        <v>85</v>
      </c>
      <c r="O84" s="1">
        <f t="shared" si="15"/>
        <v>98</v>
      </c>
      <c r="P84" s="1">
        <f t="shared" si="16"/>
        <v>85</v>
      </c>
      <c r="Q84" s="1">
        <f t="shared" si="17"/>
        <v>100</v>
      </c>
      <c r="R84" s="1">
        <f t="shared" si="18"/>
        <v>85</v>
      </c>
      <c r="S84" s="1">
        <f t="shared" si="19"/>
        <v>102</v>
      </c>
      <c r="T84" s="1">
        <f t="shared" si="20"/>
        <v>85</v>
      </c>
      <c r="U84" s="1">
        <f t="shared" si="21"/>
        <v>104</v>
      </c>
      <c r="V84" s="1">
        <f t="shared" si="22"/>
        <v>85</v>
      </c>
      <c r="W84" s="1">
        <f t="shared" si="23"/>
        <v>106</v>
      </c>
      <c r="X84" s="1">
        <f t="shared" si="24"/>
        <v>85</v>
      </c>
      <c r="Y84" s="1">
        <f t="shared" si="25"/>
        <v>109</v>
      </c>
      <c r="Z84" s="1">
        <f t="shared" si="26"/>
        <v>85</v>
      </c>
      <c r="AA84" s="1">
        <f t="shared" si="27"/>
        <v>112</v>
      </c>
      <c r="AB84" s="1">
        <f t="shared" si="28"/>
        <v>85</v>
      </c>
      <c r="AC84" s="1">
        <f t="shared" si="29"/>
        <v>116</v>
      </c>
      <c r="AD84" s="1">
        <f t="shared" si="30"/>
        <v>85</v>
      </c>
      <c r="AE84" s="1">
        <f t="shared" si="31"/>
        <v>118</v>
      </c>
      <c r="AF84" s="1">
        <f t="shared" si="32"/>
        <v>85</v>
      </c>
      <c r="AG84" s="1">
        <f t="shared" si="33"/>
        <v>122</v>
      </c>
      <c r="AH84" s="1">
        <f t="shared" ref="AH84:AI84" si="122">$B$1+$A84</f>
        <v>85</v>
      </c>
      <c r="AI84" s="1">
        <f t="shared" si="122"/>
        <v>85</v>
      </c>
      <c r="AJ84" s="1">
        <f t="shared" si="35"/>
        <v>126</v>
      </c>
      <c r="AK84" s="1">
        <f t="shared" si="36"/>
        <v>85</v>
      </c>
      <c r="AL84" s="1">
        <f t="shared" si="37"/>
        <v>132</v>
      </c>
      <c r="AM84" s="1">
        <f t="shared" si="38"/>
        <v>85</v>
      </c>
      <c r="AN84" s="1">
        <f t="shared" si="39"/>
        <v>135</v>
      </c>
      <c r="AO84" s="1">
        <f t="shared" si="40"/>
        <v>85</v>
      </c>
      <c r="AP84" s="1">
        <f t="shared" si="41"/>
        <v>144</v>
      </c>
      <c r="AR84" s="8">
        <f>COUNTIFS(score4pijlen,AP84) </f>
        <v>41</v>
      </c>
    </row>
    <row r="85">
      <c r="A85" s="2">
        <v>85.0</v>
      </c>
      <c r="B85" s="1">
        <f t="shared" si="2"/>
        <v>86</v>
      </c>
      <c r="C85" s="1">
        <f t="shared" si="3"/>
        <v>87</v>
      </c>
      <c r="D85" s="1">
        <f t="shared" si="4"/>
        <v>86</v>
      </c>
      <c r="E85" s="1">
        <f t="shared" si="5"/>
        <v>89</v>
      </c>
      <c r="F85" s="1">
        <f t="shared" si="6"/>
        <v>86</v>
      </c>
      <c r="G85" s="1">
        <f t="shared" si="7"/>
        <v>91</v>
      </c>
      <c r="H85" s="1">
        <f t="shared" si="8"/>
        <v>86</v>
      </c>
      <c r="I85" s="1">
        <f t="shared" si="9"/>
        <v>93</v>
      </c>
      <c r="J85" s="1">
        <f t="shared" si="10"/>
        <v>86</v>
      </c>
      <c r="K85" s="1">
        <f t="shared" si="11"/>
        <v>95</v>
      </c>
      <c r="L85" s="1">
        <f t="shared" si="12"/>
        <v>86</v>
      </c>
      <c r="M85" s="1">
        <f t="shared" si="13"/>
        <v>97</v>
      </c>
      <c r="N85" s="1">
        <f t="shared" si="14"/>
        <v>86</v>
      </c>
      <c r="O85" s="1">
        <f t="shared" si="15"/>
        <v>99</v>
      </c>
      <c r="P85" s="1">
        <f t="shared" si="16"/>
        <v>86</v>
      </c>
      <c r="Q85" s="1">
        <f t="shared" si="17"/>
        <v>101</v>
      </c>
      <c r="R85" s="1">
        <f t="shared" si="18"/>
        <v>86</v>
      </c>
      <c r="S85" s="1">
        <f t="shared" si="19"/>
        <v>103</v>
      </c>
      <c r="T85" s="1">
        <f t="shared" si="20"/>
        <v>86</v>
      </c>
      <c r="U85" s="1">
        <f t="shared" si="21"/>
        <v>105</v>
      </c>
      <c r="V85" s="1">
        <f t="shared" si="22"/>
        <v>86</v>
      </c>
      <c r="W85" s="1">
        <f t="shared" si="23"/>
        <v>107</v>
      </c>
      <c r="X85" s="1">
        <f t="shared" si="24"/>
        <v>86</v>
      </c>
      <c r="Y85" s="1">
        <f t="shared" si="25"/>
        <v>110</v>
      </c>
      <c r="Z85" s="1">
        <f t="shared" si="26"/>
        <v>86</v>
      </c>
      <c r="AA85" s="1">
        <f t="shared" si="27"/>
        <v>113</v>
      </c>
      <c r="AB85" s="1">
        <f t="shared" si="28"/>
        <v>86</v>
      </c>
      <c r="AC85" s="1">
        <f t="shared" si="29"/>
        <v>117</v>
      </c>
      <c r="AD85" s="1">
        <f t="shared" si="30"/>
        <v>86</v>
      </c>
      <c r="AE85" s="1">
        <f t="shared" si="31"/>
        <v>119</v>
      </c>
      <c r="AF85" s="1">
        <f t="shared" si="32"/>
        <v>86</v>
      </c>
      <c r="AG85" s="1">
        <f t="shared" si="33"/>
        <v>123</v>
      </c>
      <c r="AH85" s="1">
        <f t="shared" ref="AH85:AI85" si="123">$B$1+$A85</f>
        <v>86</v>
      </c>
      <c r="AI85" s="1">
        <f t="shared" si="123"/>
        <v>86</v>
      </c>
      <c r="AJ85" s="1">
        <f t="shared" si="35"/>
        <v>127</v>
      </c>
      <c r="AK85" s="1">
        <f t="shared" si="36"/>
        <v>86</v>
      </c>
      <c r="AL85" s="1">
        <f t="shared" si="37"/>
        <v>133</v>
      </c>
      <c r="AM85" s="1">
        <f t="shared" si="38"/>
        <v>86</v>
      </c>
      <c r="AN85" s="1">
        <f t="shared" si="39"/>
        <v>136</v>
      </c>
      <c r="AO85" s="1">
        <f t="shared" si="40"/>
        <v>86</v>
      </c>
      <c r="AP85" s="1">
        <f t="shared" si="41"/>
        <v>145</v>
      </c>
      <c r="AR85" s="8">
        <f>COUNTIFS(score4pijlen,AP85) </f>
        <v>41</v>
      </c>
    </row>
    <row r="86">
      <c r="A86" s="2">
        <v>86.0</v>
      </c>
      <c r="B86" s="1">
        <f t="shared" si="2"/>
        <v>87</v>
      </c>
      <c r="C86" s="1">
        <f t="shared" si="3"/>
        <v>88</v>
      </c>
      <c r="D86" s="1">
        <f t="shared" si="4"/>
        <v>87</v>
      </c>
      <c r="E86" s="1">
        <f t="shared" si="5"/>
        <v>90</v>
      </c>
      <c r="F86" s="1">
        <f t="shared" si="6"/>
        <v>87</v>
      </c>
      <c r="G86" s="1">
        <f t="shared" si="7"/>
        <v>92</v>
      </c>
      <c r="H86" s="1">
        <f t="shared" si="8"/>
        <v>87</v>
      </c>
      <c r="I86" s="1">
        <f t="shared" si="9"/>
        <v>94</v>
      </c>
      <c r="J86" s="1">
        <f t="shared" si="10"/>
        <v>87</v>
      </c>
      <c r="K86" s="1">
        <f t="shared" si="11"/>
        <v>96</v>
      </c>
      <c r="L86" s="1">
        <f t="shared" si="12"/>
        <v>87</v>
      </c>
      <c r="M86" s="1">
        <f t="shared" si="13"/>
        <v>98</v>
      </c>
      <c r="N86" s="1">
        <f t="shared" si="14"/>
        <v>87</v>
      </c>
      <c r="O86" s="1">
        <f t="shared" si="15"/>
        <v>100</v>
      </c>
      <c r="P86" s="1">
        <f t="shared" si="16"/>
        <v>87</v>
      </c>
      <c r="Q86" s="1">
        <f t="shared" si="17"/>
        <v>102</v>
      </c>
      <c r="R86" s="1">
        <f t="shared" si="18"/>
        <v>87</v>
      </c>
      <c r="S86" s="1">
        <f t="shared" si="19"/>
        <v>104</v>
      </c>
      <c r="T86" s="1">
        <f t="shared" si="20"/>
        <v>87</v>
      </c>
      <c r="U86" s="1">
        <f t="shared" si="21"/>
        <v>106</v>
      </c>
      <c r="V86" s="1">
        <f t="shared" si="22"/>
        <v>87</v>
      </c>
      <c r="W86" s="1">
        <f t="shared" si="23"/>
        <v>108</v>
      </c>
      <c r="X86" s="1">
        <f t="shared" si="24"/>
        <v>87</v>
      </c>
      <c r="Y86" s="1">
        <f t="shared" si="25"/>
        <v>111</v>
      </c>
      <c r="Z86" s="1">
        <f t="shared" si="26"/>
        <v>87</v>
      </c>
      <c r="AA86" s="1">
        <f t="shared" si="27"/>
        <v>114</v>
      </c>
      <c r="AB86" s="1">
        <f t="shared" si="28"/>
        <v>87</v>
      </c>
      <c r="AC86" s="1">
        <f t="shared" si="29"/>
        <v>118</v>
      </c>
      <c r="AD86" s="1">
        <f t="shared" si="30"/>
        <v>87</v>
      </c>
      <c r="AE86" s="1">
        <f t="shared" si="31"/>
        <v>120</v>
      </c>
      <c r="AF86" s="1">
        <f t="shared" si="32"/>
        <v>87</v>
      </c>
      <c r="AG86" s="1">
        <f t="shared" si="33"/>
        <v>124</v>
      </c>
      <c r="AH86" s="1">
        <f t="shared" ref="AH86:AI86" si="124">$B$1+$A86</f>
        <v>87</v>
      </c>
      <c r="AI86" s="1">
        <f t="shared" si="124"/>
        <v>87</v>
      </c>
      <c r="AJ86" s="1">
        <f t="shared" si="35"/>
        <v>128</v>
      </c>
      <c r="AK86" s="1">
        <f t="shared" si="36"/>
        <v>87</v>
      </c>
      <c r="AL86" s="1">
        <f t="shared" si="37"/>
        <v>134</v>
      </c>
      <c r="AM86" s="1">
        <f t="shared" si="38"/>
        <v>87</v>
      </c>
      <c r="AN86" s="1">
        <f t="shared" si="39"/>
        <v>137</v>
      </c>
      <c r="AO86" s="1">
        <f t="shared" si="40"/>
        <v>87</v>
      </c>
      <c r="AP86" s="1">
        <f t="shared" si="41"/>
        <v>146</v>
      </c>
      <c r="AR86" s="8">
        <f>COUNTIFS(score4pijlen,AP86) </f>
        <v>41</v>
      </c>
    </row>
    <row r="87">
      <c r="A87" s="2">
        <v>87.0</v>
      </c>
      <c r="B87" s="1">
        <f t="shared" si="2"/>
        <v>88</v>
      </c>
      <c r="C87" s="1">
        <f t="shared" si="3"/>
        <v>89</v>
      </c>
      <c r="D87" s="1">
        <f t="shared" si="4"/>
        <v>88</v>
      </c>
      <c r="E87" s="1">
        <f t="shared" si="5"/>
        <v>91</v>
      </c>
      <c r="F87" s="1">
        <f t="shared" si="6"/>
        <v>88</v>
      </c>
      <c r="G87" s="1">
        <f t="shared" si="7"/>
        <v>93</v>
      </c>
      <c r="H87" s="1">
        <f t="shared" si="8"/>
        <v>88</v>
      </c>
      <c r="I87" s="1">
        <f t="shared" si="9"/>
        <v>95</v>
      </c>
      <c r="J87" s="1">
        <f t="shared" si="10"/>
        <v>88</v>
      </c>
      <c r="K87" s="1">
        <f t="shared" si="11"/>
        <v>97</v>
      </c>
      <c r="L87" s="1">
        <f t="shared" si="12"/>
        <v>88</v>
      </c>
      <c r="M87" s="1">
        <f t="shared" si="13"/>
        <v>99</v>
      </c>
      <c r="N87" s="1">
        <f t="shared" si="14"/>
        <v>88</v>
      </c>
      <c r="O87" s="1">
        <f t="shared" si="15"/>
        <v>101</v>
      </c>
      <c r="P87" s="1">
        <f t="shared" si="16"/>
        <v>88</v>
      </c>
      <c r="Q87" s="1">
        <f t="shared" si="17"/>
        <v>103</v>
      </c>
      <c r="R87" s="1">
        <f t="shared" si="18"/>
        <v>88</v>
      </c>
      <c r="S87" s="1">
        <f t="shared" si="19"/>
        <v>105</v>
      </c>
      <c r="T87" s="1">
        <f t="shared" si="20"/>
        <v>88</v>
      </c>
      <c r="U87" s="1">
        <f t="shared" si="21"/>
        <v>107</v>
      </c>
      <c r="V87" s="1">
        <f t="shared" si="22"/>
        <v>88</v>
      </c>
      <c r="W87" s="1">
        <f t="shared" si="23"/>
        <v>109</v>
      </c>
      <c r="X87" s="1">
        <f t="shared" si="24"/>
        <v>88</v>
      </c>
      <c r="Y87" s="1">
        <f t="shared" si="25"/>
        <v>112</v>
      </c>
      <c r="Z87" s="1">
        <f t="shared" si="26"/>
        <v>88</v>
      </c>
      <c r="AA87" s="1">
        <f t="shared" si="27"/>
        <v>115</v>
      </c>
      <c r="AB87" s="1">
        <f t="shared" si="28"/>
        <v>88</v>
      </c>
      <c r="AC87" s="1">
        <f t="shared" si="29"/>
        <v>119</v>
      </c>
      <c r="AD87" s="1">
        <f t="shared" si="30"/>
        <v>88</v>
      </c>
      <c r="AE87" s="1">
        <f t="shared" si="31"/>
        <v>121</v>
      </c>
      <c r="AF87" s="1">
        <f t="shared" si="32"/>
        <v>88</v>
      </c>
      <c r="AG87" s="1">
        <f t="shared" si="33"/>
        <v>125</v>
      </c>
      <c r="AH87" s="1">
        <f t="shared" ref="AH87:AI87" si="125">$B$1+$A87</f>
        <v>88</v>
      </c>
      <c r="AI87" s="1">
        <f t="shared" si="125"/>
        <v>88</v>
      </c>
      <c r="AJ87" s="1">
        <f t="shared" si="35"/>
        <v>129</v>
      </c>
      <c r="AK87" s="1">
        <f t="shared" si="36"/>
        <v>88</v>
      </c>
      <c r="AL87" s="1">
        <f t="shared" si="37"/>
        <v>135</v>
      </c>
      <c r="AM87" s="1">
        <f t="shared" si="38"/>
        <v>88</v>
      </c>
      <c r="AN87" s="1">
        <f t="shared" si="39"/>
        <v>138</v>
      </c>
      <c r="AO87" s="1">
        <f t="shared" si="40"/>
        <v>88</v>
      </c>
      <c r="AP87" s="1">
        <f t="shared" si="41"/>
        <v>147</v>
      </c>
      <c r="AR87" s="8">
        <f>COUNTIFS(score4pijlen,AP87) </f>
        <v>41</v>
      </c>
    </row>
    <row r="88">
      <c r="A88" s="2">
        <v>88.0</v>
      </c>
      <c r="B88" s="1">
        <f t="shared" si="2"/>
        <v>89</v>
      </c>
      <c r="C88" s="1">
        <f t="shared" si="3"/>
        <v>90</v>
      </c>
      <c r="D88" s="1">
        <f t="shared" si="4"/>
        <v>89</v>
      </c>
      <c r="E88" s="1">
        <f t="shared" si="5"/>
        <v>92</v>
      </c>
      <c r="F88" s="1">
        <f t="shared" si="6"/>
        <v>89</v>
      </c>
      <c r="G88" s="1">
        <f t="shared" si="7"/>
        <v>94</v>
      </c>
      <c r="H88" s="1">
        <f t="shared" si="8"/>
        <v>89</v>
      </c>
      <c r="I88" s="1">
        <f t="shared" si="9"/>
        <v>96</v>
      </c>
      <c r="J88" s="1">
        <f t="shared" si="10"/>
        <v>89</v>
      </c>
      <c r="K88" s="1">
        <f t="shared" si="11"/>
        <v>98</v>
      </c>
      <c r="L88" s="1">
        <f t="shared" si="12"/>
        <v>89</v>
      </c>
      <c r="M88" s="1">
        <f t="shared" si="13"/>
        <v>100</v>
      </c>
      <c r="N88" s="1">
        <f t="shared" si="14"/>
        <v>89</v>
      </c>
      <c r="O88" s="1">
        <f t="shared" si="15"/>
        <v>102</v>
      </c>
      <c r="P88" s="1">
        <f t="shared" si="16"/>
        <v>89</v>
      </c>
      <c r="Q88" s="1">
        <f t="shared" si="17"/>
        <v>104</v>
      </c>
      <c r="R88" s="1">
        <f t="shared" si="18"/>
        <v>89</v>
      </c>
      <c r="S88" s="1">
        <f t="shared" si="19"/>
        <v>106</v>
      </c>
      <c r="T88" s="1">
        <f t="shared" si="20"/>
        <v>89</v>
      </c>
      <c r="U88" s="1">
        <f t="shared" si="21"/>
        <v>108</v>
      </c>
      <c r="V88" s="1">
        <f t="shared" si="22"/>
        <v>89</v>
      </c>
      <c r="W88" s="1">
        <f t="shared" si="23"/>
        <v>110</v>
      </c>
      <c r="X88" s="1">
        <f t="shared" si="24"/>
        <v>89</v>
      </c>
      <c r="Y88" s="1">
        <f t="shared" si="25"/>
        <v>113</v>
      </c>
      <c r="Z88" s="1">
        <f t="shared" si="26"/>
        <v>89</v>
      </c>
      <c r="AA88" s="1">
        <f t="shared" si="27"/>
        <v>116</v>
      </c>
      <c r="AB88" s="1">
        <f t="shared" si="28"/>
        <v>89</v>
      </c>
      <c r="AC88" s="1">
        <f t="shared" si="29"/>
        <v>120</v>
      </c>
      <c r="AD88" s="1">
        <f t="shared" si="30"/>
        <v>89</v>
      </c>
      <c r="AE88" s="1">
        <f t="shared" si="31"/>
        <v>122</v>
      </c>
      <c r="AF88" s="1">
        <f t="shared" si="32"/>
        <v>89</v>
      </c>
      <c r="AG88" s="1">
        <f t="shared" si="33"/>
        <v>126</v>
      </c>
      <c r="AH88" s="1">
        <f t="shared" ref="AH88:AI88" si="126">$B$1+$A88</f>
        <v>89</v>
      </c>
      <c r="AI88" s="1">
        <f t="shared" si="126"/>
        <v>89</v>
      </c>
      <c r="AJ88" s="1">
        <f t="shared" si="35"/>
        <v>130</v>
      </c>
      <c r="AK88" s="1">
        <f t="shared" si="36"/>
        <v>89</v>
      </c>
      <c r="AL88" s="1">
        <f t="shared" si="37"/>
        <v>136</v>
      </c>
      <c r="AM88" s="1">
        <f t="shared" si="38"/>
        <v>89</v>
      </c>
      <c r="AN88" s="1">
        <f t="shared" si="39"/>
        <v>139</v>
      </c>
      <c r="AO88" s="1">
        <f t="shared" si="40"/>
        <v>89</v>
      </c>
      <c r="AP88" s="1">
        <f t="shared" si="41"/>
        <v>148</v>
      </c>
      <c r="AR88" s="8">
        <f>COUNTIFS(score4pijlen,AP88) </f>
        <v>41</v>
      </c>
    </row>
    <row r="89">
      <c r="A89" s="2">
        <v>89.0</v>
      </c>
      <c r="B89" s="1">
        <f t="shared" si="2"/>
        <v>90</v>
      </c>
      <c r="C89" s="1">
        <f t="shared" si="3"/>
        <v>91</v>
      </c>
      <c r="D89" s="1">
        <f t="shared" si="4"/>
        <v>90</v>
      </c>
      <c r="E89" s="1">
        <f t="shared" si="5"/>
        <v>93</v>
      </c>
      <c r="F89" s="1">
        <f t="shared" si="6"/>
        <v>90</v>
      </c>
      <c r="G89" s="1">
        <f t="shared" si="7"/>
        <v>95</v>
      </c>
      <c r="H89" s="1">
        <f t="shared" si="8"/>
        <v>90</v>
      </c>
      <c r="I89" s="1">
        <f t="shared" si="9"/>
        <v>97</v>
      </c>
      <c r="J89" s="1">
        <f t="shared" si="10"/>
        <v>90</v>
      </c>
      <c r="K89" s="1">
        <f t="shared" si="11"/>
        <v>99</v>
      </c>
      <c r="L89" s="1">
        <f t="shared" si="12"/>
        <v>90</v>
      </c>
      <c r="M89" s="1">
        <f t="shared" si="13"/>
        <v>101</v>
      </c>
      <c r="N89" s="1">
        <f t="shared" si="14"/>
        <v>90</v>
      </c>
      <c r="O89" s="1">
        <f t="shared" si="15"/>
        <v>103</v>
      </c>
      <c r="P89" s="1">
        <f t="shared" si="16"/>
        <v>90</v>
      </c>
      <c r="Q89" s="1">
        <f t="shared" si="17"/>
        <v>105</v>
      </c>
      <c r="R89" s="1">
        <f t="shared" si="18"/>
        <v>90</v>
      </c>
      <c r="S89" s="1">
        <f t="shared" si="19"/>
        <v>107</v>
      </c>
      <c r="T89" s="1">
        <f t="shared" si="20"/>
        <v>90</v>
      </c>
      <c r="U89" s="1">
        <f t="shared" si="21"/>
        <v>109</v>
      </c>
      <c r="V89" s="1">
        <f t="shared" si="22"/>
        <v>90</v>
      </c>
      <c r="W89" s="1">
        <f t="shared" si="23"/>
        <v>111</v>
      </c>
      <c r="X89" s="1">
        <f t="shared" si="24"/>
        <v>90</v>
      </c>
      <c r="Y89" s="1">
        <f t="shared" si="25"/>
        <v>114</v>
      </c>
      <c r="Z89" s="1">
        <f t="shared" si="26"/>
        <v>90</v>
      </c>
      <c r="AA89" s="1">
        <f t="shared" si="27"/>
        <v>117</v>
      </c>
      <c r="AB89" s="1">
        <f t="shared" si="28"/>
        <v>90</v>
      </c>
      <c r="AC89" s="1">
        <f t="shared" si="29"/>
        <v>121</v>
      </c>
      <c r="AD89" s="1">
        <f t="shared" si="30"/>
        <v>90</v>
      </c>
      <c r="AE89" s="1">
        <f t="shared" si="31"/>
        <v>123</v>
      </c>
      <c r="AF89" s="1">
        <f t="shared" si="32"/>
        <v>90</v>
      </c>
      <c r="AG89" s="1">
        <f t="shared" si="33"/>
        <v>127</v>
      </c>
      <c r="AH89" s="1">
        <f t="shared" ref="AH89:AI89" si="127">$B$1+$A89</f>
        <v>90</v>
      </c>
      <c r="AI89" s="1">
        <f t="shared" si="127"/>
        <v>90</v>
      </c>
      <c r="AJ89" s="1">
        <f t="shared" si="35"/>
        <v>131</v>
      </c>
      <c r="AK89" s="1">
        <f t="shared" si="36"/>
        <v>90</v>
      </c>
      <c r="AL89" s="1">
        <f t="shared" si="37"/>
        <v>137</v>
      </c>
      <c r="AM89" s="1">
        <f t="shared" si="38"/>
        <v>90</v>
      </c>
      <c r="AN89" s="1">
        <f t="shared" si="39"/>
        <v>140</v>
      </c>
      <c r="AO89" s="1">
        <f t="shared" si="40"/>
        <v>90</v>
      </c>
      <c r="AP89" s="1">
        <f t="shared" si="41"/>
        <v>149</v>
      </c>
      <c r="AR89" s="8">
        <f>COUNTIFS(score4pijlen,AP89) </f>
        <v>41</v>
      </c>
    </row>
    <row r="90">
      <c r="A90" s="2">
        <v>90.0</v>
      </c>
      <c r="B90" s="1">
        <f t="shared" si="2"/>
        <v>91</v>
      </c>
      <c r="C90" s="1">
        <f t="shared" si="3"/>
        <v>92</v>
      </c>
      <c r="D90" s="1">
        <f t="shared" si="4"/>
        <v>91</v>
      </c>
      <c r="E90" s="1">
        <f t="shared" si="5"/>
        <v>94</v>
      </c>
      <c r="F90" s="1">
        <f t="shared" si="6"/>
        <v>91</v>
      </c>
      <c r="G90" s="1">
        <f t="shared" si="7"/>
        <v>96</v>
      </c>
      <c r="H90" s="1">
        <f t="shared" si="8"/>
        <v>91</v>
      </c>
      <c r="I90" s="1">
        <f t="shared" si="9"/>
        <v>98</v>
      </c>
      <c r="J90" s="1">
        <f t="shared" si="10"/>
        <v>91</v>
      </c>
      <c r="K90" s="1">
        <f t="shared" si="11"/>
        <v>100</v>
      </c>
      <c r="L90" s="1">
        <f t="shared" si="12"/>
        <v>91</v>
      </c>
      <c r="M90" s="1">
        <f t="shared" si="13"/>
        <v>102</v>
      </c>
      <c r="N90" s="1">
        <f t="shared" si="14"/>
        <v>91</v>
      </c>
      <c r="O90" s="1">
        <f t="shared" si="15"/>
        <v>104</v>
      </c>
      <c r="P90" s="1">
        <f t="shared" si="16"/>
        <v>91</v>
      </c>
      <c r="Q90" s="1">
        <f t="shared" si="17"/>
        <v>106</v>
      </c>
      <c r="R90" s="1">
        <f t="shared" si="18"/>
        <v>91</v>
      </c>
      <c r="S90" s="1">
        <f t="shared" si="19"/>
        <v>108</v>
      </c>
      <c r="T90" s="1">
        <f t="shared" si="20"/>
        <v>91</v>
      </c>
      <c r="U90" s="1">
        <f t="shared" si="21"/>
        <v>110</v>
      </c>
      <c r="V90" s="1">
        <f t="shared" si="22"/>
        <v>91</v>
      </c>
      <c r="W90" s="1">
        <f t="shared" si="23"/>
        <v>112</v>
      </c>
      <c r="X90" s="1">
        <f t="shared" si="24"/>
        <v>91</v>
      </c>
      <c r="Y90" s="1">
        <f t="shared" si="25"/>
        <v>115</v>
      </c>
      <c r="Z90" s="1">
        <f t="shared" si="26"/>
        <v>91</v>
      </c>
      <c r="AA90" s="1">
        <f t="shared" si="27"/>
        <v>118</v>
      </c>
      <c r="AB90" s="1">
        <f t="shared" si="28"/>
        <v>91</v>
      </c>
      <c r="AC90" s="1">
        <f t="shared" si="29"/>
        <v>122</v>
      </c>
      <c r="AD90" s="1">
        <f t="shared" si="30"/>
        <v>91</v>
      </c>
      <c r="AE90" s="1">
        <f t="shared" si="31"/>
        <v>124</v>
      </c>
      <c r="AF90" s="1">
        <f t="shared" si="32"/>
        <v>91</v>
      </c>
      <c r="AG90" s="1">
        <f t="shared" si="33"/>
        <v>128</v>
      </c>
      <c r="AH90" s="1">
        <f t="shared" ref="AH90:AI90" si="128">$B$1+$A90</f>
        <v>91</v>
      </c>
      <c r="AI90" s="1">
        <f t="shared" si="128"/>
        <v>91</v>
      </c>
      <c r="AJ90" s="1">
        <f t="shared" si="35"/>
        <v>132</v>
      </c>
      <c r="AK90" s="1">
        <f t="shared" si="36"/>
        <v>91</v>
      </c>
      <c r="AL90" s="1">
        <f t="shared" si="37"/>
        <v>138</v>
      </c>
      <c r="AM90" s="1">
        <f t="shared" si="38"/>
        <v>91</v>
      </c>
      <c r="AN90" s="1">
        <f t="shared" si="39"/>
        <v>141</v>
      </c>
      <c r="AO90" s="1">
        <f t="shared" si="40"/>
        <v>91</v>
      </c>
      <c r="AP90" s="1">
        <f t="shared" si="41"/>
        <v>150</v>
      </c>
      <c r="AR90" s="8">
        <f>COUNTIFS(score4pijlen,AP90) </f>
        <v>41</v>
      </c>
    </row>
    <row r="91">
      <c r="A91" s="2">
        <v>91.0</v>
      </c>
      <c r="B91" s="1">
        <f t="shared" si="2"/>
        <v>92</v>
      </c>
      <c r="C91" s="1">
        <f t="shared" si="3"/>
        <v>93</v>
      </c>
      <c r="D91" s="1">
        <f t="shared" si="4"/>
        <v>92</v>
      </c>
      <c r="E91" s="1">
        <f t="shared" si="5"/>
        <v>95</v>
      </c>
      <c r="F91" s="1">
        <f t="shared" si="6"/>
        <v>92</v>
      </c>
      <c r="G91" s="1">
        <f t="shared" si="7"/>
        <v>97</v>
      </c>
      <c r="H91" s="1">
        <f t="shared" si="8"/>
        <v>92</v>
      </c>
      <c r="I91" s="1">
        <f t="shared" si="9"/>
        <v>99</v>
      </c>
      <c r="J91" s="1">
        <f t="shared" si="10"/>
        <v>92</v>
      </c>
      <c r="K91" s="1">
        <f t="shared" si="11"/>
        <v>101</v>
      </c>
      <c r="L91" s="1">
        <f t="shared" si="12"/>
        <v>92</v>
      </c>
      <c r="M91" s="1">
        <f t="shared" si="13"/>
        <v>103</v>
      </c>
      <c r="N91" s="1">
        <f t="shared" si="14"/>
        <v>92</v>
      </c>
      <c r="O91" s="1">
        <f t="shared" si="15"/>
        <v>105</v>
      </c>
      <c r="P91" s="1">
        <f t="shared" si="16"/>
        <v>92</v>
      </c>
      <c r="Q91" s="1">
        <f t="shared" si="17"/>
        <v>107</v>
      </c>
      <c r="R91" s="1">
        <f t="shared" si="18"/>
        <v>92</v>
      </c>
      <c r="S91" s="1">
        <f t="shared" si="19"/>
        <v>109</v>
      </c>
      <c r="T91" s="1">
        <f t="shared" si="20"/>
        <v>92</v>
      </c>
      <c r="U91" s="1">
        <f t="shared" si="21"/>
        <v>111</v>
      </c>
      <c r="V91" s="1">
        <f t="shared" si="22"/>
        <v>92</v>
      </c>
      <c r="W91" s="1">
        <f t="shared" si="23"/>
        <v>113</v>
      </c>
      <c r="X91" s="1">
        <f t="shared" si="24"/>
        <v>92</v>
      </c>
      <c r="Y91" s="1">
        <f t="shared" si="25"/>
        <v>116</v>
      </c>
      <c r="Z91" s="1">
        <f t="shared" si="26"/>
        <v>92</v>
      </c>
      <c r="AA91" s="1">
        <f t="shared" si="27"/>
        <v>119</v>
      </c>
      <c r="AB91" s="1">
        <f t="shared" si="28"/>
        <v>92</v>
      </c>
      <c r="AC91" s="1">
        <f t="shared" si="29"/>
        <v>123</v>
      </c>
      <c r="AD91" s="1">
        <f t="shared" si="30"/>
        <v>92</v>
      </c>
      <c r="AE91" s="1">
        <f t="shared" si="31"/>
        <v>125</v>
      </c>
      <c r="AF91" s="1">
        <f t="shared" si="32"/>
        <v>92</v>
      </c>
      <c r="AG91" s="1">
        <f t="shared" si="33"/>
        <v>129</v>
      </c>
      <c r="AH91" s="1">
        <f t="shared" ref="AH91:AI91" si="129">$B$1+$A91</f>
        <v>92</v>
      </c>
      <c r="AI91" s="1">
        <f t="shared" si="129"/>
        <v>92</v>
      </c>
      <c r="AJ91" s="1">
        <f t="shared" si="35"/>
        <v>133</v>
      </c>
      <c r="AK91" s="1">
        <f t="shared" si="36"/>
        <v>92</v>
      </c>
      <c r="AL91" s="1">
        <f t="shared" si="37"/>
        <v>139</v>
      </c>
      <c r="AM91" s="1">
        <f t="shared" si="38"/>
        <v>92</v>
      </c>
      <c r="AN91" s="1">
        <f t="shared" si="39"/>
        <v>142</v>
      </c>
      <c r="AO91" s="1">
        <f t="shared" si="40"/>
        <v>92</v>
      </c>
      <c r="AP91" s="1">
        <f t="shared" si="41"/>
        <v>151</v>
      </c>
      <c r="AR91" s="8">
        <f>COUNTIFS(score4pijlen,AP91) </f>
        <v>41</v>
      </c>
    </row>
    <row r="92">
      <c r="A92" s="2">
        <v>92.0</v>
      </c>
      <c r="B92" s="1">
        <f t="shared" si="2"/>
        <v>93</v>
      </c>
      <c r="C92" s="1">
        <f t="shared" si="3"/>
        <v>94</v>
      </c>
      <c r="D92" s="1">
        <f t="shared" si="4"/>
        <v>93</v>
      </c>
      <c r="E92" s="1">
        <f t="shared" si="5"/>
        <v>96</v>
      </c>
      <c r="F92" s="1">
        <f t="shared" si="6"/>
        <v>93</v>
      </c>
      <c r="G92" s="1">
        <f t="shared" si="7"/>
        <v>98</v>
      </c>
      <c r="H92" s="1">
        <f t="shared" si="8"/>
        <v>93</v>
      </c>
      <c r="I92" s="1">
        <f t="shared" si="9"/>
        <v>100</v>
      </c>
      <c r="J92" s="1">
        <f t="shared" si="10"/>
        <v>93</v>
      </c>
      <c r="K92" s="1">
        <f t="shared" si="11"/>
        <v>102</v>
      </c>
      <c r="L92" s="1">
        <f t="shared" si="12"/>
        <v>93</v>
      </c>
      <c r="M92" s="1">
        <f t="shared" si="13"/>
        <v>104</v>
      </c>
      <c r="N92" s="1">
        <f t="shared" si="14"/>
        <v>93</v>
      </c>
      <c r="O92" s="1">
        <f t="shared" si="15"/>
        <v>106</v>
      </c>
      <c r="P92" s="1">
        <f t="shared" si="16"/>
        <v>93</v>
      </c>
      <c r="Q92" s="1">
        <f t="shared" si="17"/>
        <v>108</v>
      </c>
      <c r="R92" s="1">
        <f t="shared" si="18"/>
        <v>93</v>
      </c>
      <c r="S92" s="1">
        <f t="shared" si="19"/>
        <v>110</v>
      </c>
      <c r="T92" s="1">
        <f t="shared" si="20"/>
        <v>93</v>
      </c>
      <c r="U92" s="1">
        <f t="shared" si="21"/>
        <v>112</v>
      </c>
      <c r="V92" s="1">
        <f t="shared" si="22"/>
        <v>93</v>
      </c>
      <c r="W92" s="1">
        <f t="shared" si="23"/>
        <v>114</v>
      </c>
      <c r="X92" s="1">
        <f t="shared" si="24"/>
        <v>93</v>
      </c>
      <c r="Y92" s="1">
        <f t="shared" si="25"/>
        <v>117</v>
      </c>
      <c r="Z92" s="1">
        <f t="shared" si="26"/>
        <v>93</v>
      </c>
      <c r="AA92" s="1">
        <f t="shared" si="27"/>
        <v>120</v>
      </c>
      <c r="AB92" s="1">
        <f t="shared" si="28"/>
        <v>93</v>
      </c>
      <c r="AC92" s="1">
        <f t="shared" si="29"/>
        <v>124</v>
      </c>
      <c r="AD92" s="1">
        <f t="shared" si="30"/>
        <v>93</v>
      </c>
      <c r="AE92" s="1">
        <f t="shared" si="31"/>
        <v>126</v>
      </c>
      <c r="AF92" s="1">
        <f t="shared" si="32"/>
        <v>93</v>
      </c>
      <c r="AG92" s="1">
        <f t="shared" si="33"/>
        <v>130</v>
      </c>
      <c r="AH92" s="1">
        <f t="shared" ref="AH92:AI92" si="130">$B$1+$A92</f>
        <v>93</v>
      </c>
      <c r="AI92" s="1">
        <f t="shared" si="130"/>
        <v>93</v>
      </c>
      <c r="AJ92" s="1">
        <f t="shared" si="35"/>
        <v>134</v>
      </c>
      <c r="AK92" s="1">
        <f t="shared" si="36"/>
        <v>93</v>
      </c>
      <c r="AL92" s="1">
        <f t="shared" si="37"/>
        <v>140</v>
      </c>
      <c r="AM92" s="1">
        <f t="shared" si="38"/>
        <v>93</v>
      </c>
      <c r="AN92" s="1">
        <f t="shared" si="39"/>
        <v>143</v>
      </c>
      <c r="AO92" s="1">
        <f t="shared" si="40"/>
        <v>93</v>
      </c>
      <c r="AP92" s="1">
        <f t="shared" si="41"/>
        <v>152</v>
      </c>
      <c r="AR92" s="8">
        <f>COUNTIFS(score4pijlen,AP92) </f>
        <v>41</v>
      </c>
    </row>
    <row r="93">
      <c r="A93" s="2">
        <v>93.0</v>
      </c>
      <c r="B93" s="1">
        <f t="shared" si="2"/>
        <v>94</v>
      </c>
      <c r="C93" s="1">
        <f t="shared" si="3"/>
        <v>95</v>
      </c>
      <c r="D93" s="1">
        <f t="shared" si="4"/>
        <v>94</v>
      </c>
      <c r="E93" s="1">
        <f t="shared" si="5"/>
        <v>97</v>
      </c>
      <c r="F93" s="1">
        <f t="shared" si="6"/>
        <v>94</v>
      </c>
      <c r="G93" s="1">
        <f t="shared" si="7"/>
        <v>99</v>
      </c>
      <c r="H93" s="1">
        <f t="shared" si="8"/>
        <v>94</v>
      </c>
      <c r="I93" s="1">
        <f t="shared" si="9"/>
        <v>101</v>
      </c>
      <c r="J93" s="1">
        <f t="shared" si="10"/>
        <v>94</v>
      </c>
      <c r="K93" s="1">
        <f t="shared" si="11"/>
        <v>103</v>
      </c>
      <c r="L93" s="1">
        <f t="shared" si="12"/>
        <v>94</v>
      </c>
      <c r="M93" s="1">
        <f t="shared" si="13"/>
        <v>105</v>
      </c>
      <c r="N93" s="1">
        <f t="shared" si="14"/>
        <v>94</v>
      </c>
      <c r="O93" s="1">
        <f t="shared" si="15"/>
        <v>107</v>
      </c>
      <c r="P93" s="1">
        <f t="shared" si="16"/>
        <v>94</v>
      </c>
      <c r="Q93" s="1">
        <f t="shared" si="17"/>
        <v>109</v>
      </c>
      <c r="R93" s="1">
        <f t="shared" si="18"/>
        <v>94</v>
      </c>
      <c r="S93" s="1">
        <f t="shared" si="19"/>
        <v>111</v>
      </c>
      <c r="T93" s="1">
        <f t="shared" si="20"/>
        <v>94</v>
      </c>
      <c r="U93" s="1">
        <f t="shared" si="21"/>
        <v>113</v>
      </c>
      <c r="V93" s="1">
        <f t="shared" si="22"/>
        <v>94</v>
      </c>
      <c r="W93" s="1">
        <f t="shared" si="23"/>
        <v>115</v>
      </c>
      <c r="X93" s="1">
        <f t="shared" si="24"/>
        <v>94</v>
      </c>
      <c r="Y93" s="1">
        <f t="shared" si="25"/>
        <v>118</v>
      </c>
      <c r="Z93" s="1">
        <f t="shared" si="26"/>
        <v>94</v>
      </c>
      <c r="AA93" s="1">
        <f t="shared" si="27"/>
        <v>121</v>
      </c>
      <c r="AB93" s="1">
        <f t="shared" si="28"/>
        <v>94</v>
      </c>
      <c r="AC93" s="1">
        <f t="shared" si="29"/>
        <v>125</v>
      </c>
      <c r="AD93" s="1">
        <f t="shared" si="30"/>
        <v>94</v>
      </c>
      <c r="AE93" s="1">
        <f t="shared" si="31"/>
        <v>127</v>
      </c>
      <c r="AF93" s="1">
        <f t="shared" si="32"/>
        <v>94</v>
      </c>
      <c r="AG93" s="1">
        <f t="shared" si="33"/>
        <v>131</v>
      </c>
      <c r="AH93" s="1">
        <f t="shared" ref="AH93:AI93" si="131">$B$1+$A93</f>
        <v>94</v>
      </c>
      <c r="AI93" s="1">
        <f t="shared" si="131"/>
        <v>94</v>
      </c>
      <c r="AJ93" s="1">
        <f t="shared" si="35"/>
        <v>135</v>
      </c>
      <c r="AK93" s="1">
        <f t="shared" si="36"/>
        <v>94</v>
      </c>
      <c r="AL93" s="1">
        <f t="shared" si="37"/>
        <v>141</v>
      </c>
      <c r="AM93" s="1">
        <f t="shared" si="38"/>
        <v>94</v>
      </c>
      <c r="AN93" s="1">
        <f t="shared" si="39"/>
        <v>144</v>
      </c>
      <c r="AO93" s="1">
        <f t="shared" si="40"/>
        <v>94</v>
      </c>
      <c r="AP93" s="1">
        <f t="shared" si="41"/>
        <v>153</v>
      </c>
      <c r="AR93" s="8">
        <f>COUNTIFS(score4pijlen,AP93) </f>
        <v>41</v>
      </c>
    </row>
    <row r="94">
      <c r="A94" s="2">
        <v>94.0</v>
      </c>
      <c r="B94" s="1">
        <f t="shared" si="2"/>
        <v>95</v>
      </c>
      <c r="C94" s="1">
        <f t="shared" si="3"/>
        <v>96</v>
      </c>
      <c r="D94" s="1">
        <f t="shared" si="4"/>
        <v>95</v>
      </c>
      <c r="E94" s="1">
        <f t="shared" si="5"/>
        <v>98</v>
      </c>
      <c r="F94" s="1">
        <f t="shared" si="6"/>
        <v>95</v>
      </c>
      <c r="G94" s="1">
        <f t="shared" si="7"/>
        <v>100</v>
      </c>
      <c r="H94" s="1">
        <f t="shared" si="8"/>
        <v>95</v>
      </c>
      <c r="I94" s="1">
        <f t="shared" si="9"/>
        <v>102</v>
      </c>
      <c r="J94" s="1">
        <f t="shared" si="10"/>
        <v>95</v>
      </c>
      <c r="K94" s="1">
        <f t="shared" si="11"/>
        <v>104</v>
      </c>
      <c r="L94" s="1">
        <f t="shared" si="12"/>
        <v>95</v>
      </c>
      <c r="M94" s="1">
        <f t="shared" si="13"/>
        <v>106</v>
      </c>
      <c r="N94" s="1">
        <f t="shared" si="14"/>
        <v>95</v>
      </c>
      <c r="O94" s="1">
        <f t="shared" si="15"/>
        <v>108</v>
      </c>
      <c r="P94" s="1">
        <f t="shared" si="16"/>
        <v>95</v>
      </c>
      <c r="Q94" s="1">
        <f t="shared" si="17"/>
        <v>110</v>
      </c>
      <c r="R94" s="1">
        <f t="shared" si="18"/>
        <v>95</v>
      </c>
      <c r="S94" s="1">
        <f t="shared" si="19"/>
        <v>112</v>
      </c>
      <c r="T94" s="1">
        <f t="shared" si="20"/>
        <v>95</v>
      </c>
      <c r="U94" s="1">
        <f t="shared" si="21"/>
        <v>114</v>
      </c>
      <c r="V94" s="1">
        <f t="shared" si="22"/>
        <v>95</v>
      </c>
      <c r="W94" s="1">
        <f t="shared" si="23"/>
        <v>116</v>
      </c>
      <c r="X94" s="1">
        <f t="shared" si="24"/>
        <v>95</v>
      </c>
      <c r="Y94" s="1">
        <f t="shared" si="25"/>
        <v>119</v>
      </c>
      <c r="Z94" s="1">
        <f t="shared" si="26"/>
        <v>95</v>
      </c>
      <c r="AA94" s="1">
        <f t="shared" si="27"/>
        <v>122</v>
      </c>
      <c r="AB94" s="1">
        <f t="shared" si="28"/>
        <v>95</v>
      </c>
      <c r="AC94" s="1">
        <f t="shared" si="29"/>
        <v>126</v>
      </c>
      <c r="AD94" s="1">
        <f t="shared" si="30"/>
        <v>95</v>
      </c>
      <c r="AE94" s="1">
        <f t="shared" si="31"/>
        <v>128</v>
      </c>
      <c r="AF94" s="1">
        <f t="shared" si="32"/>
        <v>95</v>
      </c>
      <c r="AG94" s="1">
        <f t="shared" si="33"/>
        <v>132</v>
      </c>
      <c r="AH94" s="1">
        <f t="shared" ref="AH94:AI94" si="132">$B$1+$A94</f>
        <v>95</v>
      </c>
      <c r="AI94" s="1">
        <f t="shared" si="132"/>
        <v>95</v>
      </c>
      <c r="AJ94" s="1">
        <f t="shared" si="35"/>
        <v>136</v>
      </c>
      <c r="AK94" s="1">
        <f t="shared" si="36"/>
        <v>95</v>
      </c>
      <c r="AL94" s="1">
        <f t="shared" si="37"/>
        <v>142</v>
      </c>
      <c r="AM94" s="1">
        <f t="shared" si="38"/>
        <v>95</v>
      </c>
      <c r="AN94" s="1">
        <f t="shared" si="39"/>
        <v>145</v>
      </c>
      <c r="AO94" s="1">
        <f t="shared" si="40"/>
        <v>95</v>
      </c>
      <c r="AP94" s="1">
        <f t="shared" si="41"/>
        <v>154</v>
      </c>
      <c r="AR94" s="8">
        <f>COUNTIFS(score4pijlen,AP94) </f>
        <v>41</v>
      </c>
    </row>
    <row r="95">
      <c r="A95" s="2">
        <v>95.0</v>
      </c>
      <c r="B95" s="1">
        <f t="shared" si="2"/>
        <v>96</v>
      </c>
      <c r="C95" s="1">
        <f t="shared" si="3"/>
        <v>97</v>
      </c>
      <c r="D95" s="1">
        <f t="shared" si="4"/>
        <v>96</v>
      </c>
      <c r="E95" s="1">
        <f t="shared" si="5"/>
        <v>99</v>
      </c>
      <c r="F95" s="1">
        <f t="shared" si="6"/>
        <v>96</v>
      </c>
      <c r="G95" s="1">
        <f t="shared" si="7"/>
        <v>101</v>
      </c>
      <c r="H95" s="1">
        <f t="shared" si="8"/>
        <v>96</v>
      </c>
      <c r="I95" s="1">
        <f t="shared" si="9"/>
        <v>103</v>
      </c>
      <c r="J95" s="1">
        <f t="shared" si="10"/>
        <v>96</v>
      </c>
      <c r="K95" s="1">
        <f t="shared" si="11"/>
        <v>105</v>
      </c>
      <c r="L95" s="1">
        <f t="shared" si="12"/>
        <v>96</v>
      </c>
      <c r="M95" s="1">
        <f t="shared" si="13"/>
        <v>107</v>
      </c>
      <c r="N95" s="1">
        <f t="shared" si="14"/>
        <v>96</v>
      </c>
      <c r="O95" s="1">
        <f t="shared" si="15"/>
        <v>109</v>
      </c>
      <c r="P95" s="1">
        <f t="shared" si="16"/>
        <v>96</v>
      </c>
      <c r="Q95" s="1">
        <f t="shared" si="17"/>
        <v>111</v>
      </c>
      <c r="R95" s="1">
        <f t="shared" si="18"/>
        <v>96</v>
      </c>
      <c r="S95" s="1">
        <f t="shared" si="19"/>
        <v>113</v>
      </c>
      <c r="T95" s="1">
        <f t="shared" si="20"/>
        <v>96</v>
      </c>
      <c r="U95" s="1">
        <f t="shared" si="21"/>
        <v>115</v>
      </c>
      <c r="V95" s="1">
        <f t="shared" si="22"/>
        <v>96</v>
      </c>
      <c r="W95" s="1">
        <f t="shared" si="23"/>
        <v>117</v>
      </c>
      <c r="X95" s="1">
        <f t="shared" si="24"/>
        <v>96</v>
      </c>
      <c r="Y95" s="1">
        <f t="shared" si="25"/>
        <v>120</v>
      </c>
      <c r="Z95" s="1">
        <f t="shared" si="26"/>
        <v>96</v>
      </c>
      <c r="AA95" s="1">
        <f t="shared" si="27"/>
        <v>123</v>
      </c>
      <c r="AB95" s="1">
        <f t="shared" si="28"/>
        <v>96</v>
      </c>
      <c r="AC95" s="1">
        <f t="shared" si="29"/>
        <v>127</v>
      </c>
      <c r="AD95" s="1">
        <f t="shared" si="30"/>
        <v>96</v>
      </c>
      <c r="AE95" s="1">
        <f t="shared" si="31"/>
        <v>129</v>
      </c>
      <c r="AF95" s="1">
        <f t="shared" si="32"/>
        <v>96</v>
      </c>
      <c r="AG95" s="1">
        <f t="shared" si="33"/>
        <v>133</v>
      </c>
      <c r="AH95" s="1">
        <f t="shared" ref="AH95:AI95" si="133">$B$1+$A95</f>
        <v>96</v>
      </c>
      <c r="AI95" s="1">
        <f t="shared" si="133"/>
        <v>96</v>
      </c>
      <c r="AJ95" s="1">
        <f t="shared" si="35"/>
        <v>137</v>
      </c>
      <c r="AK95" s="1">
        <f t="shared" si="36"/>
        <v>96</v>
      </c>
      <c r="AL95" s="1">
        <f t="shared" si="37"/>
        <v>143</v>
      </c>
      <c r="AM95" s="1">
        <f t="shared" si="38"/>
        <v>96</v>
      </c>
      <c r="AN95" s="1">
        <f t="shared" si="39"/>
        <v>146</v>
      </c>
      <c r="AO95" s="1">
        <f t="shared" si="40"/>
        <v>96</v>
      </c>
      <c r="AP95" s="1">
        <f t="shared" si="41"/>
        <v>155</v>
      </c>
      <c r="AR95" s="8">
        <f>COUNTIFS(score4pijlen,AP95) </f>
        <v>41</v>
      </c>
    </row>
    <row r="96">
      <c r="A96" s="2">
        <v>96.0</v>
      </c>
      <c r="B96" s="1">
        <f t="shared" si="2"/>
        <v>97</v>
      </c>
      <c r="C96" s="1">
        <f t="shared" si="3"/>
        <v>98</v>
      </c>
      <c r="D96" s="1">
        <f t="shared" si="4"/>
        <v>97</v>
      </c>
      <c r="E96" s="1">
        <f t="shared" si="5"/>
        <v>100</v>
      </c>
      <c r="F96" s="1">
        <f t="shared" si="6"/>
        <v>97</v>
      </c>
      <c r="G96" s="1">
        <f t="shared" si="7"/>
        <v>102</v>
      </c>
      <c r="H96" s="1">
        <f t="shared" si="8"/>
        <v>97</v>
      </c>
      <c r="I96" s="1">
        <f t="shared" si="9"/>
        <v>104</v>
      </c>
      <c r="J96" s="1">
        <f t="shared" si="10"/>
        <v>97</v>
      </c>
      <c r="K96" s="1">
        <f t="shared" si="11"/>
        <v>106</v>
      </c>
      <c r="L96" s="1">
        <f t="shared" si="12"/>
        <v>97</v>
      </c>
      <c r="M96" s="1">
        <f t="shared" si="13"/>
        <v>108</v>
      </c>
      <c r="N96" s="1">
        <f t="shared" si="14"/>
        <v>97</v>
      </c>
      <c r="O96" s="1">
        <f t="shared" si="15"/>
        <v>110</v>
      </c>
      <c r="P96" s="1">
        <f t="shared" si="16"/>
        <v>97</v>
      </c>
      <c r="Q96" s="1">
        <f t="shared" si="17"/>
        <v>112</v>
      </c>
      <c r="R96" s="1">
        <f t="shared" si="18"/>
        <v>97</v>
      </c>
      <c r="S96" s="1">
        <f t="shared" si="19"/>
        <v>114</v>
      </c>
      <c r="T96" s="1">
        <f t="shared" si="20"/>
        <v>97</v>
      </c>
      <c r="U96" s="1">
        <f t="shared" si="21"/>
        <v>116</v>
      </c>
      <c r="V96" s="1">
        <f t="shared" si="22"/>
        <v>97</v>
      </c>
      <c r="W96" s="1">
        <f t="shared" si="23"/>
        <v>118</v>
      </c>
      <c r="X96" s="1">
        <f t="shared" si="24"/>
        <v>97</v>
      </c>
      <c r="Y96" s="1">
        <f t="shared" si="25"/>
        <v>121</v>
      </c>
      <c r="Z96" s="1">
        <f t="shared" si="26"/>
        <v>97</v>
      </c>
      <c r="AA96" s="1">
        <f t="shared" si="27"/>
        <v>124</v>
      </c>
      <c r="AB96" s="1">
        <f t="shared" si="28"/>
        <v>97</v>
      </c>
      <c r="AC96" s="1">
        <f t="shared" si="29"/>
        <v>128</v>
      </c>
      <c r="AD96" s="1">
        <f t="shared" si="30"/>
        <v>97</v>
      </c>
      <c r="AE96" s="1">
        <f t="shared" si="31"/>
        <v>130</v>
      </c>
      <c r="AF96" s="1">
        <f t="shared" si="32"/>
        <v>97</v>
      </c>
      <c r="AG96" s="1">
        <f t="shared" si="33"/>
        <v>134</v>
      </c>
      <c r="AH96" s="1">
        <f t="shared" ref="AH96:AI96" si="134">$B$1+$A96</f>
        <v>97</v>
      </c>
      <c r="AI96" s="1">
        <f t="shared" si="134"/>
        <v>97</v>
      </c>
      <c r="AJ96" s="1">
        <f t="shared" si="35"/>
        <v>138</v>
      </c>
      <c r="AK96" s="1">
        <f t="shared" si="36"/>
        <v>97</v>
      </c>
      <c r="AL96" s="1">
        <f t="shared" si="37"/>
        <v>144</v>
      </c>
      <c r="AM96" s="1">
        <f t="shared" si="38"/>
        <v>97</v>
      </c>
      <c r="AN96" s="1">
        <f t="shared" si="39"/>
        <v>147</v>
      </c>
      <c r="AO96" s="1">
        <f t="shared" si="40"/>
        <v>97</v>
      </c>
      <c r="AP96" s="1">
        <f t="shared" si="41"/>
        <v>156</v>
      </c>
      <c r="AR96" s="8">
        <f>COUNTIFS(score4pijlen,AP96) </f>
        <v>41</v>
      </c>
    </row>
    <row r="97">
      <c r="A97" s="2">
        <v>97.0</v>
      </c>
      <c r="B97" s="1">
        <f t="shared" si="2"/>
        <v>98</v>
      </c>
      <c r="C97" s="1">
        <f t="shared" si="3"/>
        <v>99</v>
      </c>
      <c r="D97" s="1">
        <f t="shared" si="4"/>
        <v>98</v>
      </c>
      <c r="E97" s="1">
        <f t="shared" si="5"/>
        <v>101</v>
      </c>
      <c r="F97" s="1">
        <f t="shared" si="6"/>
        <v>98</v>
      </c>
      <c r="G97" s="1">
        <f t="shared" si="7"/>
        <v>103</v>
      </c>
      <c r="H97" s="1">
        <f t="shared" si="8"/>
        <v>98</v>
      </c>
      <c r="I97" s="1">
        <f t="shared" si="9"/>
        <v>105</v>
      </c>
      <c r="J97" s="1">
        <f t="shared" si="10"/>
        <v>98</v>
      </c>
      <c r="K97" s="1">
        <f t="shared" si="11"/>
        <v>107</v>
      </c>
      <c r="L97" s="1">
        <f t="shared" si="12"/>
        <v>98</v>
      </c>
      <c r="M97" s="1">
        <f t="shared" si="13"/>
        <v>109</v>
      </c>
      <c r="N97" s="1">
        <f t="shared" si="14"/>
        <v>98</v>
      </c>
      <c r="O97" s="1">
        <f t="shared" si="15"/>
        <v>111</v>
      </c>
      <c r="P97" s="1">
        <f t="shared" si="16"/>
        <v>98</v>
      </c>
      <c r="Q97" s="1">
        <f t="shared" si="17"/>
        <v>113</v>
      </c>
      <c r="R97" s="1">
        <f t="shared" si="18"/>
        <v>98</v>
      </c>
      <c r="S97" s="1">
        <f t="shared" si="19"/>
        <v>115</v>
      </c>
      <c r="T97" s="1">
        <f t="shared" si="20"/>
        <v>98</v>
      </c>
      <c r="U97" s="1">
        <f t="shared" si="21"/>
        <v>117</v>
      </c>
      <c r="V97" s="1">
        <f t="shared" si="22"/>
        <v>98</v>
      </c>
      <c r="W97" s="1">
        <f t="shared" si="23"/>
        <v>119</v>
      </c>
      <c r="X97" s="1">
        <f t="shared" si="24"/>
        <v>98</v>
      </c>
      <c r="Y97" s="1">
        <f t="shared" si="25"/>
        <v>122</v>
      </c>
      <c r="Z97" s="1">
        <f t="shared" si="26"/>
        <v>98</v>
      </c>
      <c r="AA97" s="1">
        <f t="shared" si="27"/>
        <v>125</v>
      </c>
      <c r="AB97" s="1">
        <f t="shared" si="28"/>
        <v>98</v>
      </c>
      <c r="AC97" s="1">
        <f t="shared" si="29"/>
        <v>129</v>
      </c>
      <c r="AD97" s="1">
        <f t="shared" si="30"/>
        <v>98</v>
      </c>
      <c r="AE97" s="1">
        <f t="shared" si="31"/>
        <v>131</v>
      </c>
      <c r="AF97" s="1">
        <f t="shared" si="32"/>
        <v>98</v>
      </c>
      <c r="AG97" s="1">
        <f t="shared" si="33"/>
        <v>135</v>
      </c>
      <c r="AH97" s="1">
        <f t="shared" ref="AH97:AI97" si="135">$B$1+$A97</f>
        <v>98</v>
      </c>
      <c r="AI97" s="1">
        <f t="shared" si="135"/>
        <v>98</v>
      </c>
      <c r="AJ97" s="1">
        <f t="shared" si="35"/>
        <v>139</v>
      </c>
      <c r="AK97" s="1">
        <f t="shared" si="36"/>
        <v>98</v>
      </c>
      <c r="AL97" s="1">
        <f t="shared" si="37"/>
        <v>145</v>
      </c>
      <c r="AM97" s="1">
        <f t="shared" si="38"/>
        <v>98</v>
      </c>
      <c r="AN97" s="1">
        <f t="shared" si="39"/>
        <v>148</v>
      </c>
      <c r="AO97" s="1">
        <f t="shared" si="40"/>
        <v>98</v>
      </c>
      <c r="AP97" s="1">
        <f t="shared" si="41"/>
        <v>157</v>
      </c>
      <c r="AR97" s="8">
        <f>COUNTIFS(score4pijlen,AP97) </f>
        <v>41</v>
      </c>
    </row>
    <row r="98">
      <c r="A98" s="2">
        <v>98.0</v>
      </c>
      <c r="B98" s="1">
        <f t="shared" si="2"/>
        <v>99</v>
      </c>
      <c r="C98" s="1">
        <f t="shared" si="3"/>
        <v>100</v>
      </c>
      <c r="D98" s="1">
        <f t="shared" si="4"/>
        <v>99</v>
      </c>
      <c r="E98" s="1">
        <f t="shared" si="5"/>
        <v>102</v>
      </c>
      <c r="F98" s="1">
        <f t="shared" si="6"/>
        <v>99</v>
      </c>
      <c r="G98" s="1">
        <f t="shared" si="7"/>
        <v>104</v>
      </c>
      <c r="H98" s="1">
        <f t="shared" si="8"/>
        <v>99</v>
      </c>
      <c r="I98" s="1">
        <f t="shared" si="9"/>
        <v>106</v>
      </c>
      <c r="J98" s="1">
        <f t="shared" si="10"/>
        <v>99</v>
      </c>
      <c r="K98" s="1">
        <f t="shared" si="11"/>
        <v>108</v>
      </c>
      <c r="L98" s="1">
        <f t="shared" si="12"/>
        <v>99</v>
      </c>
      <c r="M98" s="1">
        <f t="shared" si="13"/>
        <v>110</v>
      </c>
      <c r="N98" s="1">
        <f t="shared" si="14"/>
        <v>99</v>
      </c>
      <c r="O98" s="1">
        <f t="shared" si="15"/>
        <v>112</v>
      </c>
      <c r="P98" s="1">
        <f t="shared" si="16"/>
        <v>99</v>
      </c>
      <c r="Q98" s="1">
        <f t="shared" si="17"/>
        <v>114</v>
      </c>
      <c r="R98" s="1">
        <f t="shared" si="18"/>
        <v>99</v>
      </c>
      <c r="S98" s="1">
        <f t="shared" si="19"/>
        <v>116</v>
      </c>
      <c r="T98" s="1">
        <f t="shared" si="20"/>
        <v>99</v>
      </c>
      <c r="U98" s="1">
        <f t="shared" si="21"/>
        <v>118</v>
      </c>
      <c r="V98" s="1">
        <f t="shared" si="22"/>
        <v>99</v>
      </c>
      <c r="W98" s="1">
        <f t="shared" si="23"/>
        <v>120</v>
      </c>
      <c r="X98" s="1">
        <f t="shared" si="24"/>
        <v>99</v>
      </c>
      <c r="Y98" s="1">
        <f t="shared" si="25"/>
        <v>123</v>
      </c>
      <c r="Z98" s="1">
        <f t="shared" si="26"/>
        <v>99</v>
      </c>
      <c r="AA98" s="1">
        <f t="shared" si="27"/>
        <v>126</v>
      </c>
      <c r="AB98" s="1">
        <f t="shared" si="28"/>
        <v>99</v>
      </c>
      <c r="AC98" s="1">
        <f t="shared" si="29"/>
        <v>130</v>
      </c>
      <c r="AD98" s="1">
        <f t="shared" si="30"/>
        <v>99</v>
      </c>
      <c r="AE98" s="1">
        <f t="shared" si="31"/>
        <v>132</v>
      </c>
      <c r="AF98" s="1">
        <f t="shared" si="32"/>
        <v>99</v>
      </c>
      <c r="AG98" s="1">
        <f t="shared" si="33"/>
        <v>136</v>
      </c>
      <c r="AH98" s="1">
        <f t="shared" ref="AH98:AI98" si="136">$B$1+$A98</f>
        <v>99</v>
      </c>
      <c r="AI98" s="1">
        <f t="shared" si="136"/>
        <v>99</v>
      </c>
      <c r="AJ98" s="1">
        <f t="shared" si="35"/>
        <v>140</v>
      </c>
      <c r="AK98" s="1">
        <f t="shared" si="36"/>
        <v>99</v>
      </c>
      <c r="AL98" s="1">
        <f t="shared" si="37"/>
        <v>146</v>
      </c>
      <c r="AM98" s="1">
        <f t="shared" si="38"/>
        <v>99</v>
      </c>
      <c r="AN98" s="1">
        <f t="shared" si="39"/>
        <v>149</v>
      </c>
      <c r="AO98" s="1">
        <f t="shared" si="40"/>
        <v>99</v>
      </c>
      <c r="AP98" s="1">
        <f t="shared" si="41"/>
        <v>158</v>
      </c>
      <c r="AR98" s="8">
        <f>COUNTIFS(score4pijlen,AP98) </f>
        <v>41</v>
      </c>
    </row>
    <row r="99">
      <c r="A99" s="2">
        <v>99.0</v>
      </c>
      <c r="B99" s="1">
        <f t="shared" si="2"/>
        <v>100</v>
      </c>
      <c r="C99" s="1">
        <f t="shared" si="3"/>
        <v>101</v>
      </c>
      <c r="D99" s="1">
        <f t="shared" si="4"/>
        <v>100</v>
      </c>
      <c r="E99" s="1">
        <f t="shared" si="5"/>
        <v>103</v>
      </c>
      <c r="F99" s="1">
        <f t="shared" si="6"/>
        <v>100</v>
      </c>
      <c r="G99" s="1">
        <f t="shared" si="7"/>
        <v>105</v>
      </c>
      <c r="H99" s="1">
        <f t="shared" si="8"/>
        <v>100</v>
      </c>
      <c r="I99" s="1">
        <f t="shared" si="9"/>
        <v>107</v>
      </c>
      <c r="J99" s="1">
        <f t="shared" si="10"/>
        <v>100</v>
      </c>
      <c r="K99" s="1">
        <f t="shared" si="11"/>
        <v>109</v>
      </c>
      <c r="L99" s="1">
        <f t="shared" si="12"/>
        <v>100</v>
      </c>
      <c r="M99" s="1">
        <f t="shared" si="13"/>
        <v>111</v>
      </c>
      <c r="N99" s="1">
        <f t="shared" si="14"/>
        <v>100</v>
      </c>
      <c r="O99" s="1">
        <f t="shared" si="15"/>
        <v>113</v>
      </c>
      <c r="P99" s="1">
        <f t="shared" si="16"/>
        <v>100</v>
      </c>
      <c r="Q99" s="1">
        <f t="shared" si="17"/>
        <v>115</v>
      </c>
      <c r="R99" s="1">
        <f t="shared" si="18"/>
        <v>100</v>
      </c>
      <c r="S99" s="1">
        <f t="shared" si="19"/>
        <v>117</v>
      </c>
      <c r="T99" s="1">
        <f t="shared" si="20"/>
        <v>100</v>
      </c>
      <c r="U99" s="1">
        <f t="shared" si="21"/>
        <v>119</v>
      </c>
      <c r="V99" s="1">
        <f t="shared" si="22"/>
        <v>100</v>
      </c>
      <c r="W99" s="1">
        <f t="shared" si="23"/>
        <v>121</v>
      </c>
      <c r="X99" s="1">
        <f t="shared" si="24"/>
        <v>100</v>
      </c>
      <c r="Y99" s="1">
        <f t="shared" si="25"/>
        <v>124</v>
      </c>
      <c r="Z99" s="1">
        <f t="shared" si="26"/>
        <v>100</v>
      </c>
      <c r="AA99" s="1">
        <f t="shared" si="27"/>
        <v>127</v>
      </c>
      <c r="AB99" s="1">
        <f t="shared" si="28"/>
        <v>100</v>
      </c>
      <c r="AC99" s="1">
        <f t="shared" si="29"/>
        <v>131</v>
      </c>
      <c r="AD99" s="1">
        <f t="shared" si="30"/>
        <v>100</v>
      </c>
      <c r="AE99" s="1">
        <f t="shared" si="31"/>
        <v>133</v>
      </c>
      <c r="AF99" s="1">
        <f t="shared" si="32"/>
        <v>100</v>
      </c>
      <c r="AG99" s="1">
        <f t="shared" si="33"/>
        <v>137</v>
      </c>
      <c r="AH99" s="1">
        <f t="shared" ref="AH99:AI99" si="137">$B$1+$A99</f>
        <v>100</v>
      </c>
      <c r="AI99" s="1">
        <f t="shared" si="137"/>
        <v>100</v>
      </c>
      <c r="AJ99" s="1">
        <f t="shared" si="35"/>
        <v>141</v>
      </c>
      <c r="AK99" s="1">
        <f t="shared" si="36"/>
        <v>100</v>
      </c>
      <c r="AL99" s="1">
        <f t="shared" si="37"/>
        <v>147</v>
      </c>
      <c r="AM99" s="1">
        <f t="shared" si="38"/>
        <v>100</v>
      </c>
      <c r="AN99" s="1">
        <f t="shared" si="39"/>
        <v>150</v>
      </c>
      <c r="AO99" s="1">
        <f t="shared" si="40"/>
        <v>100</v>
      </c>
      <c r="AP99" s="1">
        <f t="shared" si="41"/>
        <v>159</v>
      </c>
      <c r="AR99" s="8">
        <f>COUNTIFS(score4pijlen,AP99) </f>
        <v>41</v>
      </c>
    </row>
    <row r="100">
      <c r="A100" s="2">
        <v>100.0</v>
      </c>
      <c r="B100" s="1">
        <f t="shared" si="2"/>
        <v>101</v>
      </c>
      <c r="C100" s="1">
        <f t="shared" si="3"/>
        <v>102</v>
      </c>
      <c r="D100" s="1">
        <f t="shared" si="4"/>
        <v>101</v>
      </c>
      <c r="E100" s="1">
        <f t="shared" si="5"/>
        <v>104</v>
      </c>
      <c r="F100" s="1">
        <f t="shared" si="6"/>
        <v>101</v>
      </c>
      <c r="G100" s="1">
        <f t="shared" si="7"/>
        <v>106</v>
      </c>
      <c r="H100" s="1">
        <f t="shared" si="8"/>
        <v>101</v>
      </c>
      <c r="I100" s="1">
        <f t="shared" si="9"/>
        <v>108</v>
      </c>
      <c r="J100" s="1">
        <f t="shared" si="10"/>
        <v>101</v>
      </c>
      <c r="K100" s="1">
        <f t="shared" si="11"/>
        <v>110</v>
      </c>
      <c r="L100" s="1">
        <f t="shared" si="12"/>
        <v>101</v>
      </c>
      <c r="M100" s="1">
        <f t="shared" si="13"/>
        <v>112</v>
      </c>
      <c r="N100" s="1">
        <f t="shared" si="14"/>
        <v>101</v>
      </c>
      <c r="O100" s="1">
        <f t="shared" si="15"/>
        <v>114</v>
      </c>
      <c r="P100" s="1">
        <f t="shared" si="16"/>
        <v>101</v>
      </c>
      <c r="Q100" s="1">
        <f t="shared" si="17"/>
        <v>116</v>
      </c>
      <c r="R100" s="1">
        <f t="shared" si="18"/>
        <v>101</v>
      </c>
      <c r="S100" s="1">
        <f t="shared" si="19"/>
        <v>118</v>
      </c>
      <c r="T100" s="1">
        <f t="shared" si="20"/>
        <v>101</v>
      </c>
      <c r="U100" s="1">
        <f t="shared" si="21"/>
        <v>120</v>
      </c>
      <c r="V100" s="1">
        <f t="shared" si="22"/>
        <v>101</v>
      </c>
      <c r="W100" s="1">
        <f t="shared" si="23"/>
        <v>122</v>
      </c>
      <c r="X100" s="1">
        <f t="shared" si="24"/>
        <v>101</v>
      </c>
      <c r="Y100" s="1">
        <f t="shared" si="25"/>
        <v>125</v>
      </c>
      <c r="Z100" s="1">
        <f t="shared" si="26"/>
        <v>101</v>
      </c>
      <c r="AA100" s="1">
        <f t="shared" si="27"/>
        <v>128</v>
      </c>
      <c r="AB100" s="1">
        <f t="shared" si="28"/>
        <v>101</v>
      </c>
      <c r="AC100" s="1">
        <f t="shared" si="29"/>
        <v>132</v>
      </c>
      <c r="AD100" s="1">
        <f t="shared" si="30"/>
        <v>101</v>
      </c>
      <c r="AE100" s="1">
        <f t="shared" si="31"/>
        <v>134</v>
      </c>
      <c r="AF100" s="1">
        <f t="shared" si="32"/>
        <v>101</v>
      </c>
      <c r="AG100" s="1">
        <f t="shared" si="33"/>
        <v>138</v>
      </c>
      <c r="AH100" s="1">
        <f t="shared" ref="AH100:AI100" si="138">$B$1+$A100</f>
        <v>101</v>
      </c>
      <c r="AI100" s="1">
        <f t="shared" si="138"/>
        <v>101</v>
      </c>
      <c r="AJ100" s="1">
        <f t="shared" si="35"/>
        <v>142</v>
      </c>
      <c r="AK100" s="1">
        <f t="shared" si="36"/>
        <v>101</v>
      </c>
      <c r="AL100" s="1">
        <f t="shared" si="37"/>
        <v>148</v>
      </c>
      <c r="AM100" s="1">
        <f t="shared" si="38"/>
        <v>101</v>
      </c>
      <c r="AN100" s="1">
        <f t="shared" si="39"/>
        <v>151</v>
      </c>
      <c r="AO100" s="1">
        <f t="shared" si="40"/>
        <v>101</v>
      </c>
      <c r="AP100" s="1">
        <f t="shared" si="41"/>
        <v>160</v>
      </c>
      <c r="AR100" s="8">
        <f>COUNTIFS(score4pijlen,AP100) </f>
        <v>41</v>
      </c>
    </row>
    <row r="101">
      <c r="A101" s="2">
        <v>101.0</v>
      </c>
      <c r="B101" s="1">
        <f t="shared" si="2"/>
        <v>102</v>
      </c>
      <c r="C101" s="1">
        <f t="shared" si="3"/>
        <v>103</v>
      </c>
      <c r="D101" s="1">
        <f t="shared" si="4"/>
        <v>102</v>
      </c>
      <c r="E101" s="1">
        <f t="shared" si="5"/>
        <v>105</v>
      </c>
      <c r="F101" s="1">
        <f t="shared" si="6"/>
        <v>102</v>
      </c>
      <c r="G101" s="1">
        <f t="shared" si="7"/>
        <v>107</v>
      </c>
      <c r="H101" s="1">
        <f t="shared" si="8"/>
        <v>102</v>
      </c>
      <c r="I101" s="1">
        <f t="shared" si="9"/>
        <v>109</v>
      </c>
      <c r="J101" s="1">
        <f t="shared" si="10"/>
        <v>102</v>
      </c>
      <c r="K101" s="1">
        <f t="shared" si="11"/>
        <v>111</v>
      </c>
      <c r="L101" s="1">
        <f t="shared" si="12"/>
        <v>102</v>
      </c>
      <c r="M101" s="1">
        <f t="shared" si="13"/>
        <v>113</v>
      </c>
      <c r="N101" s="1">
        <f t="shared" si="14"/>
        <v>102</v>
      </c>
      <c r="O101" s="1">
        <f t="shared" si="15"/>
        <v>115</v>
      </c>
      <c r="P101" s="1">
        <f t="shared" si="16"/>
        <v>102</v>
      </c>
      <c r="Q101" s="1">
        <f t="shared" si="17"/>
        <v>117</v>
      </c>
      <c r="R101" s="1">
        <f t="shared" si="18"/>
        <v>102</v>
      </c>
      <c r="S101" s="1">
        <f t="shared" si="19"/>
        <v>119</v>
      </c>
      <c r="T101" s="1">
        <f t="shared" si="20"/>
        <v>102</v>
      </c>
      <c r="U101" s="1">
        <f t="shared" si="21"/>
        <v>121</v>
      </c>
      <c r="V101" s="1">
        <f t="shared" si="22"/>
        <v>102</v>
      </c>
      <c r="W101" s="1">
        <f t="shared" si="23"/>
        <v>123</v>
      </c>
      <c r="X101" s="1">
        <f t="shared" si="24"/>
        <v>102</v>
      </c>
      <c r="Y101" s="1">
        <f t="shared" si="25"/>
        <v>126</v>
      </c>
      <c r="Z101" s="1">
        <f t="shared" si="26"/>
        <v>102</v>
      </c>
      <c r="AA101" s="1">
        <f t="shared" si="27"/>
        <v>129</v>
      </c>
      <c r="AB101" s="1">
        <f t="shared" si="28"/>
        <v>102</v>
      </c>
      <c r="AC101" s="1">
        <f t="shared" si="29"/>
        <v>133</v>
      </c>
      <c r="AD101" s="1">
        <f t="shared" si="30"/>
        <v>102</v>
      </c>
      <c r="AE101" s="1">
        <f t="shared" si="31"/>
        <v>135</v>
      </c>
      <c r="AF101" s="1">
        <f t="shared" si="32"/>
        <v>102</v>
      </c>
      <c r="AG101" s="1">
        <f t="shared" si="33"/>
        <v>139</v>
      </c>
      <c r="AH101" s="1">
        <f t="shared" ref="AH101:AI101" si="139">$B$1+$A101</f>
        <v>102</v>
      </c>
      <c r="AI101" s="1">
        <f t="shared" si="139"/>
        <v>102</v>
      </c>
      <c r="AJ101" s="1">
        <f t="shared" si="35"/>
        <v>143</v>
      </c>
      <c r="AK101" s="1">
        <f t="shared" si="36"/>
        <v>102</v>
      </c>
      <c r="AL101" s="1">
        <f t="shared" si="37"/>
        <v>149</v>
      </c>
      <c r="AM101" s="1">
        <f t="shared" si="38"/>
        <v>102</v>
      </c>
      <c r="AN101" s="1">
        <f t="shared" si="39"/>
        <v>152</v>
      </c>
      <c r="AO101" s="1">
        <f t="shared" si="40"/>
        <v>102</v>
      </c>
      <c r="AP101" s="1">
        <f t="shared" si="41"/>
        <v>161</v>
      </c>
      <c r="AR101" s="8">
        <f>COUNTIFS(score4pijlen,AP101) </f>
        <v>41</v>
      </c>
    </row>
    <row r="102">
      <c r="A102" s="2">
        <v>102.0</v>
      </c>
      <c r="B102" s="1">
        <f t="shared" si="2"/>
        <v>103</v>
      </c>
      <c r="C102" s="1">
        <f t="shared" si="3"/>
        <v>104</v>
      </c>
      <c r="D102" s="1">
        <f t="shared" si="4"/>
        <v>103</v>
      </c>
      <c r="E102" s="1">
        <f t="shared" si="5"/>
        <v>106</v>
      </c>
      <c r="F102" s="1">
        <f t="shared" si="6"/>
        <v>103</v>
      </c>
      <c r="G102" s="1">
        <f t="shared" si="7"/>
        <v>108</v>
      </c>
      <c r="H102" s="1">
        <f t="shared" si="8"/>
        <v>103</v>
      </c>
      <c r="I102" s="1">
        <f t="shared" si="9"/>
        <v>110</v>
      </c>
      <c r="J102" s="1">
        <f t="shared" si="10"/>
        <v>103</v>
      </c>
      <c r="K102" s="1">
        <f t="shared" si="11"/>
        <v>112</v>
      </c>
      <c r="L102" s="1">
        <f t="shared" si="12"/>
        <v>103</v>
      </c>
      <c r="M102" s="1">
        <f t="shared" si="13"/>
        <v>114</v>
      </c>
      <c r="N102" s="1">
        <f t="shared" si="14"/>
        <v>103</v>
      </c>
      <c r="O102" s="1">
        <f t="shared" si="15"/>
        <v>116</v>
      </c>
      <c r="P102" s="1">
        <f t="shared" si="16"/>
        <v>103</v>
      </c>
      <c r="Q102" s="1">
        <f t="shared" si="17"/>
        <v>118</v>
      </c>
      <c r="R102" s="1">
        <f t="shared" si="18"/>
        <v>103</v>
      </c>
      <c r="S102" s="1">
        <f t="shared" si="19"/>
        <v>120</v>
      </c>
      <c r="T102" s="1">
        <f t="shared" si="20"/>
        <v>103</v>
      </c>
      <c r="U102" s="1">
        <f t="shared" si="21"/>
        <v>122</v>
      </c>
      <c r="V102" s="1">
        <f t="shared" si="22"/>
        <v>103</v>
      </c>
      <c r="W102" s="1">
        <f t="shared" si="23"/>
        <v>124</v>
      </c>
      <c r="X102" s="1">
        <f t="shared" si="24"/>
        <v>103</v>
      </c>
      <c r="Y102" s="1">
        <f t="shared" si="25"/>
        <v>127</v>
      </c>
      <c r="Z102" s="1">
        <f t="shared" si="26"/>
        <v>103</v>
      </c>
      <c r="AA102" s="1">
        <f t="shared" si="27"/>
        <v>130</v>
      </c>
      <c r="AB102" s="1">
        <f t="shared" si="28"/>
        <v>103</v>
      </c>
      <c r="AC102" s="1">
        <f t="shared" si="29"/>
        <v>134</v>
      </c>
      <c r="AD102" s="1">
        <f t="shared" si="30"/>
        <v>103</v>
      </c>
      <c r="AE102" s="1">
        <f t="shared" si="31"/>
        <v>136</v>
      </c>
      <c r="AF102" s="1">
        <f t="shared" si="32"/>
        <v>103</v>
      </c>
      <c r="AG102" s="1">
        <f t="shared" si="33"/>
        <v>140</v>
      </c>
      <c r="AH102" s="1">
        <f t="shared" ref="AH102:AI102" si="140">$B$1+$A102</f>
        <v>103</v>
      </c>
      <c r="AI102" s="1">
        <f t="shared" si="140"/>
        <v>103</v>
      </c>
      <c r="AJ102" s="1">
        <f t="shared" si="35"/>
        <v>144</v>
      </c>
      <c r="AK102" s="1">
        <f t="shared" si="36"/>
        <v>103</v>
      </c>
      <c r="AL102" s="1">
        <f t="shared" si="37"/>
        <v>150</v>
      </c>
      <c r="AM102" s="1">
        <f t="shared" si="38"/>
        <v>103</v>
      </c>
      <c r="AN102" s="1">
        <f t="shared" si="39"/>
        <v>153</v>
      </c>
      <c r="AO102" s="1">
        <f t="shared" si="40"/>
        <v>103</v>
      </c>
      <c r="AP102" s="1">
        <f t="shared" si="41"/>
        <v>162</v>
      </c>
      <c r="AR102" s="8">
        <f>COUNTIFS(score4pijlen,AP102) </f>
        <v>41</v>
      </c>
    </row>
    <row r="103">
      <c r="A103" s="2">
        <v>103.0</v>
      </c>
      <c r="B103" s="1">
        <f t="shared" si="2"/>
        <v>104</v>
      </c>
      <c r="C103" s="1">
        <f t="shared" si="3"/>
        <v>105</v>
      </c>
      <c r="D103" s="1">
        <f t="shared" si="4"/>
        <v>104</v>
      </c>
      <c r="E103" s="1">
        <f t="shared" si="5"/>
        <v>107</v>
      </c>
      <c r="F103" s="1">
        <f t="shared" si="6"/>
        <v>104</v>
      </c>
      <c r="G103" s="1">
        <f t="shared" si="7"/>
        <v>109</v>
      </c>
      <c r="H103" s="1">
        <f t="shared" si="8"/>
        <v>104</v>
      </c>
      <c r="I103" s="1">
        <f t="shared" si="9"/>
        <v>111</v>
      </c>
      <c r="J103" s="1">
        <f t="shared" si="10"/>
        <v>104</v>
      </c>
      <c r="K103" s="1">
        <f t="shared" si="11"/>
        <v>113</v>
      </c>
      <c r="L103" s="1">
        <f t="shared" si="12"/>
        <v>104</v>
      </c>
      <c r="M103" s="1">
        <f t="shared" si="13"/>
        <v>115</v>
      </c>
      <c r="N103" s="1">
        <f t="shared" si="14"/>
        <v>104</v>
      </c>
      <c r="O103" s="1">
        <f t="shared" si="15"/>
        <v>117</v>
      </c>
      <c r="P103" s="1">
        <f t="shared" si="16"/>
        <v>104</v>
      </c>
      <c r="Q103" s="1">
        <f t="shared" si="17"/>
        <v>119</v>
      </c>
      <c r="R103" s="1">
        <f t="shared" si="18"/>
        <v>104</v>
      </c>
      <c r="S103" s="1">
        <f t="shared" si="19"/>
        <v>121</v>
      </c>
      <c r="T103" s="1">
        <f t="shared" si="20"/>
        <v>104</v>
      </c>
      <c r="U103" s="1">
        <f t="shared" si="21"/>
        <v>123</v>
      </c>
      <c r="V103" s="1">
        <f t="shared" si="22"/>
        <v>104</v>
      </c>
      <c r="W103" s="1">
        <f t="shared" si="23"/>
        <v>125</v>
      </c>
      <c r="X103" s="1">
        <f t="shared" si="24"/>
        <v>104</v>
      </c>
      <c r="Y103" s="1">
        <f t="shared" si="25"/>
        <v>128</v>
      </c>
      <c r="Z103" s="1">
        <f t="shared" si="26"/>
        <v>104</v>
      </c>
      <c r="AA103" s="1">
        <f t="shared" si="27"/>
        <v>131</v>
      </c>
      <c r="AB103" s="1">
        <f t="shared" si="28"/>
        <v>104</v>
      </c>
      <c r="AC103" s="1">
        <f t="shared" si="29"/>
        <v>135</v>
      </c>
      <c r="AD103" s="1">
        <f t="shared" si="30"/>
        <v>104</v>
      </c>
      <c r="AE103" s="1">
        <f t="shared" si="31"/>
        <v>137</v>
      </c>
      <c r="AF103" s="1">
        <f t="shared" si="32"/>
        <v>104</v>
      </c>
      <c r="AG103" s="1">
        <f t="shared" si="33"/>
        <v>141</v>
      </c>
      <c r="AH103" s="1">
        <f t="shared" ref="AH103:AI103" si="141">$B$1+$A103</f>
        <v>104</v>
      </c>
      <c r="AI103" s="1">
        <f t="shared" si="141"/>
        <v>104</v>
      </c>
      <c r="AJ103" s="1">
        <f t="shared" si="35"/>
        <v>145</v>
      </c>
      <c r="AK103" s="1">
        <f t="shared" si="36"/>
        <v>104</v>
      </c>
      <c r="AL103" s="1">
        <f t="shared" si="37"/>
        <v>151</v>
      </c>
      <c r="AM103" s="1">
        <f t="shared" si="38"/>
        <v>104</v>
      </c>
      <c r="AN103" s="1">
        <f t="shared" si="39"/>
        <v>154</v>
      </c>
      <c r="AO103" s="1">
        <f t="shared" si="40"/>
        <v>104</v>
      </c>
      <c r="AP103" s="1">
        <f t="shared" si="41"/>
        <v>163</v>
      </c>
      <c r="AR103" s="8">
        <f>COUNTIFS(score4pijlen,AP103) </f>
        <v>41</v>
      </c>
    </row>
    <row r="104">
      <c r="A104" s="2">
        <v>104.0</v>
      </c>
      <c r="B104" s="1">
        <f t="shared" si="2"/>
        <v>105</v>
      </c>
      <c r="C104" s="1">
        <f t="shared" si="3"/>
        <v>106</v>
      </c>
      <c r="D104" s="1">
        <f t="shared" si="4"/>
        <v>105</v>
      </c>
      <c r="E104" s="1">
        <f t="shared" si="5"/>
        <v>108</v>
      </c>
      <c r="F104" s="1">
        <f t="shared" si="6"/>
        <v>105</v>
      </c>
      <c r="G104" s="1">
        <f t="shared" si="7"/>
        <v>110</v>
      </c>
      <c r="H104" s="1">
        <f t="shared" si="8"/>
        <v>105</v>
      </c>
      <c r="I104" s="1">
        <f t="shared" si="9"/>
        <v>112</v>
      </c>
      <c r="J104" s="1">
        <f t="shared" si="10"/>
        <v>105</v>
      </c>
      <c r="K104" s="1">
        <f t="shared" si="11"/>
        <v>114</v>
      </c>
      <c r="L104" s="1">
        <f t="shared" si="12"/>
        <v>105</v>
      </c>
      <c r="M104" s="1">
        <f t="shared" si="13"/>
        <v>116</v>
      </c>
      <c r="N104" s="1">
        <f t="shared" si="14"/>
        <v>105</v>
      </c>
      <c r="O104" s="1">
        <f t="shared" si="15"/>
        <v>118</v>
      </c>
      <c r="P104" s="1">
        <f t="shared" si="16"/>
        <v>105</v>
      </c>
      <c r="Q104" s="1">
        <f t="shared" si="17"/>
        <v>120</v>
      </c>
      <c r="R104" s="1">
        <f t="shared" si="18"/>
        <v>105</v>
      </c>
      <c r="S104" s="1">
        <f t="shared" si="19"/>
        <v>122</v>
      </c>
      <c r="T104" s="1">
        <f t="shared" si="20"/>
        <v>105</v>
      </c>
      <c r="U104" s="1">
        <f t="shared" si="21"/>
        <v>124</v>
      </c>
      <c r="V104" s="1">
        <f t="shared" si="22"/>
        <v>105</v>
      </c>
      <c r="W104" s="1">
        <f t="shared" si="23"/>
        <v>126</v>
      </c>
      <c r="X104" s="1">
        <f t="shared" si="24"/>
        <v>105</v>
      </c>
      <c r="Y104" s="1">
        <f t="shared" si="25"/>
        <v>129</v>
      </c>
      <c r="Z104" s="1">
        <f t="shared" si="26"/>
        <v>105</v>
      </c>
      <c r="AA104" s="1">
        <f t="shared" si="27"/>
        <v>132</v>
      </c>
      <c r="AB104" s="1">
        <f t="shared" si="28"/>
        <v>105</v>
      </c>
      <c r="AC104" s="1">
        <f t="shared" si="29"/>
        <v>136</v>
      </c>
      <c r="AD104" s="1">
        <f t="shared" si="30"/>
        <v>105</v>
      </c>
      <c r="AE104" s="1">
        <f t="shared" si="31"/>
        <v>138</v>
      </c>
      <c r="AF104" s="1">
        <f t="shared" si="32"/>
        <v>105</v>
      </c>
      <c r="AG104" s="1">
        <f t="shared" si="33"/>
        <v>142</v>
      </c>
      <c r="AH104" s="1">
        <f t="shared" ref="AH104:AI104" si="142">$B$1+$A104</f>
        <v>105</v>
      </c>
      <c r="AI104" s="1">
        <f t="shared" si="142"/>
        <v>105</v>
      </c>
      <c r="AJ104" s="1">
        <f t="shared" si="35"/>
        <v>146</v>
      </c>
      <c r="AK104" s="1">
        <f t="shared" si="36"/>
        <v>105</v>
      </c>
      <c r="AL104" s="1">
        <f t="shared" si="37"/>
        <v>152</v>
      </c>
      <c r="AM104" s="1">
        <f t="shared" si="38"/>
        <v>105</v>
      </c>
      <c r="AN104" s="1">
        <f t="shared" si="39"/>
        <v>155</v>
      </c>
      <c r="AO104" s="1">
        <f t="shared" si="40"/>
        <v>105</v>
      </c>
      <c r="AP104" s="1">
        <f t="shared" si="41"/>
        <v>164</v>
      </c>
      <c r="AR104" s="8">
        <f>COUNTIFS(score4pijlen,AP104) </f>
        <v>20</v>
      </c>
    </row>
    <row r="105">
      <c r="A105" s="2">
        <v>105.0</v>
      </c>
      <c r="B105" s="1">
        <f t="shared" si="2"/>
        <v>106</v>
      </c>
      <c r="C105" s="1">
        <f t="shared" si="3"/>
        <v>107</v>
      </c>
      <c r="D105" s="1">
        <f t="shared" si="4"/>
        <v>106</v>
      </c>
      <c r="E105" s="1">
        <f t="shared" si="5"/>
        <v>109</v>
      </c>
      <c r="F105" s="1">
        <f t="shared" si="6"/>
        <v>106</v>
      </c>
      <c r="G105" s="1">
        <f t="shared" si="7"/>
        <v>111</v>
      </c>
      <c r="H105" s="1">
        <f t="shared" si="8"/>
        <v>106</v>
      </c>
      <c r="I105" s="1">
        <f t="shared" si="9"/>
        <v>113</v>
      </c>
      <c r="J105" s="1">
        <f t="shared" si="10"/>
        <v>106</v>
      </c>
      <c r="K105" s="1">
        <f t="shared" si="11"/>
        <v>115</v>
      </c>
      <c r="L105" s="1">
        <f t="shared" si="12"/>
        <v>106</v>
      </c>
      <c r="M105" s="1">
        <f t="shared" si="13"/>
        <v>117</v>
      </c>
      <c r="N105" s="1">
        <f t="shared" si="14"/>
        <v>106</v>
      </c>
      <c r="O105" s="1">
        <f t="shared" si="15"/>
        <v>119</v>
      </c>
      <c r="P105" s="1">
        <f t="shared" si="16"/>
        <v>106</v>
      </c>
      <c r="Q105" s="1">
        <f t="shared" si="17"/>
        <v>121</v>
      </c>
      <c r="R105" s="1">
        <f t="shared" si="18"/>
        <v>106</v>
      </c>
      <c r="S105" s="1">
        <f t="shared" si="19"/>
        <v>123</v>
      </c>
      <c r="T105" s="1">
        <f t="shared" si="20"/>
        <v>106</v>
      </c>
      <c r="U105" s="1">
        <f t="shared" si="21"/>
        <v>125</v>
      </c>
      <c r="V105" s="1">
        <f t="shared" si="22"/>
        <v>106</v>
      </c>
      <c r="W105" s="1">
        <f t="shared" si="23"/>
        <v>127</v>
      </c>
      <c r="X105" s="1">
        <f t="shared" si="24"/>
        <v>106</v>
      </c>
      <c r="Y105" s="1">
        <f t="shared" si="25"/>
        <v>130</v>
      </c>
      <c r="Z105" s="1">
        <f t="shared" si="26"/>
        <v>106</v>
      </c>
      <c r="AA105" s="1">
        <f t="shared" si="27"/>
        <v>133</v>
      </c>
      <c r="AB105" s="1">
        <f t="shared" si="28"/>
        <v>106</v>
      </c>
      <c r="AC105" s="1">
        <f t="shared" si="29"/>
        <v>137</v>
      </c>
      <c r="AD105" s="1">
        <f t="shared" si="30"/>
        <v>106</v>
      </c>
      <c r="AE105" s="1">
        <f t="shared" si="31"/>
        <v>139</v>
      </c>
      <c r="AF105" s="1">
        <f t="shared" si="32"/>
        <v>106</v>
      </c>
      <c r="AG105" s="1">
        <f t="shared" si="33"/>
        <v>143</v>
      </c>
      <c r="AH105" s="1">
        <f t="shared" ref="AH105:AI105" si="143">$B$1+$A105</f>
        <v>106</v>
      </c>
      <c r="AI105" s="1">
        <f t="shared" si="143"/>
        <v>106</v>
      </c>
      <c r="AJ105" s="1">
        <f t="shared" si="35"/>
        <v>147</v>
      </c>
      <c r="AK105" s="1">
        <f t="shared" si="36"/>
        <v>106</v>
      </c>
      <c r="AL105" s="1">
        <f t="shared" si="37"/>
        <v>153</v>
      </c>
      <c r="AM105" s="1">
        <f t="shared" si="38"/>
        <v>106</v>
      </c>
      <c r="AN105" s="1">
        <f t="shared" si="39"/>
        <v>156</v>
      </c>
      <c r="AO105" s="1">
        <f t="shared" si="40"/>
        <v>106</v>
      </c>
      <c r="AP105" s="1">
        <f t="shared" si="41"/>
        <v>165</v>
      </c>
      <c r="AR105" s="8">
        <f>COUNTIFS(score4pijlen,AP105) </f>
        <v>40</v>
      </c>
    </row>
    <row r="106">
      <c r="A106" s="2">
        <v>106.0</v>
      </c>
      <c r="B106" s="1">
        <f t="shared" si="2"/>
        <v>107</v>
      </c>
      <c r="C106" s="1">
        <f t="shared" si="3"/>
        <v>108</v>
      </c>
      <c r="D106" s="1">
        <f t="shared" si="4"/>
        <v>107</v>
      </c>
      <c r="E106" s="1">
        <f t="shared" si="5"/>
        <v>110</v>
      </c>
      <c r="F106" s="1">
        <f t="shared" si="6"/>
        <v>107</v>
      </c>
      <c r="G106" s="1">
        <f t="shared" si="7"/>
        <v>112</v>
      </c>
      <c r="H106" s="1">
        <f t="shared" si="8"/>
        <v>107</v>
      </c>
      <c r="I106" s="1">
        <f t="shared" si="9"/>
        <v>114</v>
      </c>
      <c r="J106" s="1">
        <f t="shared" si="10"/>
        <v>107</v>
      </c>
      <c r="K106" s="1">
        <f t="shared" si="11"/>
        <v>116</v>
      </c>
      <c r="L106" s="1">
        <f t="shared" si="12"/>
        <v>107</v>
      </c>
      <c r="M106" s="1">
        <f t="shared" si="13"/>
        <v>118</v>
      </c>
      <c r="N106" s="1">
        <f t="shared" si="14"/>
        <v>107</v>
      </c>
      <c r="O106" s="1">
        <f t="shared" si="15"/>
        <v>120</v>
      </c>
      <c r="P106" s="1">
        <f t="shared" si="16"/>
        <v>107</v>
      </c>
      <c r="Q106" s="1">
        <f t="shared" si="17"/>
        <v>122</v>
      </c>
      <c r="R106" s="1">
        <f t="shared" si="18"/>
        <v>107</v>
      </c>
      <c r="S106" s="1">
        <f t="shared" si="19"/>
        <v>124</v>
      </c>
      <c r="T106" s="1">
        <f t="shared" si="20"/>
        <v>107</v>
      </c>
      <c r="U106" s="1">
        <f t="shared" si="21"/>
        <v>126</v>
      </c>
      <c r="V106" s="1">
        <f t="shared" si="22"/>
        <v>107</v>
      </c>
      <c r="W106" s="1">
        <f t="shared" si="23"/>
        <v>128</v>
      </c>
      <c r="X106" s="1">
        <f t="shared" si="24"/>
        <v>107</v>
      </c>
      <c r="Y106" s="1">
        <f t="shared" si="25"/>
        <v>131</v>
      </c>
      <c r="Z106" s="1">
        <f t="shared" si="26"/>
        <v>107</v>
      </c>
      <c r="AA106" s="1">
        <f t="shared" si="27"/>
        <v>134</v>
      </c>
      <c r="AB106" s="1">
        <f t="shared" si="28"/>
        <v>107</v>
      </c>
      <c r="AC106" s="1">
        <f t="shared" si="29"/>
        <v>138</v>
      </c>
      <c r="AD106" s="1">
        <f t="shared" si="30"/>
        <v>107</v>
      </c>
      <c r="AE106" s="1">
        <f t="shared" si="31"/>
        <v>140</v>
      </c>
      <c r="AF106" s="1">
        <f t="shared" si="32"/>
        <v>107</v>
      </c>
      <c r="AG106" s="1">
        <f t="shared" si="33"/>
        <v>144</v>
      </c>
      <c r="AH106" s="1">
        <f t="shared" ref="AH106:AI106" si="144">$B$1+$A106</f>
        <v>107</v>
      </c>
      <c r="AI106" s="1">
        <f t="shared" si="144"/>
        <v>107</v>
      </c>
      <c r="AJ106" s="1">
        <f t="shared" si="35"/>
        <v>148</v>
      </c>
      <c r="AK106" s="1">
        <f t="shared" si="36"/>
        <v>107</v>
      </c>
      <c r="AL106" s="1">
        <f t="shared" si="37"/>
        <v>154</v>
      </c>
      <c r="AM106" s="1">
        <f t="shared" si="38"/>
        <v>107</v>
      </c>
      <c r="AN106" s="1">
        <f t="shared" si="39"/>
        <v>157</v>
      </c>
      <c r="AO106" s="1">
        <f t="shared" si="40"/>
        <v>107</v>
      </c>
      <c r="AP106" s="1">
        <f t="shared" si="41"/>
        <v>166</v>
      </c>
      <c r="AR106" s="8">
        <f>COUNTIFS(score4pijlen,AP106) </f>
        <v>41</v>
      </c>
    </row>
    <row r="107">
      <c r="A107" s="2">
        <v>107.0</v>
      </c>
      <c r="B107" s="1">
        <f t="shared" si="2"/>
        <v>108</v>
      </c>
      <c r="C107" s="1">
        <f t="shared" si="3"/>
        <v>109</v>
      </c>
      <c r="D107" s="1">
        <f t="shared" si="4"/>
        <v>108</v>
      </c>
      <c r="E107" s="1">
        <f t="shared" si="5"/>
        <v>111</v>
      </c>
      <c r="F107" s="1">
        <f t="shared" si="6"/>
        <v>108</v>
      </c>
      <c r="G107" s="1">
        <f t="shared" si="7"/>
        <v>113</v>
      </c>
      <c r="H107" s="1">
        <f t="shared" si="8"/>
        <v>108</v>
      </c>
      <c r="I107" s="1">
        <f t="shared" si="9"/>
        <v>115</v>
      </c>
      <c r="J107" s="1">
        <f t="shared" si="10"/>
        <v>108</v>
      </c>
      <c r="K107" s="1">
        <f t="shared" si="11"/>
        <v>117</v>
      </c>
      <c r="L107" s="1">
        <f t="shared" si="12"/>
        <v>108</v>
      </c>
      <c r="M107" s="1">
        <f t="shared" si="13"/>
        <v>119</v>
      </c>
      <c r="N107" s="1">
        <f t="shared" si="14"/>
        <v>108</v>
      </c>
      <c r="O107" s="1">
        <f t="shared" si="15"/>
        <v>121</v>
      </c>
      <c r="P107" s="1">
        <f t="shared" si="16"/>
        <v>108</v>
      </c>
      <c r="Q107" s="1">
        <f t="shared" si="17"/>
        <v>123</v>
      </c>
      <c r="R107" s="1">
        <f t="shared" si="18"/>
        <v>108</v>
      </c>
      <c r="S107" s="1">
        <f t="shared" si="19"/>
        <v>125</v>
      </c>
      <c r="T107" s="1">
        <f t="shared" si="20"/>
        <v>108</v>
      </c>
      <c r="U107" s="1">
        <f t="shared" si="21"/>
        <v>127</v>
      </c>
      <c r="V107" s="1">
        <f t="shared" si="22"/>
        <v>108</v>
      </c>
      <c r="W107" s="1">
        <f t="shared" si="23"/>
        <v>129</v>
      </c>
      <c r="X107" s="1">
        <f t="shared" si="24"/>
        <v>108</v>
      </c>
      <c r="Y107" s="1">
        <f t="shared" si="25"/>
        <v>132</v>
      </c>
      <c r="Z107" s="1">
        <f t="shared" si="26"/>
        <v>108</v>
      </c>
      <c r="AA107" s="1">
        <f t="shared" si="27"/>
        <v>135</v>
      </c>
      <c r="AB107" s="1">
        <f t="shared" si="28"/>
        <v>108</v>
      </c>
      <c r="AC107" s="1">
        <f t="shared" si="29"/>
        <v>139</v>
      </c>
      <c r="AD107" s="1">
        <f t="shared" si="30"/>
        <v>108</v>
      </c>
      <c r="AE107" s="1">
        <f t="shared" si="31"/>
        <v>141</v>
      </c>
      <c r="AF107" s="1">
        <f t="shared" si="32"/>
        <v>108</v>
      </c>
      <c r="AG107" s="1">
        <f t="shared" si="33"/>
        <v>145</v>
      </c>
      <c r="AH107" s="1">
        <f t="shared" ref="AH107:AI107" si="145">$B$1+$A107</f>
        <v>108</v>
      </c>
      <c r="AI107" s="1">
        <f t="shared" si="145"/>
        <v>108</v>
      </c>
      <c r="AJ107" s="1">
        <f t="shared" si="35"/>
        <v>149</v>
      </c>
      <c r="AK107" s="1">
        <f t="shared" si="36"/>
        <v>108</v>
      </c>
      <c r="AL107" s="1">
        <f t="shared" si="37"/>
        <v>155</v>
      </c>
      <c r="AM107" s="1">
        <f t="shared" si="38"/>
        <v>108</v>
      </c>
      <c r="AN107" s="1">
        <f t="shared" si="39"/>
        <v>158</v>
      </c>
      <c r="AO107" s="1">
        <f t="shared" si="40"/>
        <v>108</v>
      </c>
      <c r="AP107" s="1">
        <f t="shared" si="41"/>
        <v>167</v>
      </c>
      <c r="AR107" s="8">
        <f>COUNTIFS(score4pijlen,AP107) </f>
        <v>40</v>
      </c>
    </row>
    <row r="108">
      <c r="A108" s="2">
        <v>108.0</v>
      </c>
      <c r="B108" s="1">
        <f t="shared" si="2"/>
        <v>109</v>
      </c>
      <c r="C108" s="1">
        <f t="shared" si="3"/>
        <v>110</v>
      </c>
      <c r="D108" s="1">
        <f t="shared" si="4"/>
        <v>109</v>
      </c>
      <c r="E108" s="1">
        <f t="shared" si="5"/>
        <v>112</v>
      </c>
      <c r="F108" s="1">
        <f t="shared" si="6"/>
        <v>109</v>
      </c>
      <c r="G108" s="1">
        <f t="shared" si="7"/>
        <v>114</v>
      </c>
      <c r="H108" s="1">
        <f t="shared" si="8"/>
        <v>109</v>
      </c>
      <c r="I108" s="1">
        <f t="shared" si="9"/>
        <v>116</v>
      </c>
      <c r="J108" s="1">
        <f t="shared" si="10"/>
        <v>109</v>
      </c>
      <c r="K108" s="1">
        <f t="shared" si="11"/>
        <v>118</v>
      </c>
      <c r="L108" s="1">
        <f t="shared" si="12"/>
        <v>109</v>
      </c>
      <c r="M108" s="1">
        <f t="shared" si="13"/>
        <v>120</v>
      </c>
      <c r="N108" s="1">
        <f t="shared" si="14"/>
        <v>109</v>
      </c>
      <c r="O108" s="1">
        <f t="shared" si="15"/>
        <v>122</v>
      </c>
      <c r="P108" s="1">
        <f t="shared" si="16"/>
        <v>109</v>
      </c>
      <c r="Q108" s="1">
        <f t="shared" si="17"/>
        <v>124</v>
      </c>
      <c r="R108" s="1">
        <f t="shared" si="18"/>
        <v>109</v>
      </c>
      <c r="S108" s="1">
        <f t="shared" si="19"/>
        <v>126</v>
      </c>
      <c r="T108" s="1">
        <f t="shared" si="20"/>
        <v>109</v>
      </c>
      <c r="U108" s="1">
        <f t="shared" si="21"/>
        <v>128</v>
      </c>
      <c r="V108" s="1">
        <f t="shared" si="22"/>
        <v>109</v>
      </c>
      <c r="W108" s="1">
        <f t="shared" si="23"/>
        <v>130</v>
      </c>
      <c r="X108" s="1">
        <f t="shared" si="24"/>
        <v>109</v>
      </c>
      <c r="Y108" s="1">
        <f t="shared" si="25"/>
        <v>133</v>
      </c>
      <c r="Z108" s="1">
        <f t="shared" si="26"/>
        <v>109</v>
      </c>
      <c r="AA108" s="1">
        <f t="shared" si="27"/>
        <v>136</v>
      </c>
      <c r="AB108" s="1">
        <f t="shared" si="28"/>
        <v>109</v>
      </c>
      <c r="AC108" s="1">
        <f t="shared" si="29"/>
        <v>140</v>
      </c>
      <c r="AD108" s="1">
        <f t="shared" si="30"/>
        <v>109</v>
      </c>
      <c r="AE108" s="1">
        <f t="shared" si="31"/>
        <v>142</v>
      </c>
      <c r="AF108" s="1">
        <f t="shared" si="32"/>
        <v>109</v>
      </c>
      <c r="AG108" s="1">
        <f t="shared" si="33"/>
        <v>146</v>
      </c>
      <c r="AH108" s="1">
        <f t="shared" ref="AH108:AI108" si="146">$B$1+$A108</f>
        <v>109</v>
      </c>
      <c r="AI108" s="1">
        <f t="shared" si="146"/>
        <v>109</v>
      </c>
      <c r="AJ108" s="1">
        <f t="shared" si="35"/>
        <v>150</v>
      </c>
      <c r="AK108" s="1">
        <f t="shared" si="36"/>
        <v>109</v>
      </c>
      <c r="AL108" s="1">
        <f t="shared" si="37"/>
        <v>156</v>
      </c>
      <c r="AM108" s="1">
        <f t="shared" si="38"/>
        <v>109</v>
      </c>
      <c r="AN108" s="1">
        <f t="shared" si="39"/>
        <v>159</v>
      </c>
      <c r="AO108" s="1">
        <f t="shared" si="40"/>
        <v>109</v>
      </c>
      <c r="AP108" s="1">
        <f t="shared" si="41"/>
        <v>168</v>
      </c>
      <c r="AR108" s="8">
        <f>COUNTIFS(score4pijlen,AP108) </f>
        <v>41</v>
      </c>
    </row>
    <row r="109">
      <c r="A109" s="2">
        <v>109.0</v>
      </c>
      <c r="B109" s="1">
        <f t="shared" si="2"/>
        <v>110</v>
      </c>
      <c r="C109" s="1">
        <f t="shared" si="3"/>
        <v>111</v>
      </c>
      <c r="D109" s="1">
        <f t="shared" si="4"/>
        <v>110</v>
      </c>
      <c r="E109" s="1">
        <f t="shared" si="5"/>
        <v>113</v>
      </c>
      <c r="F109" s="1">
        <f t="shared" si="6"/>
        <v>110</v>
      </c>
      <c r="G109" s="1">
        <f t="shared" si="7"/>
        <v>115</v>
      </c>
      <c r="H109" s="1">
        <f t="shared" si="8"/>
        <v>110</v>
      </c>
      <c r="I109" s="1">
        <f t="shared" si="9"/>
        <v>117</v>
      </c>
      <c r="J109" s="1">
        <f t="shared" si="10"/>
        <v>110</v>
      </c>
      <c r="K109" s="1">
        <f t="shared" si="11"/>
        <v>119</v>
      </c>
      <c r="L109" s="1">
        <f t="shared" si="12"/>
        <v>110</v>
      </c>
      <c r="M109" s="1">
        <f t="shared" si="13"/>
        <v>121</v>
      </c>
      <c r="N109" s="1">
        <f t="shared" si="14"/>
        <v>110</v>
      </c>
      <c r="O109" s="1">
        <f t="shared" si="15"/>
        <v>123</v>
      </c>
      <c r="P109" s="1">
        <f t="shared" si="16"/>
        <v>110</v>
      </c>
      <c r="Q109" s="1">
        <f t="shared" si="17"/>
        <v>125</v>
      </c>
      <c r="R109" s="1">
        <f t="shared" si="18"/>
        <v>110</v>
      </c>
      <c r="S109" s="1">
        <f t="shared" si="19"/>
        <v>127</v>
      </c>
      <c r="T109" s="1">
        <f t="shared" si="20"/>
        <v>110</v>
      </c>
      <c r="U109" s="1">
        <f t="shared" si="21"/>
        <v>129</v>
      </c>
      <c r="V109" s="1">
        <f t="shared" si="22"/>
        <v>110</v>
      </c>
      <c r="W109" s="1">
        <f t="shared" si="23"/>
        <v>131</v>
      </c>
      <c r="X109" s="1">
        <f t="shared" si="24"/>
        <v>110</v>
      </c>
      <c r="Y109" s="1">
        <f t="shared" si="25"/>
        <v>134</v>
      </c>
      <c r="Z109" s="1">
        <f t="shared" si="26"/>
        <v>110</v>
      </c>
      <c r="AA109" s="1">
        <f t="shared" si="27"/>
        <v>137</v>
      </c>
      <c r="AB109" s="1">
        <f t="shared" si="28"/>
        <v>110</v>
      </c>
      <c r="AC109" s="1">
        <f t="shared" si="29"/>
        <v>141</v>
      </c>
      <c r="AD109" s="1">
        <f t="shared" si="30"/>
        <v>110</v>
      </c>
      <c r="AE109" s="1">
        <f t="shared" si="31"/>
        <v>143</v>
      </c>
      <c r="AF109" s="1">
        <f t="shared" si="32"/>
        <v>110</v>
      </c>
      <c r="AG109" s="1">
        <f t="shared" si="33"/>
        <v>147</v>
      </c>
      <c r="AH109" s="1">
        <f t="shared" ref="AH109:AI109" si="147">$B$1+$A109</f>
        <v>110</v>
      </c>
      <c r="AI109" s="1">
        <f t="shared" si="147"/>
        <v>110</v>
      </c>
      <c r="AJ109" s="1">
        <f t="shared" si="35"/>
        <v>151</v>
      </c>
      <c r="AK109" s="1">
        <f t="shared" si="36"/>
        <v>110</v>
      </c>
      <c r="AL109" s="1">
        <f t="shared" si="37"/>
        <v>157</v>
      </c>
      <c r="AM109" s="1">
        <f t="shared" si="38"/>
        <v>110</v>
      </c>
      <c r="AN109" s="1">
        <f t="shared" si="39"/>
        <v>160</v>
      </c>
      <c r="AO109" s="1">
        <f t="shared" si="40"/>
        <v>110</v>
      </c>
      <c r="AP109" s="1">
        <f t="shared" si="41"/>
        <v>169</v>
      </c>
      <c r="AR109" s="8">
        <f>COUNTIFS(score4pijlen,AP109) </f>
        <v>40</v>
      </c>
    </row>
    <row r="110">
      <c r="A110" s="2">
        <v>110.0</v>
      </c>
      <c r="B110" s="1">
        <f t="shared" si="2"/>
        <v>111</v>
      </c>
      <c r="C110" s="1">
        <f t="shared" si="3"/>
        <v>112</v>
      </c>
      <c r="D110" s="1">
        <f t="shared" si="4"/>
        <v>111</v>
      </c>
      <c r="E110" s="1">
        <f t="shared" si="5"/>
        <v>114</v>
      </c>
      <c r="F110" s="1">
        <f t="shared" si="6"/>
        <v>111</v>
      </c>
      <c r="G110" s="1">
        <f t="shared" si="7"/>
        <v>116</v>
      </c>
      <c r="H110" s="1">
        <f t="shared" si="8"/>
        <v>111</v>
      </c>
      <c r="I110" s="1">
        <f t="shared" si="9"/>
        <v>118</v>
      </c>
      <c r="J110" s="1">
        <f t="shared" si="10"/>
        <v>111</v>
      </c>
      <c r="K110" s="1">
        <f t="shared" si="11"/>
        <v>120</v>
      </c>
      <c r="L110" s="1">
        <f t="shared" si="12"/>
        <v>111</v>
      </c>
      <c r="M110" s="1">
        <f t="shared" si="13"/>
        <v>122</v>
      </c>
      <c r="N110" s="1">
        <f t="shared" si="14"/>
        <v>111</v>
      </c>
      <c r="O110" s="1">
        <f t="shared" si="15"/>
        <v>124</v>
      </c>
      <c r="P110" s="1">
        <f t="shared" si="16"/>
        <v>111</v>
      </c>
      <c r="Q110" s="1">
        <f t="shared" si="17"/>
        <v>126</v>
      </c>
      <c r="R110" s="1">
        <f t="shared" si="18"/>
        <v>111</v>
      </c>
      <c r="S110" s="1">
        <f t="shared" si="19"/>
        <v>128</v>
      </c>
      <c r="T110" s="1">
        <f t="shared" si="20"/>
        <v>111</v>
      </c>
      <c r="U110" s="1">
        <f t="shared" si="21"/>
        <v>130</v>
      </c>
      <c r="V110" s="1">
        <f t="shared" si="22"/>
        <v>111</v>
      </c>
      <c r="W110" s="1">
        <f t="shared" si="23"/>
        <v>132</v>
      </c>
      <c r="X110" s="1">
        <f t="shared" si="24"/>
        <v>111</v>
      </c>
      <c r="Y110" s="1">
        <f t="shared" si="25"/>
        <v>135</v>
      </c>
      <c r="Z110" s="1">
        <f t="shared" si="26"/>
        <v>111</v>
      </c>
      <c r="AA110" s="1">
        <f t="shared" si="27"/>
        <v>138</v>
      </c>
      <c r="AB110" s="1">
        <f t="shared" si="28"/>
        <v>111</v>
      </c>
      <c r="AC110" s="1">
        <f t="shared" si="29"/>
        <v>142</v>
      </c>
      <c r="AD110" s="1">
        <f t="shared" si="30"/>
        <v>111</v>
      </c>
      <c r="AE110" s="1">
        <f t="shared" si="31"/>
        <v>144</v>
      </c>
      <c r="AF110" s="1">
        <f t="shared" si="32"/>
        <v>111</v>
      </c>
      <c r="AG110" s="1">
        <f t="shared" si="33"/>
        <v>148</v>
      </c>
      <c r="AH110" s="1">
        <f t="shared" ref="AH110:AI110" si="148">$B$1+$A110</f>
        <v>111</v>
      </c>
      <c r="AI110" s="1">
        <f t="shared" si="148"/>
        <v>111</v>
      </c>
      <c r="AJ110" s="1">
        <f t="shared" si="35"/>
        <v>152</v>
      </c>
      <c r="AK110" s="1">
        <f t="shared" si="36"/>
        <v>111</v>
      </c>
      <c r="AL110" s="1">
        <f t="shared" si="37"/>
        <v>158</v>
      </c>
      <c r="AM110" s="1">
        <f t="shared" si="38"/>
        <v>111</v>
      </c>
      <c r="AN110" s="1">
        <f t="shared" si="39"/>
        <v>161</v>
      </c>
      <c r="AO110" s="1">
        <f t="shared" si="40"/>
        <v>111</v>
      </c>
      <c r="AP110" s="1">
        <f t="shared" si="41"/>
        <v>170</v>
      </c>
      <c r="AR110" s="8">
        <f>COUNTIFS(score4pijlen,AP110) </f>
        <v>20</v>
      </c>
    </row>
    <row r="111">
      <c r="A111" s="2">
        <v>111.0</v>
      </c>
      <c r="B111" s="1">
        <f t="shared" si="2"/>
        <v>112</v>
      </c>
      <c r="C111" s="1">
        <f t="shared" si="3"/>
        <v>113</v>
      </c>
      <c r="D111" s="1">
        <f t="shared" si="4"/>
        <v>112</v>
      </c>
      <c r="E111" s="1">
        <f t="shared" si="5"/>
        <v>115</v>
      </c>
      <c r="F111" s="1">
        <f t="shared" si="6"/>
        <v>112</v>
      </c>
      <c r="G111" s="1">
        <f t="shared" si="7"/>
        <v>117</v>
      </c>
      <c r="H111" s="1">
        <f t="shared" si="8"/>
        <v>112</v>
      </c>
      <c r="I111" s="1">
        <f t="shared" si="9"/>
        <v>119</v>
      </c>
      <c r="J111" s="1">
        <f t="shared" si="10"/>
        <v>112</v>
      </c>
      <c r="K111" s="1">
        <f t="shared" si="11"/>
        <v>121</v>
      </c>
      <c r="L111" s="1">
        <f t="shared" si="12"/>
        <v>112</v>
      </c>
      <c r="M111" s="1">
        <f t="shared" si="13"/>
        <v>123</v>
      </c>
      <c r="N111" s="1">
        <f t="shared" si="14"/>
        <v>112</v>
      </c>
      <c r="O111" s="1">
        <f t="shared" si="15"/>
        <v>125</v>
      </c>
      <c r="P111" s="1">
        <f t="shared" si="16"/>
        <v>112</v>
      </c>
      <c r="Q111" s="1">
        <f t="shared" si="17"/>
        <v>127</v>
      </c>
      <c r="R111" s="1">
        <f t="shared" si="18"/>
        <v>112</v>
      </c>
      <c r="S111" s="1">
        <f t="shared" si="19"/>
        <v>129</v>
      </c>
      <c r="T111" s="1">
        <f t="shared" si="20"/>
        <v>112</v>
      </c>
      <c r="U111" s="1">
        <f t="shared" si="21"/>
        <v>131</v>
      </c>
      <c r="V111" s="1">
        <f t="shared" si="22"/>
        <v>112</v>
      </c>
      <c r="W111" s="1">
        <f t="shared" si="23"/>
        <v>133</v>
      </c>
      <c r="X111" s="1">
        <f t="shared" si="24"/>
        <v>112</v>
      </c>
      <c r="Y111" s="1">
        <f t="shared" si="25"/>
        <v>136</v>
      </c>
      <c r="Z111" s="1">
        <f t="shared" si="26"/>
        <v>112</v>
      </c>
      <c r="AA111" s="1">
        <f t="shared" si="27"/>
        <v>139</v>
      </c>
      <c r="AB111" s="1">
        <f t="shared" si="28"/>
        <v>112</v>
      </c>
      <c r="AC111" s="1">
        <f t="shared" si="29"/>
        <v>143</v>
      </c>
      <c r="AD111" s="1">
        <f t="shared" si="30"/>
        <v>112</v>
      </c>
      <c r="AE111" s="1">
        <f t="shared" si="31"/>
        <v>145</v>
      </c>
      <c r="AF111" s="1">
        <f t="shared" si="32"/>
        <v>112</v>
      </c>
      <c r="AG111" s="1">
        <f t="shared" si="33"/>
        <v>149</v>
      </c>
      <c r="AH111" s="1">
        <f t="shared" ref="AH111:AI111" si="149">$B$1+$A111</f>
        <v>112</v>
      </c>
      <c r="AI111" s="1">
        <f t="shared" si="149"/>
        <v>112</v>
      </c>
      <c r="AJ111" s="1">
        <f t="shared" si="35"/>
        <v>153</v>
      </c>
      <c r="AK111" s="1">
        <f t="shared" si="36"/>
        <v>112</v>
      </c>
      <c r="AL111" s="1">
        <f t="shared" si="37"/>
        <v>159</v>
      </c>
      <c r="AM111" s="1">
        <f t="shared" si="38"/>
        <v>112</v>
      </c>
      <c r="AN111" s="1">
        <f t="shared" si="39"/>
        <v>162</v>
      </c>
      <c r="AO111" s="1">
        <f t="shared" si="40"/>
        <v>112</v>
      </c>
      <c r="AP111" s="1">
        <f t="shared" si="41"/>
        <v>171</v>
      </c>
      <c r="AR111" s="8">
        <f>COUNTIFS(score4pijlen,AP111) </f>
        <v>39</v>
      </c>
    </row>
    <row r="112">
      <c r="A112" s="2">
        <v>112.0</v>
      </c>
      <c r="B112" s="1">
        <f t="shared" si="2"/>
        <v>113</v>
      </c>
      <c r="C112" s="1">
        <f t="shared" si="3"/>
        <v>114</v>
      </c>
      <c r="D112" s="1">
        <f t="shared" si="4"/>
        <v>113</v>
      </c>
      <c r="E112" s="1">
        <f t="shared" si="5"/>
        <v>116</v>
      </c>
      <c r="F112" s="1">
        <f t="shared" si="6"/>
        <v>113</v>
      </c>
      <c r="G112" s="1">
        <f t="shared" si="7"/>
        <v>118</v>
      </c>
      <c r="H112" s="1">
        <f t="shared" si="8"/>
        <v>113</v>
      </c>
      <c r="I112" s="1">
        <f t="shared" si="9"/>
        <v>120</v>
      </c>
      <c r="J112" s="1">
        <f t="shared" si="10"/>
        <v>113</v>
      </c>
      <c r="K112" s="1">
        <f t="shared" si="11"/>
        <v>122</v>
      </c>
      <c r="L112" s="1">
        <f t="shared" si="12"/>
        <v>113</v>
      </c>
      <c r="M112" s="1">
        <f t="shared" si="13"/>
        <v>124</v>
      </c>
      <c r="N112" s="1">
        <f t="shared" si="14"/>
        <v>113</v>
      </c>
      <c r="O112" s="1">
        <f t="shared" si="15"/>
        <v>126</v>
      </c>
      <c r="P112" s="1">
        <f t="shared" si="16"/>
        <v>113</v>
      </c>
      <c r="Q112" s="1">
        <f t="shared" si="17"/>
        <v>128</v>
      </c>
      <c r="R112" s="1">
        <f t="shared" si="18"/>
        <v>113</v>
      </c>
      <c r="S112" s="1">
        <f t="shared" si="19"/>
        <v>130</v>
      </c>
      <c r="T112" s="1">
        <f t="shared" si="20"/>
        <v>113</v>
      </c>
      <c r="U112" s="1">
        <f t="shared" si="21"/>
        <v>132</v>
      </c>
      <c r="V112" s="1">
        <f t="shared" si="22"/>
        <v>113</v>
      </c>
      <c r="W112" s="1">
        <f t="shared" si="23"/>
        <v>134</v>
      </c>
      <c r="X112" s="1">
        <f t="shared" si="24"/>
        <v>113</v>
      </c>
      <c r="Y112" s="1">
        <f t="shared" si="25"/>
        <v>137</v>
      </c>
      <c r="Z112" s="1">
        <f t="shared" si="26"/>
        <v>113</v>
      </c>
      <c r="AA112" s="1">
        <f t="shared" si="27"/>
        <v>140</v>
      </c>
      <c r="AB112" s="1">
        <f t="shared" si="28"/>
        <v>113</v>
      </c>
      <c r="AC112" s="1">
        <f t="shared" si="29"/>
        <v>144</v>
      </c>
      <c r="AD112" s="1">
        <f t="shared" si="30"/>
        <v>113</v>
      </c>
      <c r="AE112" s="1">
        <f t="shared" si="31"/>
        <v>146</v>
      </c>
      <c r="AF112" s="1">
        <f t="shared" si="32"/>
        <v>113</v>
      </c>
      <c r="AG112" s="1">
        <f t="shared" si="33"/>
        <v>150</v>
      </c>
      <c r="AH112" s="1">
        <f t="shared" ref="AH112:AI112" si="150">$B$1+$A112</f>
        <v>113</v>
      </c>
      <c r="AI112" s="1">
        <f t="shared" si="150"/>
        <v>113</v>
      </c>
      <c r="AJ112" s="1">
        <f t="shared" si="35"/>
        <v>154</v>
      </c>
      <c r="AK112" s="1">
        <f t="shared" si="36"/>
        <v>113</v>
      </c>
      <c r="AL112" s="1">
        <f t="shared" si="37"/>
        <v>160</v>
      </c>
      <c r="AM112" s="1">
        <f t="shared" si="38"/>
        <v>113</v>
      </c>
      <c r="AN112" s="1">
        <f t="shared" si="39"/>
        <v>163</v>
      </c>
      <c r="AO112" s="1">
        <f t="shared" si="40"/>
        <v>113</v>
      </c>
      <c r="AP112" s="1">
        <f t="shared" si="41"/>
        <v>172</v>
      </c>
      <c r="AR112" s="8">
        <f>COUNTIFS(score4pijlen,AP112) </f>
        <v>41</v>
      </c>
    </row>
    <row r="113">
      <c r="A113" s="2">
        <v>113.0</v>
      </c>
      <c r="B113" s="1">
        <f t="shared" si="2"/>
        <v>114</v>
      </c>
      <c r="C113" s="1">
        <f t="shared" si="3"/>
        <v>115</v>
      </c>
      <c r="D113" s="1">
        <f t="shared" si="4"/>
        <v>114</v>
      </c>
      <c r="E113" s="1">
        <f t="shared" si="5"/>
        <v>117</v>
      </c>
      <c r="F113" s="1">
        <f t="shared" si="6"/>
        <v>114</v>
      </c>
      <c r="G113" s="1">
        <f t="shared" si="7"/>
        <v>119</v>
      </c>
      <c r="H113" s="1">
        <f t="shared" si="8"/>
        <v>114</v>
      </c>
      <c r="I113" s="1">
        <f t="shared" si="9"/>
        <v>121</v>
      </c>
      <c r="J113" s="1">
        <f t="shared" si="10"/>
        <v>114</v>
      </c>
      <c r="K113" s="1">
        <f t="shared" si="11"/>
        <v>123</v>
      </c>
      <c r="L113" s="1">
        <f t="shared" si="12"/>
        <v>114</v>
      </c>
      <c r="M113" s="1">
        <f t="shared" si="13"/>
        <v>125</v>
      </c>
      <c r="N113" s="1">
        <f t="shared" si="14"/>
        <v>114</v>
      </c>
      <c r="O113" s="1">
        <f t="shared" si="15"/>
        <v>127</v>
      </c>
      <c r="P113" s="1">
        <f t="shared" si="16"/>
        <v>114</v>
      </c>
      <c r="Q113" s="1">
        <f t="shared" si="17"/>
        <v>129</v>
      </c>
      <c r="R113" s="1">
        <f t="shared" si="18"/>
        <v>114</v>
      </c>
      <c r="S113" s="1">
        <f t="shared" si="19"/>
        <v>131</v>
      </c>
      <c r="T113" s="1">
        <f t="shared" si="20"/>
        <v>114</v>
      </c>
      <c r="U113" s="1">
        <f t="shared" si="21"/>
        <v>133</v>
      </c>
      <c r="V113" s="1">
        <f t="shared" si="22"/>
        <v>114</v>
      </c>
      <c r="W113" s="1">
        <f t="shared" si="23"/>
        <v>135</v>
      </c>
      <c r="X113" s="1">
        <f t="shared" si="24"/>
        <v>114</v>
      </c>
      <c r="Y113" s="1">
        <f t="shared" si="25"/>
        <v>138</v>
      </c>
      <c r="Z113" s="1">
        <f t="shared" si="26"/>
        <v>114</v>
      </c>
      <c r="AA113" s="1">
        <f t="shared" si="27"/>
        <v>141</v>
      </c>
      <c r="AB113" s="1">
        <f t="shared" si="28"/>
        <v>114</v>
      </c>
      <c r="AC113" s="1">
        <f t="shared" si="29"/>
        <v>145</v>
      </c>
      <c r="AD113" s="1">
        <f t="shared" si="30"/>
        <v>114</v>
      </c>
      <c r="AE113" s="1">
        <f t="shared" si="31"/>
        <v>147</v>
      </c>
      <c r="AF113" s="1">
        <f t="shared" si="32"/>
        <v>114</v>
      </c>
      <c r="AG113" s="1">
        <f t="shared" si="33"/>
        <v>151</v>
      </c>
      <c r="AH113" s="1">
        <f t="shared" ref="AH113:AI113" si="151">$B$1+$A113</f>
        <v>114</v>
      </c>
      <c r="AI113" s="1">
        <f t="shared" si="151"/>
        <v>114</v>
      </c>
      <c r="AJ113" s="1">
        <f t="shared" si="35"/>
        <v>155</v>
      </c>
      <c r="AK113" s="1">
        <f t="shared" si="36"/>
        <v>114</v>
      </c>
      <c r="AL113" s="1">
        <f t="shared" si="37"/>
        <v>161</v>
      </c>
      <c r="AM113" s="1">
        <f t="shared" si="38"/>
        <v>114</v>
      </c>
      <c r="AN113" s="1">
        <f t="shared" si="39"/>
        <v>164</v>
      </c>
      <c r="AO113" s="1">
        <f t="shared" si="40"/>
        <v>114</v>
      </c>
      <c r="AP113" s="1">
        <f t="shared" si="41"/>
        <v>173</v>
      </c>
      <c r="AR113" s="8">
        <f>COUNTIFS(score4pijlen,AP113) </f>
        <v>18</v>
      </c>
    </row>
    <row r="114">
      <c r="A114" s="2">
        <v>114.0</v>
      </c>
      <c r="B114" s="1">
        <f t="shared" si="2"/>
        <v>115</v>
      </c>
      <c r="C114" s="1">
        <f t="shared" si="3"/>
        <v>116</v>
      </c>
      <c r="D114" s="1">
        <f t="shared" si="4"/>
        <v>115</v>
      </c>
      <c r="E114" s="1">
        <f t="shared" si="5"/>
        <v>118</v>
      </c>
      <c r="F114" s="1">
        <f t="shared" si="6"/>
        <v>115</v>
      </c>
      <c r="G114" s="1">
        <f t="shared" si="7"/>
        <v>120</v>
      </c>
      <c r="H114" s="1">
        <f t="shared" si="8"/>
        <v>115</v>
      </c>
      <c r="I114" s="1">
        <f t="shared" si="9"/>
        <v>122</v>
      </c>
      <c r="J114" s="1">
        <f t="shared" si="10"/>
        <v>115</v>
      </c>
      <c r="K114" s="1">
        <f t="shared" si="11"/>
        <v>124</v>
      </c>
      <c r="L114" s="1">
        <f t="shared" si="12"/>
        <v>115</v>
      </c>
      <c r="M114" s="1">
        <f t="shared" si="13"/>
        <v>126</v>
      </c>
      <c r="N114" s="1">
        <f t="shared" si="14"/>
        <v>115</v>
      </c>
      <c r="O114" s="1">
        <f t="shared" si="15"/>
        <v>128</v>
      </c>
      <c r="P114" s="1">
        <f t="shared" si="16"/>
        <v>115</v>
      </c>
      <c r="Q114" s="1">
        <f t="shared" si="17"/>
        <v>130</v>
      </c>
      <c r="R114" s="1">
        <f t="shared" si="18"/>
        <v>115</v>
      </c>
      <c r="S114" s="1">
        <f t="shared" si="19"/>
        <v>132</v>
      </c>
      <c r="T114" s="1">
        <f t="shared" si="20"/>
        <v>115</v>
      </c>
      <c r="U114" s="1">
        <f t="shared" si="21"/>
        <v>134</v>
      </c>
      <c r="V114" s="1">
        <f t="shared" si="22"/>
        <v>115</v>
      </c>
      <c r="W114" s="1">
        <f t="shared" si="23"/>
        <v>136</v>
      </c>
      <c r="X114" s="1">
        <f t="shared" si="24"/>
        <v>115</v>
      </c>
      <c r="Y114" s="1">
        <f t="shared" si="25"/>
        <v>139</v>
      </c>
      <c r="Z114" s="1">
        <f t="shared" si="26"/>
        <v>115</v>
      </c>
      <c r="AA114" s="1">
        <f t="shared" si="27"/>
        <v>142</v>
      </c>
      <c r="AB114" s="1">
        <f t="shared" si="28"/>
        <v>115</v>
      </c>
      <c r="AC114" s="1">
        <f t="shared" si="29"/>
        <v>146</v>
      </c>
      <c r="AD114" s="1">
        <f t="shared" si="30"/>
        <v>115</v>
      </c>
      <c r="AE114" s="1">
        <f t="shared" si="31"/>
        <v>148</v>
      </c>
      <c r="AF114" s="1">
        <f t="shared" si="32"/>
        <v>115</v>
      </c>
      <c r="AG114" s="1">
        <f t="shared" si="33"/>
        <v>152</v>
      </c>
      <c r="AH114" s="1">
        <f t="shared" ref="AH114:AI114" si="152">$B$1+$A114</f>
        <v>115</v>
      </c>
      <c r="AI114" s="1">
        <f t="shared" si="152"/>
        <v>115</v>
      </c>
      <c r="AJ114" s="1">
        <f t="shared" si="35"/>
        <v>156</v>
      </c>
      <c r="AK114" s="1">
        <f t="shared" si="36"/>
        <v>115</v>
      </c>
      <c r="AL114" s="1">
        <f t="shared" si="37"/>
        <v>162</v>
      </c>
      <c r="AM114" s="1">
        <f t="shared" si="38"/>
        <v>115</v>
      </c>
      <c r="AN114" s="1">
        <f t="shared" si="39"/>
        <v>165</v>
      </c>
      <c r="AO114" s="1">
        <f t="shared" si="40"/>
        <v>115</v>
      </c>
      <c r="AP114" s="1">
        <f t="shared" si="41"/>
        <v>174</v>
      </c>
      <c r="AR114" s="8">
        <f>COUNTIFS(score4pijlen,AP114) </f>
        <v>19</v>
      </c>
    </row>
    <row r="115">
      <c r="A115" s="2">
        <v>115.0</v>
      </c>
      <c r="B115" s="1">
        <f t="shared" si="2"/>
        <v>116</v>
      </c>
      <c r="C115" s="1">
        <f t="shared" si="3"/>
        <v>117</v>
      </c>
      <c r="D115" s="1">
        <f t="shared" si="4"/>
        <v>116</v>
      </c>
      <c r="E115" s="1">
        <f t="shared" si="5"/>
        <v>119</v>
      </c>
      <c r="F115" s="1">
        <f t="shared" si="6"/>
        <v>116</v>
      </c>
      <c r="G115" s="1">
        <f t="shared" si="7"/>
        <v>121</v>
      </c>
      <c r="H115" s="1">
        <f t="shared" si="8"/>
        <v>116</v>
      </c>
      <c r="I115" s="1">
        <f t="shared" si="9"/>
        <v>123</v>
      </c>
      <c r="J115" s="1">
        <f t="shared" si="10"/>
        <v>116</v>
      </c>
      <c r="K115" s="1">
        <f t="shared" si="11"/>
        <v>125</v>
      </c>
      <c r="L115" s="1">
        <f t="shared" si="12"/>
        <v>116</v>
      </c>
      <c r="M115" s="1">
        <f t="shared" si="13"/>
        <v>127</v>
      </c>
      <c r="N115" s="1">
        <f t="shared" si="14"/>
        <v>116</v>
      </c>
      <c r="O115" s="1">
        <f t="shared" si="15"/>
        <v>129</v>
      </c>
      <c r="P115" s="1">
        <f t="shared" si="16"/>
        <v>116</v>
      </c>
      <c r="Q115" s="1">
        <f t="shared" si="17"/>
        <v>131</v>
      </c>
      <c r="R115" s="1">
        <f t="shared" si="18"/>
        <v>116</v>
      </c>
      <c r="S115" s="1">
        <f t="shared" si="19"/>
        <v>133</v>
      </c>
      <c r="T115" s="1">
        <f t="shared" si="20"/>
        <v>116</v>
      </c>
      <c r="U115" s="1">
        <f t="shared" si="21"/>
        <v>135</v>
      </c>
      <c r="V115" s="1">
        <f t="shared" si="22"/>
        <v>116</v>
      </c>
      <c r="W115" s="1">
        <f t="shared" si="23"/>
        <v>137</v>
      </c>
      <c r="X115" s="1">
        <f t="shared" si="24"/>
        <v>116</v>
      </c>
      <c r="Y115" s="1">
        <f t="shared" si="25"/>
        <v>140</v>
      </c>
      <c r="Z115" s="1">
        <f t="shared" si="26"/>
        <v>116</v>
      </c>
      <c r="AA115" s="1">
        <f t="shared" si="27"/>
        <v>143</v>
      </c>
      <c r="AB115" s="1">
        <f t="shared" si="28"/>
        <v>116</v>
      </c>
      <c r="AC115" s="1">
        <f t="shared" si="29"/>
        <v>147</v>
      </c>
      <c r="AD115" s="1">
        <f t="shared" si="30"/>
        <v>116</v>
      </c>
      <c r="AE115" s="1">
        <f t="shared" si="31"/>
        <v>149</v>
      </c>
      <c r="AF115" s="1">
        <f t="shared" si="32"/>
        <v>116</v>
      </c>
      <c r="AG115" s="1">
        <f t="shared" si="33"/>
        <v>153</v>
      </c>
      <c r="AH115" s="1">
        <f t="shared" ref="AH115:AI115" si="153">$B$1+$A115</f>
        <v>116</v>
      </c>
      <c r="AI115" s="1">
        <f t="shared" si="153"/>
        <v>116</v>
      </c>
      <c r="AJ115" s="1">
        <f t="shared" si="35"/>
        <v>157</v>
      </c>
      <c r="AK115" s="1">
        <f t="shared" si="36"/>
        <v>116</v>
      </c>
      <c r="AL115" s="1">
        <f t="shared" si="37"/>
        <v>163</v>
      </c>
      <c r="AM115" s="1">
        <f t="shared" si="38"/>
        <v>116</v>
      </c>
      <c r="AN115" s="1">
        <f t="shared" si="39"/>
        <v>166</v>
      </c>
      <c r="AO115" s="1">
        <f t="shared" si="40"/>
        <v>116</v>
      </c>
      <c r="AP115" s="1">
        <f t="shared" si="41"/>
        <v>175</v>
      </c>
      <c r="AR115" s="8">
        <f>COUNTIFS(score4pijlen,AP115) </f>
        <v>37</v>
      </c>
    </row>
    <row r="116">
      <c r="A116" s="2">
        <v>116.0</v>
      </c>
      <c r="B116" s="1">
        <f t="shared" si="2"/>
        <v>117</v>
      </c>
      <c r="C116" s="1">
        <f t="shared" si="3"/>
        <v>118</v>
      </c>
      <c r="D116" s="1">
        <f t="shared" si="4"/>
        <v>117</v>
      </c>
      <c r="E116" s="1">
        <f t="shared" si="5"/>
        <v>120</v>
      </c>
      <c r="F116" s="1">
        <f t="shared" si="6"/>
        <v>117</v>
      </c>
      <c r="G116" s="1">
        <f t="shared" si="7"/>
        <v>122</v>
      </c>
      <c r="H116" s="1">
        <f t="shared" si="8"/>
        <v>117</v>
      </c>
      <c r="I116" s="1">
        <f t="shared" si="9"/>
        <v>124</v>
      </c>
      <c r="J116" s="1">
        <f t="shared" si="10"/>
        <v>117</v>
      </c>
      <c r="K116" s="1">
        <f t="shared" si="11"/>
        <v>126</v>
      </c>
      <c r="L116" s="1">
        <f t="shared" si="12"/>
        <v>117</v>
      </c>
      <c r="M116" s="1">
        <f t="shared" si="13"/>
        <v>128</v>
      </c>
      <c r="N116" s="1">
        <f t="shared" si="14"/>
        <v>117</v>
      </c>
      <c r="O116" s="1">
        <f t="shared" si="15"/>
        <v>130</v>
      </c>
      <c r="P116" s="1">
        <f t="shared" si="16"/>
        <v>117</v>
      </c>
      <c r="Q116" s="1">
        <f t="shared" si="17"/>
        <v>132</v>
      </c>
      <c r="R116" s="1">
        <f t="shared" si="18"/>
        <v>117</v>
      </c>
      <c r="S116" s="1">
        <f t="shared" si="19"/>
        <v>134</v>
      </c>
      <c r="T116" s="1">
        <f t="shared" si="20"/>
        <v>117</v>
      </c>
      <c r="U116" s="1">
        <f t="shared" si="21"/>
        <v>136</v>
      </c>
      <c r="V116" s="1">
        <f t="shared" si="22"/>
        <v>117</v>
      </c>
      <c r="W116" s="1">
        <f t="shared" si="23"/>
        <v>138</v>
      </c>
      <c r="X116" s="1">
        <f t="shared" si="24"/>
        <v>117</v>
      </c>
      <c r="Y116" s="1">
        <f t="shared" si="25"/>
        <v>141</v>
      </c>
      <c r="Z116" s="1">
        <f t="shared" si="26"/>
        <v>117</v>
      </c>
      <c r="AA116" s="1">
        <f t="shared" si="27"/>
        <v>144</v>
      </c>
      <c r="AB116" s="1">
        <f t="shared" si="28"/>
        <v>117</v>
      </c>
      <c r="AC116" s="1">
        <f t="shared" si="29"/>
        <v>148</v>
      </c>
      <c r="AD116" s="1">
        <f t="shared" si="30"/>
        <v>117</v>
      </c>
      <c r="AE116" s="1">
        <f t="shared" si="31"/>
        <v>150</v>
      </c>
      <c r="AF116" s="1">
        <f t="shared" si="32"/>
        <v>117</v>
      </c>
      <c r="AG116" s="1">
        <f t="shared" si="33"/>
        <v>154</v>
      </c>
      <c r="AH116" s="1">
        <f t="shared" ref="AH116:AI116" si="154">$B$1+$A116</f>
        <v>117</v>
      </c>
      <c r="AI116" s="1">
        <f t="shared" si="154"/>
        <v>117</v>
      </c>
      <c r="AJ116" s="1">
        <f t="shared" si="35"/>
        <v>158</v>
      </c>
      <c r="AK116" s="1">
        <f t="shared" si="36"/>
        <v>117</v>
      </c>
      <c r="AL116" s="1">
        <f t="shared" si="37"/>
        <v>164</v>
      </c>
      <c r="AM116" s="1">
        <f t="shared" si="38"/>
        <v>117</v>
      </c>
      <c r="AN116" s="1">
        <f t="shared" si="39"/>
        <v>167</v>
      </c>
      <c r="AO116" s="1">
        <f t="shared" si="40"/>
        <v>117</v>
      </c>
      <c r="AP116" s="1">
        <f t="shared" si="41"/>
        <v>176</v>
      </c>
      <c r="AR116" s="8">
        <f>COUNTIFS(score4pijlen,AP116) </f>
        <v>19</v>
      </c>
    </row>
    <row r="117">
      <c r="A117" s="2">
        <v>117.0</v>
      </c>
      <c r="B117" s="1">
        <f t="shared" si="2"/>
        <v>118</v>
      </c>
      <c r="C117" s="1">
        <f t="shared" si="3"/>
        <v>119</v>
      </c>
      <c r="D117" s="1">
        <f t="shared" si="4"/>
        <v>118</v>
      </c>
      <c r="E117" s="1">
        <f t="shared" si="5"/>
        <v>121</v>
      </c>
      <c r="F117" s="1">
        <f t="shared" si="6"/>
        <v>118</v>
      </c>
      <c r="G117" s="1">
        <f t="shared" si="7"/>
        <v>123</v>
      </c>
      <c r="H117" s="1">
        <f t="shared" si="8"/>
        <v>118</v>
      </c>
      <c r="I117" s="1">
        <f t="shared" si="9"/>
        <v>125</v>
      </c>
      <c r="J117" s="1">
        <f t="shared" si="10"/>
        <v>118</v>
      </c>
      <c r="K117" s="1">
        <f t="shared" si="11"/>
        <v>127</v>
      </c>
      <c r="L117" s="1">
        <f t="shared" si="12"/>
        <v>118</v>
      </c>
      <c r="M117" s="1">
        <f t="shared" si="13"/>
        <v>129</v>
      </c>
      <c r="N117" s="1">
        <f t="shared" si="14"/>
        <v>118</v>
      </c>
      <c r="O117" s="1">
        <f t="shared" si="15"/>
        <v>131</v>
      </c>
      <c r="P117" s="1">
        <f t="shared" si="16"/>
        <v>118</v>
      </c>
      <c r="Q117" s="1">
        <f t="shared" si="17"/>
        <v>133</v>
      </c>
      <c r="R117" s="1">
        <f t="shared" si="18"/>
        <v>118</v>
      </c>
      <c r="S117" s="1">
        <f t="shared" si="19"/>
        <v>135</v>
      </c>
      <c r="T117" s="1">
        <f t="shared" si="20"/>
        <v>118</v>
      </c>
      <c r="U117" s="1">
        <f t="shared" si="21"/>
        <v>137</v>
      </c>
      <c r="V117" s="1">
        <f t="shared" si="22"/>
        <v>118</v>
      </c>
      <c r="W117" s="1">
        <f t="shared" si="23"/>
        <v>139</v>
      </c>
      <c r="X117" s="1">
        <f t="shared" si="24"/>
        <v>118</v>
      </c>
      <c r="Y117" s="1">
        <f t="shared" si="25"/>
        <v>142</v>
      </c>
      <c r="Z117" s="1">
        <f t="shared" si="26"/>
        <v>118</v>
      </c>
      <c r="AA117" s="1">
        <f t="shared" si="27"/>
        <v>145</v>
      </c>
      <c r="AB117" s="1">
        <f t="shared" si="28"/>
        <v>118</v>
      </c>
      <c r="AC117" s="1">
        <f t="shared" si="29"/>
        <v>149</v>
      </c>
      <c r="AD117" s="1">
        <f t="shared" si="30"/>
        <v>118</v>
      </c>
      <c r="AE117" s="1">
        <f t="shared" si="31"/>
        <v>151</v>
      </c>
      <c r="AF117" s="1">
        <f t="shared" si="32"/>
        <v>118</v>
      </c>
      <c r="AG117" s="1">
        <f t="shared" si="33"/>
        <v>155</v>
      </c>
      <c r="AH117" s="1">
        <f t="shared" ref="AH117:AI117" si="155">$B$1+$A117</f>
        <v>118</v>
      </c>
      <c r="AI117" s="1">
        <f t="shared" si="155"/>
        <v>118</v>
      </c>
      <c r="AJ117" s="1">
        <f t="shared" si="35"/>
        <v>159</v>
      </c>
      <c r="AK117" s="1">
        <f t="shared" si="36"/>
        <v>118</v>
      </c>
      <c r="AL117" s="1">
        <f t="shared" si="37"/>
        <v>165</v>
      </c>
      <c r="AM117" s="1">
        <f t="shared" si="38"/>
        <v>118</v>
      </c>
      <c r="AN117" s="1">
        <f t="shared" si="39"/>
        <v>168</v>
      </c>
      <c r="AO117" s="1">
        <f t="shared" si="40"/>
        <v>118</v>
      </c>
      <c r="AP117" s="1">
        <f t="shared" si="41"/>
        <v>177</v>
      </c>
      <c r="AR117" s="8">
        <f>COUNTIFS(score4pijlen,AP117) </f>
        <v>16</v>
      </c>
    </row>
    <row r="118">
      <c r="A118" s="2">
        <v>118.0</v>
      </c>
      <c r="B118" s="1">
        <f t="shared" si="2"/>
        <v>119</v>
      </c>
      <c r="C118" s="1">
        <f t="shared" si="3"/>
        <v>120</v>
      </c>
      <c r="D118" s="1">
        <f t="shared" si="4"/>
        <v>119</v>
      </c>
      <c r="E118" s="1">
        <f t="shared" si="5"/>
        <v>122</v>
      </c>
      <c r="F118" s="1">
        <f t="shared" si="6"/>
        <v>119</v>
      </c>
      <c r="G118" s="1">
        <f t="shared" si="7"/>
        <v>124</v>
      </c>
      <c r="H118" s="1">
        <f t="shared" si="8"/>
        <v>119</v>
      </c>
      <c r="I118" s="1">
        <f t="shared" si="9"/>
        <v>126</v>
      </c>
      <c r="J118" s="1">
        <f t="shared" si="10"/>
        <v>119</v>
      </c>
      <c r="K118" s="1">
        <f t="shared" si="11"/>
        <v>128</v>
      </c>
      <c r="L118" s="1">
        <f t="shared" si="12"/>
        <v>119</v>
      </c>
      <c r="M118" s="1">
        <f t="shared" si="13"/>
        <v>130</v>
      </c>
      <c r="N118" s="1">
        <f t="shared" si="14"/>
        <v>119</v>
      </c>
      <c r="O118" s="1">
        <f t="shared" si="15"/>
        <v>132</v>
      </c>
      <c r="P118" s="1">
        <f t="shared" si="16"/>
        <v>119</v>
      </c>
      <c r="Q118" s="1">
        <f t="shared" si="17"/>
        <v>134</v>
      </c>
      <c r="R118" s="1">
        <f t="shared" si="18"/>
        <v>119</v>
      </c>
      <c r="S118" s="1">
        <f t="shared" si="19"/>
        <v>136</v>
      </c>
      <c r="T118" s="1">
        <f t="shared" si="20"/>
        <v>119</v>
      </c>
      <c r="U118" s="1">
        <f t="shared" si="21"/>
        <v>138</v>
      </c>
      <c r="V118" s="1">
        <f t="shared" si="22"/>
        <v>119</v>
      </c>
      <c r="W118" s="1">
        <f t="shared" si="23"/>
        <v>140</v>
      </c>
      <c r="X118" s="1">
        <f t="shared" si="24"/>
        <v>119</v>
      </c>
      <c r="Y118" s="1">
        <f t="shared" si="25"/>
        <v>143</v>
      </c>
      <c r="Z118" s="1">
        <f t="shared" si="26"/>
        <v>119</v>
      </c>
      <c r="AA118" s="1">
        <f t="shared" si="27"/>
        <v>146</v>
      </c>
      <c r="AB118" s="1">
        <f t="shared" si="28"/>
        <v>119</v>
      </c>
      <c r="AC118" s="1">
        <f t="shared" si="29"/>
        <v>150</v>
      </c>
      <c r="AD118" s="1">
        <f t="shared" si="30"/>
        <v>119</v>
      </c>
      <c r="AE118" s="1">
        <f t="shared" si="31"/>
        <v>152</v>
      </c>
      <c r="AF118" s="1">
        <f t="shared" si="32"/>
        <v>119</v>
      </c>
      <c r="AG118" s="1">
        <f t="shared" si="33"/>
        <v>156</v>
      </c>
      <c r="AH118" s="1">
        <f t="shared" ref="AH118:AI118" si="156">$B$1+$A118</f>
        <v>119</v>
      </c>
      <c r="AI118" s="1">
        <f t="shared" si="156"/>
        <v>119</v>
      </c>
      <c r="AJ118" s="1">
        <f t="shared" si="35"/>
        <v>160</v>
      </c>
      <c r="AK118" s="1">
        <f t="shared" si="36"/>
        <v>119</v>
      </c>
      <c r="AL118" s="1">
        <f t="shared" si="37"/>
        <v>166</v>
      </c>
      <c r="AM118" s="1">
        <f t="shared" si="38"/>
        <v>119</v>
      </c>
      <c r="AN118" s="1">
        <f t="shared" si="39"/>
        <v>169</v>
      </c>
      <c r="AO118" s="1">
        <f t="shared" si="40"/>
        <v>119</v>
      </c>
      <c r="AP118" s="1">
        <f t="shared" si="41"/>
        <v>178</v>
      </c>
      <c r="AR118" s="8">
        <f>COUNTIFS(score4pijlen,AP118) </f>
        <v>38</v>
      </c>
    </row>
    <row r="119">
      <c r="A119" s="2">
        <v>119.0</v>
      </c>
      <c r="B119" s="1">
        <f t="shared" si="2"/>
        <v>120</v>
      </c>
      <c r="C119" s="1">
        <f t="shared" si="3"/>
        <v>121</v>
      </c>
      <c r="D119" s="1">
        <f t="shared" si="4"/>
        <v>120</v>
      </c>
      <c r="E119" s="1">
        <f t="shared" si="5"/>
        <v>123</v>
      </c>
      <c r="F119" s="1">
        <f t="shared" si="6"/>
        <v>120</v>
      </c>
      <c r="G119" s="1">
        <f t="shared" si="7"/>
        <v>125</v>
      </c>
      <c r="H119" s="1">
        <f t="shared" si="8"/>
        <v>120</v>
      </c>
      <c r="I119" s="1">
        <f t="shared" si="9"/>
        <v>127</v>
      </c>
      <c r="J119" s="1">
        <f t="shared" si="10"/>
        <v>120</v>
      </c>
      <c r="K119" s="1">
        <f t="shared" si="11"/>
        <v>129</v>
      </c>
      <c r="L119" s="1">
        <f t="shared" si="12"/>
        <v>120</v>
      </c>
      <c r="M119" s="1">
        <f t="shared" si="13"/>
        <v>131</v>
      </c>
      <c r="N119" s="1">
        <f t="shared" si="14"/>
        <v>120</v>
      </c>
      <c r="O119" s="1">
        <f t="shared" si="15"/>
        <v>133</v>
      </c>
      <c r="P119" s="1">
        <f t="shared" si="16"/>
        <v>120</v>
      </c>
      <c r="Q119" s="1">
        <f t="shared" si="17"/>
        <v>135</v>
      </c>
      <c r="R119" s="1">
        <f t="shared" si="18"/>
        <v>120</v>
      </c>
      <c r="S119" s="1">
        <f t="shared" si="19"/>
        <v>137</v>
      </c>
      <c r="T119" s="1">
        <f t="shared" si="20"/>
        <v>120</v>
      </c>
      <c r="U119" s="1">
        <f t="shared" si="21"/>
        <v>139</v>
      </c>
      <c r="V119" s="1">
        <f t="shared" si="22"/>
        <v>120</v>
      </c>
      <c r="W119" s="1">
        <f t="shared" si="23"/>
        <v>141</v>
      </c>
      <c r="X119" s="1">
        <f t="shared" si="24"/>
        <v>120</v>
      </c>
      <c r="Y119" s="1">
        <f t="shared" si="25"/>
        <v>144</v>
      </c>
      <c r="Z119" s="1">
        <f t="shared" si="26"/>
        <v>120</v>
      </c>
      <c r="AA119" s="1">
        <f t="shared" si="27"/>
        <v>147</v>
      </c>
      <c r="AB119" s="1">
        <f t="shared" si="28"/>
        <v>120</v>
      </c>
      <c r="AC119" s="1">
        <f t="shared" si="29"/>
        <v>151</v>
      </c>
      <c r="AD119" s="1">
        <f t="shared" si="30"/>
        <v>120</v>
      </c>
      <c r="AE119" s="1">
        <f t="shared" si="31"/>
        <v>153</v>
      </c>
      <c r="AF119" s="1">
        <f t="shared" si="32"/>
        <v>120</v>
      </c>
      <c r="AG119" s="1">
        <f t="shared" si="33"/>
        <v>157</v>
      </c>
      <c r="AH119" s="1">
        <f t="shared" ref="AH119:AI119" si="157">$B$1+$A119</f>
        <v>120</v>
      </c>
      <c r="AI119" s="1">
        <f t="shared" si="157"/>
        <v>120</v>
      </c>
      <c r="AJ119" s="1">
        <f t="shared" si="35"/>
        <v>161</v>
      </c>
      <c r="AK119" s="1">
        <f t="shared" si="36"/>
        <v>120</v>
      </c>
      <c r="AL119" s="1">
        <f t="shared" si="37"/>
        <v>167</v>
      </c>
      <c r="AM119" s="1">
        <f t="shared" si="38"/>
        <v>120</v>
      </c>
      <c r="AN119" s="1">
        <f t="shared" si="39"/>
        <v>170</v>
      </c>
      <c r="AO119" s="1">
        <f t="shared" si="40"/>
        <v>120</v>
      </c>
      <c r="AP119" s="1">
        <f t="shared" si="41"/>
        <v>179</v>
      </c>
      <c r="AR119" s="8">
        <f>COUNTIFS(score4pijlen,AP119) </f>
        <v>36</v>
      </c>
    </row>
    <row r="120">
      <c r="A120" s="2">
        <v>120.0</v>
      </c>
      <c r="B120" s="1">
        <f t="shared" si="2"/>
        <v>121</v>
      </c>
      <c r="C120" s="1">
        <f t="shared" si="3"/>
        <v>122</v>
      </c>
      <c r="D120" s="1">
        <f t="shared" si="4"/>
        <v>121</v>
      </c>
      <c r="E120" s="1">
        <f t="shared" si="5"/>
        <v>124</v>
      </c>
      <c r="F120" s="1">
        <f t="shared" si="6"/>
        <v>121</v>
      </c>
      <c r="G120" s="1">
        <f t="shared" si="7"/>
        <v>126</v>
      </c>
      <c r="H120" s="1">
        <f t="shared" si="8"/>
        <v>121</v>
      </c>
      <c r="I120" s="1">
        <f t="shared" si="9"/>
        <v>128</v>
      </c>
      <c r="J120" s="1">
        <f t="shared" si="10"/>
        <v>121</v>
      </c>
      <c r="K120" s="1">
        <f t="shared" si="11"/>
        <v>130</v>
      </c>
      <c r="L120" s="1">
        <f t="shared" si="12"/>
        <v>121</v>
      </c>
      <c r="M120" s="1">
        <f t="shared" si="13"/>
        <v>132</v>
      </c>
      <c r="N120" s="1">
        <f t="shared" si="14"/>
        <v>121</v>
      </c>
      <c r="O120" s="1">
        <f t="shared" si="15"/>
        <v>134</v>
      </c>
      <c r="P120" s="1">
        <f t="shared" si="16"/>
        <v>121</v>
      </c>
      <c r="Q120" s="1">
        <f t="shared" si="17"/>
        <v>136</v>
      </c>
      <c r="R120" s="1">
        <f t="shared" si="18"/>
        <v>121</v>
      </c>
      <c r="S120" s="1">
        <f t="shared" si="19"/>
        <v>138</v>
      </c>
      <c r="T120" s="1">
        <f t="shared" si="20"/>
        <v>121</v>
      </c>
      <c r="U120" s="1">
        <f t="shared" si="21"/>
        <v>140</v>
      </c>
      <c r="V120" s="1">
        <f t="shared" si="22"/>
        <v>121</v>
      </c>
      <c r="W120" s="1">
        <f t="shared" si="23"/>
        <v>142</v>
      </c>
      <c r="X120" s="1">
        <f t="shared" si="24"/>
        <v>121</v>
      </c>
      <c r="Y120" s="1">
        <f t="shared" si="25"/>
        <v>145</v>
      </c>
      <c r="Z120" s="1">
        <f t="shared" si="26"/>
        <v>121</v>
      </c>
      <c r="AA120" s="1">
        <f t="shared" si="27"/>
        <v>148</v>
      </c>
      <c r="AB120" s="1">
        <f t="shared" si="28"/>
        <v>121</v>
      </c>
      <c r="AC120" s="1">
        <f t="shared" si="29"/>
        <v>152</v>
      </c>
      <c r="AD120" s="1">
        <f t="shared" si="30"/>
        <v>121</v>
      </c>
      <c r="AE120" s="1">
        <f t="shared" si="31"/>
        <v>154</v>
      </c>
      <c r="AF120" s="1">
        <f t="shared" si="32"/>
        <v>121</v>
      </c>
      <c r="AG120" s="1">
        <f t="shared" si="33"/>
        <v>158</v>
      </c>
      <c r="AH120" s="1">
        <f t="shared" ref="AH120:AI120" si="158">$B$1+$A120</f>
        <v>121</v>
      </c>
      <c r="AI120" s="1">
        <f t="shared" si="158"/>
        <v>121</v>
      </c>
      <c r="AJ120" s="1">
        <f t="shared" si="35"/>
        <v>162</v>
      </c>
      <c r="AK120" s="1">
        <f t="shared" si="36"/>
        <v>121</v>
      </c>
      <c r="AL120" s="1">
        <f t="shared" si="37"/>
        <v>168</v>
      </c>
      <c r="AM120" s="1">
        <f t="shared" si="38"/>
        <v>121</v>
      </c>
      <c r="AN120" s="1">
        <f t="shared" si="39"/>
        <v>171</v>
      </c>
      <c r="AO120" s="1">
        <f t="shared" si="40"/>
        <v>121</v>
      </c>
      <c r="AP120" s="1">
        <f t="shared" si="41"/>
        <v>180</v>
      </c>
      <c r="AR120" s="8">
        <f>COUNTIFS(score4pijlen,AP120) </f>
        <v>18</v>
      </c>
    </row>
    <row r="121">
      <c r="A121" s="2">
        <v>121.0</v>
      </c>
      <c r="B121" s="1">
        <f t="shared" si="2"/>
        <v>122</v>
      </c>
      <c r="C121" s="1">
        <f t="shared" si="3"/>
        <v>123</v>
      </c>
      <c r="D121" s="1">
        <f t="shared" si="4"/>
        <v>122</v>
      </c>
      <c r="E121" s="1">
        <f t="shared" si="5"/>
        <v>125</v>
      </c>
      <c r="F121" s="1">
        <f t="shared" si="6"/>
        <v>122</v>
      </c>
      <c r="G121" s="1">
        <f t="shared" si="7"/>
        <v>127</v>
      </c>
      <c r="H121" s="1">
        <f t="shared" si="8"/>
        <v>122</v>
      </c>
      <c r="I121" s="1">
        <f t="shared" si="9"/>
        <v>129</v>
      </c>
      <c r="J121" s="1">
        <f t="shared" si="10"/>
        <v>122</v>
      </c>
      <c r="K121" s="1">
        <f t="shared" si="11"/>
        <v>131</v>
      </c>
      <c r="L121" s="1">
        <f t="shared" si="12"/>
        <v>122</v>
      </c>
      <c r="M121" s="1">
        <f t="shared" si="13"/>
        <v>133</v>
      </c>
      <c r="N121" s="1">
        <f t="shared" si="14"/>
        <v>122</v>
      </c>
      <c r="O121" s="1">
        <f t="shared" si="15"/>
        <v>135</v>
      </c>
      <c r="P121" s="1">
        <f t="shared" si="16"/>
        <v>122</v>
      </c>
      <c r="Q121" s="1">
        <f t="shared" si="17"/>
        <v>137</v>
      </c>
      <c r="R121" s="1">
        <f t="shared" si="18"/>
        <v>122</v>
      </c>
      <c r="S121" s="1">
        <f t="shared" si="19"/>
        <v>139</v>
      </c>
      <c r="T121" s="1">
        <f t="shared" si="20"/>
        <v>122</v>
      </c>
      <c r="U121" s="1">
        <f t="shared" si="21"/>
        <v>141</v>
      </c>
      <c r="V121" s="1">
        <f t="shared" si="22"/>
        <v>122</v>
      </c>
      <c r="W121" s="1">
        <f t="shared" si="23"/>
        <v>143</v>
      </c>
      <c r="X121" s="1">
        <f t="shared" si="24"/>
        <v>122</v>
      </c>
      <c r="Y121" s="1">
        <f t="shared" si="25"/>
        <v>146</v>
      </c>
      <c r="Z121" s="1">
        <f t="shared" si="26"/>
        <v>122</v>
      </c>
      <c r="AA121" s="1">
        <f t="shared" si="27"/>
        <v>149</v>
      </c>
      <c r="AB121" s="1">
        <f t="shared" si="28"/>
        <v>122</v>
      </c>
      <c r="AC121" s="1">
        <f t="shared" si="29"/>
        <v>153</v>
      </c>
      <c r="AD121" s="1">
        <f t="shared" si="30"/>
        <v>122</v>
      </c>
      <c r="AE121" s="1">
        <f t="shared" si="31"/>
        <v>155</v>
      </c>
      <c r="AF121" s="1">
        <f t="shared" si="32"/>
        <v>122</v>
      </c>
      <c r="AG121" s="1">
        <f t="shared" si="33"/>
        <v>159</v>
      </c>
      <c r="AH121" s="1">
        <f t="shared" ref="AH121:AI121" si="159">$B$1+$A121</f>
        <v>122</v>
      </c>
      <c r="AI121" s="1">
        <f t="shared" si="159"/>
        <v>122</v>
      </c>
      <c r="AJ121" s="1">
        <f t="shared" si="35"/>
        <v>163</v>
      </c>
      <c r="AK121" s="1">
        <f t="shared" si="36"/>
        <v>122</v>
      </c>
      <c r="AL121" s="1">
        <f t="shared" si="37"/>
        <v>169</v>
      </c>
      <c r="AM121" s="1">
        <f t="shared" si="38"/>
        <v>122</v>
      </c>
      <c r="AN121" s="1">
        <f t="shared" si="39"/>
        <v>172</v>
      </c>
      <c r="AO121" s="1">
        <f t="shared" si="40"/>
        <v>122</v>
      </c>
      <c r="AP121" s="1">
        <f t="shared" si="41"/>
        <v>181</v>
      </c>
      <c r="AR121" s="8">
        <f>COUNTIFS(score4pijlen,AP121) </f>
        <v>35</v>
      </c>
    </row>
    <row r="122">
      <c r="A122" s="2">
        <v>122.0</v>
      </c>
      <c r="B122" s="1">
        <f t="shared" si="2"/>
        <v>123</v>
      </c>
      <c r="C122" s="1">
        <f t="shared" si="3"/>
        <v>124</v>
      </c>
      <c r="D122" s="1">
        <f t="shared" si="4"/>
        <v>123</v>
      </c>
      <c r="E122" s="1">
        <f t="shared" si="5"/>
        <v>126</v>
      </c>
      <c r="F122" s="1">
        <f t="shared" si="6"/>
        <v>123</v>
      </c>
      <c r="G122" s="1">
        <f t="shared" si="7"/>
        <v>128</v>
      </c>
      <c r="H122" s="1">
        <f t="shared" si="8"/>
        <v>123</v>
      </c>
      <c r="I122" s="1">
        <f t="shared" si="9"/>
        <v>130</v>
      </c>
      <c r="J122" s="1">
        <f t="shared" si="10"/>
        <v>123</v>
      </c>
      <c r="K122" s="1">
        <f t="shared" si="11"/>
        <v>132</v>
      </c>
      <c r="L122" s="1">
        <f t="shared" si="12"/>
        <v>123</v>
      </c>
      <c r="M122" s="1">
        <f t="shared" si="13"/>
        <v>134</v>
      </c>
      <c r="N122" s="1">
        <f t="shared" si="14"/>
        <v>123</v>
      </c>
      <c r="O122" s="1">
        <f t="shared" si="15"/>
        <v>136</v>
      </c>
      <c r="P122" s="1">
        <f t="shared" si="16"/>
        <v>123</v>
      </c>
      <c r="Q122" s="1">
        <f t="shared" si="17"/>
        <v>138</v>
      </c>
      <c r="R122" s="1">
        <f t="shared" si="18"/>
        <v>123</v>
      </c>
      <c r="S122" s="1">
        <f t="shared" si="19"/>
        <v>140</v>
      </c>
      <c r="T122" s="1">
        <f t="shared" si="20"/>
        <v>123</v>
      </c>
      <c r="U122" s="1">
        <f t="shared" si="21"/>
        <v>142</v>
      </c>
      <c r="V122" s="1">
        <f t="shared" si="22"/>
        <v>123</v>
      </c>
      <c r="W122" s="1">
        <f t="shared" si="23"/>
        <v>144</v>
      </c>
      <c r="X122" s="1">
        <f t="shared" si="24"/>
        <v>123</v>
      </c>
      <c r="Y122" s="1">
        <f t="shared" si="25"/>
        <v>147</v>
      </c>
      <c r="Z122" s="1">
        <f t="shared" si="26"/>
        <v>123</v>
      </c>
      <c r="AA122" s="1">
        <f t="shared" si="27"/>
        <v>150</v>
      </c>
      <c r="AB122" s="1">
        <f t="shared" si="28"/>
        <v>123</v>
      </c>
      <c r="AC122" s="1">
        <f t="shared" si="29"/>
        <v>154</v>
      </c>
      <c r="AD122" s="1">
        <f t="shared" si="30"/>
        <v>123</v>
      </c>
      <c r="AE122" s="1">
        <f t="shared" si="31"/>
        <v>156</v>
      </c>
      <c r="AF122" s="1">
        <f t="shared" si="32"/>
        <v>123</v>
      </c>
      <c r="AG122" s="1">
        <f t="shared" si="33"/>
        <v>160</v>
      </c>
      <c r="AH122" s="1">
        <f t="shared" ref="AH122:AI122" si="160">$B$1+$A122</f>
        <v>123</v>
      </c>
      <c r="AI122" s="1">
        <f t="shared" si="160"/>
        <v>123</v>
      </c>
      <c r="AJ122" s="1">
        <f t="shared" si="35"/>
        <v>164</v>
      </c>
      <c r="AK122" s="1">
        <f t="shared" si="36"/>
        <v>123</v>
      </c>
      <c r="AL122" s="1">
        <f t="shared" si="37"/>
        <v>170</v>
      </c>
      <c r="AM122" s="1">
        <f t="shared" si="38"/>
        <v>123</v>
      </c>
      <c r="AN122" s="1">
        <f t="shared" si="39"/>
        <v>173</v>
      </c>
      <c r="AO122" s="1">
        <f t="shared" si="40"/>
        <v>123</v>
      </c>
      <c r="AP122" s="1">
        <f t="shared" si="41"/>
        <v>182</v>
      </c>
      <c r="AR122" s="8">
        <f>COUNTIFS(score4pijlen,AP122) </f>
        <v>18</v>
      </c>
    </row>
    <row r="123">
      <c r="A123" s="2">
        <v>123.0</v>
      </c>
      <c r="B123" s="1">
        <f t="shared" si="2"/>
        <v>124</v>
      </c>
      <c r="C123" s="1">
        <f t="shared" si="3"/>
        <v>125</v>
      </c>
      <c r="D123" s="1">
        <f t="shared" si="4"/>
        <v>124</v>
      </c>
      <c r="E123" s="1">
        <f t="shared" si="5"/>
        <v>127</v>
      </c>
      <c r="F123" s="1">
        <f t="shared" si="6"/>
        <v>124</v>
      </c>
      <c r="G123" s="1">
        <f t="shared" si="7"/>
        <v>129</v>
      </c>
      <c r="H123" s="1">
        <f t="shared" si="8"/>
        <v>124</v>
      </c>
      <c r="I123" s="1">
        <f t="shared" si="9"/>
        <v>131</v>
      </c>
      <c r="J123" s="1">
        <f t="shared" si="10"/>
        <v>124</v>
      </c>
      <c r="K123" s="1">
        <f t="shared" si="11"/>
        <v>133</v>
      </c>
      <c r="L123" s="1">
        <f t="shared" si="12"/>
        <v>124</v>
      </c>
      <c r="M123" s="1">
        <f t="shared" si="13"/>
        <v>135</v>
      </c>
      <c r="N123" s="1">
        <f t="shared" si="14"/>
        <v>124</v>
      </c>
      <c r="O123" s="1">
        <f t="shared" si="15"/>
        <v>137</v>
      </c>
      <c r="P123" s="1">
        <f t="shared" si="16"/>
        <v>124</v>
      </c>
      <c r="Q123" s="1">
        <f t="shared" si="17"/>
        <v>139</v>
      </c>
      <c r="R123" s="1">
        <f t="shared" si="18"/>
        <v>124</v>
      </c>
      <c r="S123" s="1">
        <f t="shared" si="19"/>
        <v>141</v>
      </c>
      <c r="T123" s="1">
        <f t="shared" si="20"/>
        <v>124</v>
      </c>
      <c r="U123" s="1">
        <f t="shared" si="21"/>
        <v>143</v>
      </c>
      <c r="V123" s="1">
        <f t="shared" si="22"/>
        <v>124</v>
      </c>
      <c r="W123" s="1">
        <f t="shared" si="23"/>
        <v>145</v>
      </c>
      <c r="X123" s="1">
        <f t="shared" si="24"/>
        <v>124</v>
      </c>
      <c r="Y123" s="1">
        <f t="shared" si="25"/>
        <v>148</v>
      </c>
      <c r="Z123" s="1">
        <f t="shared" si="26"/>
        <v>124</v>
      </c>
      <c r="AA123" s="1">
        <f t="shared" si="27"/>
        <v>151</v>
      </c>
      <c r="AB123" s="1">
        <f t="shared" si="28"/>
        <v>124</v>
      </c>
      <c r="AC123" s="1">
        <f t="shared" si="29"/>
        <v>155</v>
      </c>
      <c r="AD123" s="1">
        <f t="shared" si="30"/>
        <v>124</v>
      </c>
      <c r="AE123" s="1">
        <f t="shared" si="31"/>
        <v>157</v>
      </c>
      <c r="AF123" s="1">
        <f t="shared" si="32"/>
        <v>124</v>
      </c>
      <c r="AG123" s="1">
        <f t="shared" si="33"/>
        <v>161</v>
      </c>
      <c r="AH123" s="1">
        <f t="shared" ref="AH123:AI123" si="161">$B$1+$A123</f>
        <v>124</v>
      </c>
      <c r="AI123" s="1">
        <f t="shared" si="161"/>
        <v>124</v>
      </c>
      <c r="AJ123" s="1">
        <f t="shared" si="35"/>
        <v>165</v>
      </c>
      <c r="AK123" s="1">
        <f t="shared" si="36"/>
        <v>124</v>
      </c>
      <c r="AL123" s="1">
        <f t="shared" si="37"/>
        <v>171</v>
      </c>
      <c r="AM123" s="1">
        <f t="shared" si="38"/>
        <v>124</v>
      </c>
      <c r="AN123" s="1">
        <f t="shared" si="39"/>
        <v>174</v>
      </c>
      <c r="AO123" s="1">
        <f t="shared" si="40"/>
        <v>124</v>
      </c>
      <c r="AP123" s="1">
        <f t="shared" si="41"/>
        <v>183</v>
      </c>
      <c r="AR123" s="8">
        <f>COUNTIFS(score4pijlen,AP123) </f>
        <v>14</v>
      </c>
    </row>
    <row r="124">
      <c r="A124" s="2">
        <v>124.0</v>
      </c>
      <c r="B124" s="1">
        <f t="shared" si="2"/>
        <v>125</v>
      </c>
      <c r="C124" s="1">
        <f t="shared" si="3"/>
        <v>126</v>
      </c>
      <c r="D124" s="1">
        <f t="shared" si="4"/>
        <v>125</v>
      </c>
      <c r="E124" s="1">
        <f t="shared" si="5"/>
        <v>128</v>
      </c>
      <c r="F124" s="1">
        <f t="shared" si="6"/>
        <v>125</v>
      </c>
      <c r="G124" s="1">
        <f t="shared" si="7"/>
        <v>130</v>
      </c>
      <c r="H124" s="1">
        <f t="shared" si="8"/>
        <v>125</v>
      </c>
      <c r="I124" s="1">
        <f t="shared" si="9"/>
        <v>132</v>
      </c>
      <c r="J124" s="1">
        <f t="shared" si="10"/>
        <v>125</v>
      </c>
      <c r="K124" s="1">
        <f t="shared" si="11"/>
        <v>134</v>
      </c>
      <c r="L124" s="1">
        <f t="shared" si="12"/>
        <v>125</v>
      </c>
      <c r="M124" s="1">
        <f t="shared" si="13"/>
        <v>136</v>
      </c>
      <c r="N124" s="1">
        <f t="shared" si="14"/>
        <v>125</v>
      </c>
      <c r="O124" s="1">
        <f t="shared" si="15"/>
        <v>138</v>
      </c>
      <c r="P124" s="1">
        <f t="shared" si="16"/>
        <v>125</v>
      </c>
      <c r="Q124" s="1">
        <f t="shared" si="17"/>
        <v>140</v>
      </c>
      <c r="R124" s="1">
        <f t="shared" si="18"/>
        <v>125</v>
      </c>
      <c r="S124" s="1">
        <f t="shared" si="19"/>
        <v>142</v>
      </c>
      <c r="T124" s="1">
        <f t="shared" si="20"/>
        <v>125</v>
      </c>
      <c r="U124" s="1">
        <f t="shared" si="21"/>
        <v>144</v>
      </c>
      <c r="V124" s="1">
        <f t="shared" si="22"/>
        <v>125</v>
      </c>
      <c r="W124" s="1">
        <f t="shared" si="23"/>
        <v>146</v>
      </c>
      <c r="X124" s="1">
        <f t="shared" si="24"/>
        <v>125</v>
      </c>
      <c r="Y124" s="1">
        <f t="shared" si="25"/>
        <v>149</v>
      </c>
      <c r="Z124" s="1">
        <f t="shared" si="26"/>
        <v>125</v>
      </c>
      <c r="AA124" s="1">
        <f t="shared" si="27"/>
        <v>152</v>
      </c>
      <c r="AB124" s="1">
        <f t="shared" si="28"/>
        <v>125</v>
      </c>
      <c r="AC124" s="1">
        <f t="shared" si="29"/>
        <v>156</v>
      </c>
      <c r="AD124" s="1">
        <f t="shared" si="30"/>
        <v>125</v>
      </c>
      <c r="AE124" s="1">
        <f t="shared" si="31"/>
        <v>158</v>
      </c>
      <c r="AF124" s="1">
        <f t="shared" si="32"/>
        <v>125</v>
      </c>
      <c r="AG124" s="1">
        <f t="shared" si="33"/>
        <v>162</v>
      </c>
      <c r="AH124" s="1">
        <f t="shared" ref="AH124:AI124" si="162">$B$1+$A124</f>
        <v>125</v>
      </c>
      <c r="AI124" s="1">
        <f t="shared" si="162"/>
        <v>125</v>
      </c>
      <c r="AJ124" s="1">
        <f t="shared" si="35"/>
        <v>166</v>
      </c>
      <c r="AK124" s="1">
        <f t="shared" si="36"/>
        <v>125</v>
      </c>
      <c r="AL124" s="1">
        <f t="shared" si="37"/>
        <v>172</v>
      </c>
      <c r="AM124" s="1">
        <f t="shared" si="38"/>
        <v>125</v>
      </c>
      <c r="AN124" s="1">
        <f t="shared" si="39"/>
        <v>175</v>
      </c>
      <c r="AO124" s="1">
        <f t="shared" si="40"/>
        <v>125</v>
      </c>
      <c r="AP124" s="1">
        <f t="shared" si="41"/>
        <v>184</v>
      </c>
      <c r="AR124" s="8">
        <f>COUNTIFS(score4pijlen,AP124) </f>
        <v>17</v>
      </c>
    </row>
    <row r="125">
      <c r="A125" s="2">
        <v>125.0</v>
      </c>
      <c r="B125" s="1">
        <f t="shared" si="2"/>
        <v>126</v>
      </c>
      <c r="C125" s="1">
        <f t="shared" si="3"/>
        <v>127</v>
      </c>
      <c r="D125" s="1">
        <f t="shared" si="4"/>
        <v>126</v>
      </c>
      <c r="E125" s="1">
        <f t="shared" si="5"/>
        <v>129</v>
      </c>
      <c r="F125" s="1">
        <f t="shared" si="6"/>
        <v>126</v>
      </c>
      <c r="G125" s="1">
        <f t="shared" si="7"/>
        <v>131</v>
      </c>
      <c r="H125" s="1">
        <f t="shared" si="8"/>
        <v>126</v>
      </c>
      <c r="I125" s="1">
        <f t="shared" si="9"/>
        <v>133</v>
      </c>
      <c r="J125" s="1">
        <f t="shared" si="10"/>
        <v>126</v>
      </c>
      <c r="K125" s="1">
        <f t="shared" si="11"/>
        <v>135</v>
      </c>
      <c r="L125" s="1">
        <f t="shared" si="12"/>
        <v>126</v>
      </c>
      <c r="M125" s="1">
        <f t="shared" si="13"/>
        <v>137</v>
      </c>
      <c r="N125" s="1">
        <f t="shared" si="14"/>
        <v>126</v>
      </c>
      <c r="O125" s="1">
        <f t="shared" si="15"/>
        <v>139</v>
      </c>
      <c r="P125" s="1">
        <f t="shared" si="16"/>
        <v>126</v>
      </c>
      <c r="Q125" s="1">
        <f t="shared" si="17"/>
        <v>141</v>
      </c>
      <c r="R125" s="1">
        <f t="shared" si="18"/>
        <v>126</v>
      </c>
      <c r="S125" s="1">
        <f t="shared" si="19"/>
        <v>143</v>
      </c>
      <c r="T125" s="1">
        <f t="shared" si="20"/>
        <v>126</v>
      </c>
      <c r="U125" s="1">
        <f t="shared" si="21"/>
        <v>145</v>
      </c>
      <c r="V125" s="1">
        <f t="shared" si="22"/>
        <v>126</v>
      </c>
      <c r="W125" s="1">
        <f t="shared" si="23"/>
        <v>147</v>
      </c>
      <c r="X125" s="1">
        <f t="shared" si="24"/>
        <v>126</v>
      </c>
      <c r="Y125" s="1">
        <f t="shared" si="25"/>
        <v>150</v>
      </c>
      <c r="Z125" s="1">
        <f t="shared" si="26"/>
        <v>126</v>
      </c>
      <c r="AA125" s="1">
        <f t="shared" si="27"/>
        <v>153</v>
      </c>
      <c r="AB125" s="1">
        <f t="shared" si="28"/>
        <v>126</v>
      </c>
      <c r="AC125" s="1">
        <f t="shared" si="29"/>
        <v>157</v>
      </c>
      <c r="AD125" s="1">
        <f t="shared" si="30"/>
        <v>126</v>
      </c>
      <c r="AE125" s="1">
        <f t="shared" si="31"/>
        <v>159</v>
      </c>
      <c r="AF125" s="1">
        <f t="shared" si="32"/>
        <v>126</v>
      </c>
      <c r="AG125" s="1">
        <f t="shared" si="33"/>
        <v>163</v>
      </c>
      <c r="AH125" s="1">
        <f t="shared" ref="AH125:AI125" si="163">$B$1+$A125</f>
        <v>126</v>
      </c>
      <c r="AI125" s="1">
        <f t="shared" si="163"/>
        <v>126</v>
      </c>
      <c r="AJ125" s="1">
        <f t="shared" si="35"/>
        <v>167</v>
      </c>
      <c r="AK125" s="1">
        <f t="shared" si="36"/>
        <v>126</v>
      </c>
      <c r="AL125" s="1">
        <f t="shared" si="37"/>
        <v>173</v>
      </c>
      <c r="AM125" s="1">
        <f t="shared" si="38"/>
        <v>126</v>
      </c>
      <c r="AN125" s="1">
        <f t="shared" si="39"/>
        <v>176</v>
      </c>
      <c r="AO125" s="1">
        <f t="shared" si="40"/>
        <v>126</v>
      </c>
      <c r="AP125" s="1">
        <f t="shared" si="41"/>
        <v>185</v>
      </c>
      <c r="AR125" s="8">
        <f>COUNTIFS(score4pijlen,AP125) </f>
        <v>13</v>
      </c>
    </row>
    <row r="126">
      <c r="A126" s="2">
        <v>126.0</v>
      </c>
      <c r="B126" s="1">
        <f t="shared" si="2"/>
        <v>127</v>
      </c>
      <c r="C126" s="1">
        <f t="shared" si="3"/>
        <v>128</v>
      </c>
      <c r="D126" s="1">
        <f t="shared" si="4"/>
        <v>127</v>
      </c>
      <c r="E126" s="1">
        <f t="shared" si="5"/>
        <v>130</v>
      </c>
      <c r="F126" s="1">
        <f t="shared" si="6"/>
        <v>127</v>
      </c>
      <c r="G126" s="1">
        <f t="shared" si="7"/>
        <v>132</v>
      </c>
      <c r="H126" s="1">
        <f t="shared" si="8"/>
        <v>127</v>
      </c>
      <c r="I126" s="1">
        <f t="shared" si="9"/>
        <v>134</v>
      </c>
      <c r="J126" s="1">
        <f t="shared" si="10"/>
        <v>127</v>
      </c>
      <c r="K126" s="1">
        <f t="shared" si="11"/>
        <v>136</v>
      </c>
      <c r="L126" s="1">
        <f t="shared" si="12"/>
        <v>127</v>
      </c>
      <c r="M126" s="1">
        <f t="shared" si="13"/>
        <v>138</v>
      </c>
      <c r="N126" s="1">
        <f t="shared" si="14"/>
        <v>127</v>
      </c>
      <c r="O126" s="1">
        <f t="shared" si="15"/>
        <v>140</v>
      </c>
      <c r="P126" s="1">
        <f t="shared" si="16"/>
        <v>127</v>
      </c>
      <c r="Q126" s="1">
        <f t="shared" si="17"/>
        <v>142</v>
      </c>
      <c r="R126" s="1">
        <f t="shared" si="18"/>
        <v>127</v>
      </c>
      <c r="S126" s="1">
        <f t="shared" si="19"/>
        <v>144</v>
      </c>
      <c r="T126" s="1">
        <f t="shared" si="20"/>
        <v>127</v>
      </c>
      <c r="U126" s="1">
        <f t="shared" si="21"/>
        <v>146</v>
      </c>
      <c r="V126" s="1">
        <f t="shared" si="22"/>
        <v>127</v>
      </c>
      <c r="W126" s="1">
        <f t="shared" si="23"/>
        <v>148</v>
      </c>
      <c r="X126" s="1">
        <f t="shared" si="24"/>
        <v>127</v>
      </c>
      <c r="Y126" s="1">
        <f t="shared" si="25"/>
        <v>151</v>
      </c>
      <c r="Z126" s="1">
        <f t="shared" si="26"/>
        <v>127</v>
      </c>
      <c r="AA126" s="1">
        <f t="shared" si="27"/>
        <v>154</v>
      </c>
      <c r="AB126" s="1">
        <f t="shared" si="28"/>
        <v>127</v>
      </c>
      <c r="AC126" s="1">
        <f t="shared" si="29"/>
        <v>158</v>
      </c>
      <c r="AD126" s="1">
        <f t="shared" si="30"/>
        <v>127</v>
      </c>
      <c r="AE126" s="1">
        <f t="shared" si="31"/>
        <v>160</v>
      </c>
      <c r="AF126" s="1">
        <f t="shared" si="32"/>
        <v>127</v>
      </c>
      <c r="AG126" s="1">
        <f t="shared" si="33"/>
        <v>164</v>
      </c>
      <c r="AH126" s="1">
        <f t="shared" ref="AH126:AI126" si="164">$B$1+$A126</f>
        <v>127</v>
      </c>
      <c r="AI126" s="1">
        <f t="shared" si="164"/>
        <v>127</v>
      </c>
      <c r="AJ126" s="1">
        <f t="shared" si="35"/>
        <v>168</v>
      </c>
      <c r="AK126" s="1">
        <f t="shared" si="36"/>
        <v>127</v>
      </c>
      <c r="AL126" s="1">
        <f t="shared" si="37"/>
        <v>174</v>
      </c>
      <c r="AM126" s="1">
        <f t="shared" si="38"/>
        <v>127</v>
      </c>
      <c r="AN126" s="1">
        <f t="shared" si="39"/>
        <v>177</v>
      </c>
      <c r="AO126" s="1">
        <f t="shared" si="40"/>
        <v>127</v>
      </c>
      <c r="AP126" s="1">
        <f t="shared" si="41"/>
        <v>186</v>
      </c>
      <c r="AR126" s="8">
        <f>COUNTIFS(score4pijlen,AP126) </f>
        <v>16</v>
      </c>
    </row>
    <row r="127">
      <c r="A127" s="2">
        <v>127.0</v>
      </c>
      <c r="B127" s="1">
        <f t="shared" si="2"/>
        <v>128</v>
      </c>
      <c r="C127" s="1">
        <f t="shared" si="3"/>
        <v>129</v>
      </c>
      <c r="D127" s="1">
        <f t="shared" si="4"/>
        <v>128</v>
      </c>
      <c r="E127" s="1">
        <f t="shared" si="5"/>
        <v>131</v>
      </c>
      <c r="F127" s="1">
        <f t="shared" si="6"/>
        <v>128</v>
      </c>
      <c r="G127" s="1">
        <f t="shared" si="7"/>
        <v>133</v>
      </c>
      <c r="H127" s="1">
        <f t="shared" si="8"/>
        <v>128</v>
      </c>
      <c r="I127" s="1">
        <f t="shared" si="9"/>
        <v>135</v>
      </c>
      <c r="J127" s="1">
        <f t="shared" si="10"/>
        <v>128</v>
      </c>
      <c r="K127" s="1">
        <f t="shared" si="11"/>
        <v>137</v>
      </c>
      <c r="L127" s="1">
        <f t="shared" si="12"/>
        <v>128</v>
      </c>
      <c r="M127" s="1">
        <f t="shared" si="13"/>
        <v>139</v>
      </c>
      <c r="N127" s="1">
        <f t="shared" si="14"/>
        <v>128</v>
      </c>
      <c r="O127" s="1">
        <f t="shared" si="15"/>
        <v>141</v>
      </c>
      <c r="P127" s="1">
        <f t="shared" si="16"/>
        <v>128</v>
      </c>
      <c r="Q127" s="1">
        <f t="shared" si="17"/>
        <v>143</v>
      </c>
      <c r="R127" s="1">
        <f t="shared" si="18"/>
        <v>128</v>
      </c>
      <c r="S127" s="1">
        <f t="shared" si="19"/>
        <v>145</v>
      </c>
      <c r="T127" s="1">
        <f t="shared" si="20"/>
        <v>128</v>
      </c>
      <c r="U127" s="1">
        <f t="shared" si="21"/>
        <v>147</v>
      </c>
      <c r="V127" s="1">
        <f t="shared" si="22"/>
        <v>128</v>
      </c>
      <c r="W127" s="1">
        <f t="shared" si="23"/>
        <v>149</v>
      </c>
      <c r="X127" s="1">
        <f t="shared" si="24"/>
        <v>128</v>
      </c>
      <c r="Y127" s="1">
        <f t="shared" si="25"/>
        <v>152</v>
      </c>
      <c r="Z127" s="1">
        <f t="shared" si="26"/>
        <v>128</v>
      </c>
      <c r="AA127" s="1">
        <f t="shared" si="27"/>
        <v>155</v>
      </c>
      <c r="AB127" s="1">
        <f t="shared" si="28"/>
        <v>128</v>
      </c>
      <c r="AC127" s="1">
        <f t="shared" si="29"/>
        <v>159</v>
      </c>
      <c r="AD127" s="1">
        <f t="shared" si="30"/>
        <v>128</v>
      </c>
      <c r="AE127" s="1">
        <f t="shared" si="31"/>
        <v>161</v>
      </c>
      <c r="AF127" s="1">
        <f t="shared" si="32"/>
        <v>128</v>
      </c>
      <c r="AG127" s="1">
        <f t="shared" si="33"/>
        <v>165</v>
      </c>
      <c r="AH127" s="1">
        <f t="shared" ref="AH127:AI127" si="165">$B$1+$A127</f>
        <v>128</v>
      </c>
      <c r="AI127" s="1">
        <f t="shared" si="165"/>
        <v>128</v>
      </c>
      <c r="AJ127" s="1">
        <f t="shared" si="35"/>
        <v>169</v>
      </c>
      <c r="AK127" s="1">
        <f t="shared" si="36"/>
        <v>128</v>
      </c>
      <c r="AL127" s="1">
        <f t="shared" si="37"/>
        <v>175</v>
      </c>
      <c r="AM127" s="1">
        <f t="shared" si="38"/>
        <v>128</v>
      </c>
      <c r="AN127" s="1">
        <f t="shared" si="39"/>
        <v>178</v>
      </c>
      <c r="AO127" s="1">
        <f t="shared" si="40"/>
        <v>128</v>
      </c>
      <c r="AP127" s="1">
        <f t="shared" si="41"/>
        <v>187</v>
      </c>
      <c r="AR127" s="8">
        <f>COUNTIFS(score4pijlen,AP127) </f>
        <v>13</v>
      </c>
    </row>
    <row r="128">
      <c r="A128" s="2">
        <v>128.0</v>
      </c>
      <c r="B128" s="1">
        <f t="shared" si="2"/>
        <v>129</v>
      </c>
      <c r="C128" s="1">
        <f t="shared" si="3"/>
        <v>130</v>
      </c>
      <c r="D128" s="1">
        <f t="shared" si="4"/>
        <v>129</v>
      </c>
      <c r="E128" s="1">
        <f t="shared" si="5"/>
        <v>132</v>
      </c>
      <c r="F128" s="1">
        <f t="shared" si="6"/>
        <v>129</v>
      </c>
      <c r="G128" s="1">
        <f t="shared" si="7"/>
        <v>134</v>
      </c>
      <c r="H128" s="1">
        <f t="shared" si="8"/>
        <v>129</v>
      </c>
      <c r="I128" s="1">
        <f t="shared" si="9"/>
        <v>136</v>
      </c>
      <c r="J128" s="1">
        <f t="shared" si="10"/>
        <v>129</v>
      </c>
      <c r="K128" s="1">
        <f t="shared" si="11"/>
        <v>138</v>
      </c>
      <c r="L128" s="1">
        <f t="shared" si="12"/>
        <v>129</v>
      </c>
      <c r="M128" s="1">
        <f t="shared" si="13"/>
        <v>140</v>
      </c>
      <c r="N128" s="1">
        <f t="shared" si="14"/>
        <v>129</v>
      </c>
      <c r="O128" s="1">
        <f t="shared" si="15"/>
        <v>142</v>
      </c>
      <c r="P128" s="1">
        <f t="shared" si="16"/>
        <v>129</v>
      </c>
      <c r="Q128" s="1">
        <f t="shared" si="17"/>
        <v>144</v>
      </c>
      <c r="R128" s="1">
        <f t="shared" si="18"/>
        <v>129</v>
      </c>
      <c r="S128" s="1">
        <f t="shared" si="19"/>
        <v>146</v>
      </c>
      <c r="T128" s="1">
        <f t="shared" si="20"/>
        <v>129</v>
      </c>
      <c r="U128" s="1">
        <f t="shared" si="21"/>
        <v>148</v>
      </c>
      <c r="V128" s="1">
        <f t="shared" si="22"/>
        <v>129</v>
      </c>
      <c r="W128" s="1">
        <f t="shared" si="23"/>
        <v>150</v>
      </c>
      <c r="X128" s="1">
        <f t="shared" si="24"/>
        <v>129</v>
      </c>
      <c r="Y128" s="1">
        <f t="shared" si="25"/>
        <v>153</v>
      </c>
      <c r="Z128" s="1">
        <f t="shared" si="26"/>
        <v>129</v>
      </c>
      <c r="AA128" s="1">
        <f t="shared" si="27"/>
        <v>156</v>
      </c>
      <c r="AB128" s="1">
        <f t="shared" si="28"/>
        <v>129</v>
      </c>
      <c r="AC128" s="1">
        <f t="shared" si="29"/>
        <v>160</v>
      </c>
      <c r="AD128" s="1">
        <f t="shared" si="30"/>
        <v>129</v>
      </c>
      <c r="AE128" s="1">
        <f t="shared" si="31"/>
        <v>162</v>
      </c>
      <c r="AF128" s="1">
        <f t="shared" si="32"/>
        <v>129</v>
      </c>
      <c r="AG128" s="1">
        <f t="shared" si="33"/>
        <v>166</v>
      </c>
      <c r="AH128" s="1">
        <f t="shared" ref="AH128:AI128" si="166">$B$1+$A128</f>
        <v>129</v>
      </c>
      <c r="AI128" s="1">
        <f t="shared" si="166"/>
        <v>129</v>
      </c>
      <c r="AJ128" s="1">
        <f t="shared" si="35"/>
        <v>170</v>
      </c>
      <c r="AK128" s="1">
        <f t="shared" si="36"/>
        <v>129</v>
      </c>
      <c r="AL128" s="1">
        <f t="shared" si="37"/>
        <v>176</v>
      </c>
      <c r="AM128" s="1">
        <f t="shared" si="38"/>
        <v>129</v>
      </c>
      <c r="AN128" s="1">
        <f t="shared" si="39"/>
        <v>179</v>
      </c>
      <c r="AO128" s="1">
        <f t="shared" si="40"/>
        <v>129</v>
      </c>
      <c r="AP128" s="1">
        <f t="shared" si="41"/>
        <v>188</v>
      </c>
      <c r="AR128" s="8">
        <f>COUNTIFS(score4pijlen,AP128) </f>
        <v>14</v>
      </c>
    </row>
    <row r="129">
      <c r="A129" s="2">
        <v>129.0</v>
      </c>
      <c r="B129" s="1">
        <f t="shared" si="2"/>
        <v>130</v>
      </c>
      <c r="C129" s="1">
        <f t="shared" si="3"/>
        <v>131</v>
      </c>
      <c r="D129" s="1">
        <f t="shared" si="4"/>
        <v>130</v>
      </c>
      <c r="E129" s="1">
        <f t="shared" si="5"/>
        <v>133</v>
      </c>
      <c r="F129" s="1">
        <f t="shared" si="6"/>
        <v>130</v>
      </c>
      <c r="G129" s="1">
        <f t="shared" si="7"/>
        <v>135</v>
      </c>
      <c r="H129" s="1">
        <f t="shared" si="8"/>
        <v>130</v>
      </c>
      <c r="I129" s="1">
        <f t="shared" si="9"/>
        <v>137</v>
      </c>
      <c r="J129" s="1">
        <f t="shared" si="10"/>
        <v>130</v>
      </c>
      <c r="K129" s="1">
        <f t="shared" si="11"/>
        <v>139</v>
      </c>
      <c r="L129" s="1">
        <f t="shared" si="12"/>
        <v>130</v>
      </c>
      <c r="M129" s="1">
        <f t="shared" si="13"/>
        <v>141</v>
      </c>
      <c r="N129" s="1">
        <f t="shared" si="14"/>
        <v>130</v>
      </c>
      <c r="O129" s="1">
        <f t="shared" si="15"/>
        <v>143</v>
      </c>
      <c r="P129" s="1">
        <f t="shared" si="16"/>
        <v>130</v>
      </c>
      <c r="Q129" s="1">
        <f t="shared" si="17"/>
        <v>145</v>
      </c>
      <c r="R129" s="1">
        <f t="shared" si="18"/>
        <v>130</v>
      </c>
      <c r="S129" s="1">
        <f t="shared" si="19"/>
        <v>147</v>
      </c>
      <c r="T129" s="1">
        <f t="shared" si="20"/>
        <v>130</v>
      </c>
      <c r="U129" s="1">
        <f t="shared" si="21"/>
        <v>149</v>
      </c>
      <c r="V129" s="1">
        <f t="shared" si="22"/>
        <v>130</v>
      </c>
      <c r="W129" s="1">
        <f t="shared" si="23"/>
        <v>151</v>
      </c>
      <c r="X129" s="1">
        <f t="shared" si="24"/>
        <v>130</v>
      </c>
      <c r="Y129" s="1">
        <f t="shared" si="25"/>
        <v>154</v>
      </c>
      <c r="Z129" s="1">
        <f t="shared" si="26"/>
        <v>130</v>
      </c>
      <c r="AA129" s="1">
        <f t="shared" si="27"/>
        <v>157</v>
      </c>
      <c r="AB129" s="1">
        <f t="shared" si="28"/>
        <v>130</v>
      </c>
      <c r="AC129" s="1">
        <f t="shared" si="29"/>
        <v>161</v>
      </c>
      <c r="AD129" s="1">
        <f t="shared" si="30"/>
        <v>130</v>
      </c>
      <c r="AE129" s="1">
        <f t="shared" si="31"/>
        <v>163</v>
      </c>
      <c r="AF129" s="1">
        <f t="shared" si="32"/>
        <v>130</v>
      </c>
      <c r="AG129" s="1">
        <f t="shared" si="33"/>
        <v>167</v>
      </c>
      <c r="AH129" s="1">
        <f t="shared" ref="AH129:AI129" si="167">$B$1+$A129</f>
        <v>130</v>
      </c>
      <c r="AI129" s="1">
        <f t="shared" si="167"/>
        <v>130</v>
      </c>
      <c r="AJ129" s="1">
        <f t="shared" si="35"/>
        <v>171</v>
      </c>
      <c r="AK129" s="1">
        <f t="shared" si="36"/>
        <v>130</v>
      </c>
      <c r="AL129" s="1">
        <f t="shared" si="37"/>
        <v>177</v>
      </c>
      <c r="AM129" s="1">
        <f t="shared" si="38"/>
        <v>130</v>
      </c>
      <c r="AN129" s="1">
        <f t="shared" si="39"/>
        <v>180</v>
      </c>
      <c r="AO129" s="1">
        <f t="shared" si="40"/>
        <v>130</v>
      </c>
      <c r="AP129" s="1">
        <f t="shared" si="41"/>
        <v>189</v>
      </c>
      <c r="AR129" s="8">
        <f>COUNTIFS(score4pijlen,AP129) </f>
        <v>12</v>
      </c>
    </row>
    <row r="130">
      <c r="A130" s="2">
        <v>130.0</v>
      </c>
      <c r="B130" s="1">
        <f t="shared" si="2"/>
        <v>131</v>
      </c>
      <c r="C130" s="1">
        <f t="shared" si="3"/>
        <v>132</v>
      </c>
      <c r="D130" s="1">
        <f t="shared" si="4"/>
        <v>131</v>
      </c>
      <c r="E130" s="1">
        <f t="shared" si="5"/>
        <v>134</v>
      </c>
      <c r="F130" s="1">
        <f t="shared" si="6"/>
        <v>131</v>
      </c>
      <c r="G130" s="1">
        <f t="shared" si="7"/>
        <v>136</v>
      </c>
      <c r="H130" s="1">
        <f t="shared" si="8"/>
        <v>131</v>
      </c>
      <c r="I130" s="1">
        <f t="shared" si="9"/>
        <v>138</v>
      </c>
      <c r="J130" s="1">
        <f t="shared" si="10"/>
        <v>131</v>
      </c>
      <c r="K130" s="1">
        <f t="shared" si="11"/>
        <v>140</v>
      </c>
      <c r="L130" s="1">
        <f t="shared" si="12"/>
        <v>131</v>
      </c>
      <c r="M130" s="1">
        <f t="shared" si="13"/>
        <v>142</v>
      </c>
      <c r="N130" s="1">
        <f t="shared" si="14"/>
        <v>131</v>
      </c>
      <c r="O130" s="1">
        <f t="shared" si="15"/>
        <v>144</v>
      </c>
      <c r="P130" s="1">
        <f t="shared" si="16"/>
        <v>131</v>
      </c>
      <c r="Q130" s="1">
        <f t="shared" si="17"/>
        <v>146</v>
      </c>
      <c r="R130" s="1">
        <f t="shared" si="18"/>
        <v>131</v>
      </c>
      <c r="S130" s="1">
        <f t="shared" si="19"/>
        <v>148</v>
      </c>
      <c r="T130" s="1">
        <f t="shared" si="20"/>
        <v>131</v>
      </c>
      <c r="U130" s="1">
        <f t="shared" si="21"/>
        <v>150</v>
      </c>
      <c r="V130" s="1">
        <f t="shared" si="22"/>
        <v>131</v>
      </c>
      <c r="W130" s="1">
        <f t="shared" si="23"/>
        <v>152</v>
      </c>
      <c r="X130" s="1">
        <f t="shared" si="24"/>
        <v>131</v>
      </c>
      <c r="Y130" s="1">
        <f t="shared" si="25"/>
        <v>155</v>
      </c>
      <c r="Z130" s="1">
        <f t="shared" si="26"/>
        <v>131</v>
      </c>
      <c r="AA130" s="1">
        <f t="shared" si="27"/>
        <v>158</v>
      </c>
      <c r="AB130" s="1">
        <f t="shared" si="28"/>
        <v>131</v>
      </c>
      <c r="AC130" s="1">
        <f t="shared" si="29"/>
        <v>162</v>
      </c>
      <c r="AD130" s="1">
        <f t="shared" si="30"/>
        <v>131</v>
      </c>
      <c r="AE130" s="1">
        <f t="shared" si="31"/>
        <v>164</v>
      </c>
      <c r="AF130" s="1">
        <f t="shared" si="32"/>
        <v>131</v>
      </c>
      <c r="AG130" s="1">
        <f t="shared" si="33"/>
        <v>168</v>
      </c>
      <c r="AH130" s="1">
        <f t="shared" ref="AH130:AI130" si="168">$B$1+$A130</f>
        <v>131</v>
      </c>
      <c r="AI130" s="1">
        <f t="shared" si="168"/>
        <v>131</v>
      </c>
      <c r="AJ130" s="1">
        <f t="shared" si="35"/>
        <v>172</v>
      </c>
      <c r="AK130" s="1">
        <f t="shared" si="36"/>
        <v>131</v>
      </c>
      <c r="AL130" s="1">
        <f t="shared" si="37"/>
        <v>178</v>
      </c>
      <c r="AM130" s="1">
        <f t="shared" si="38"/>
        <v>131</v>
      </c>
      <c r="AN130" s="1">
        <f t="shared" si="39"/>
        <v>181</v>
      </c>
      <c r="AO130" s="1">
        <f t="shared" si="40"/>
        <v>131</v>
      </c>
      <c r="AP130" s="1">
        <f t="shared" si="41"/>
        <v>190</v>
      </c>
      <c r="AR130" s="8">
        <f>COUNTIFS(score4pijlen,AP130) </f>
        <v>14</v>
      </c>
    </row>
    <row r="131">
      <c r="A131" s="2">
        <v>131.0</v>
      </c>
      <c r="B131" s="1">
        <f t="shared" si="2"/>
        <v>132</v>
      </c>
      <c r="C131" s="1">
        <f t="shared" si="3"/>
        <v>133</v>
      </c>
      <c r="D131" s="1">
        <f t="shared" si="4"/>
        <v>132</v>
      </c>
      <c r="E131" s="1">
        <f t="shared" si="5"/>
        <v>135</v>
      </c>
      <c r="F131" s="1">
        <f t="shared" si="6"/>
        <v>132</v>
      </c>
      <c r="G131" s="1">
        <f t="shared" si="7"/>
        <v>137</v>
      </c>
      <c r="H131" s="1">
        <f t="shared" si="8"/>
        <v>132</v>
      </c>
      <c r="I131" s="1">
        <f t="shared" si="9"/>
        <v>139</v>
      </c>
      <c r="J131" s="1">
        <f t="shared" si="10"/>
        <v>132</v>
      </c>
      <c r="K131" s="1">
        <f t="shared" si="11"/>
        <v>141</v>
      </c>
      <c r="L131" s="1">
        <f t="shared" si="12"/>
        <v>132</v>
      </c>
      <c r="M131" s="1">
        <f t="shared" si="13"/>
        <v>143</v>
      </c>
      <c r="N131" s="1">
        <f t="shared" si="14"/>
        <v>132</v>
      </c>
      <c r="O131" s="1">
        <f t="shared" si="15"/>
        <v>145</v>
      </c>
      <c r="P131" s="1">
        <f t="shared" si="16"/>
        <v>132</v>
      </c>
      <c r="Q131" s="1">
        <f t="shared" si="17"/>
        <v>147</v>
      </c>
      <c r="R131" s="1">
        <f t="shared" si="18"/>
        <v>132</v>
      </c>
      <c r="S131" s="1">
        <f t="shared" si="19"/>
        <v>149</v>
      </c>
      <c r="T131" s="1">
        <f t="shared" si="20"/>
        <v>132</v>
      </c>
      <c r="U131" s="1">
        <f t="shared" si="21"/>
        <v>151</v>
      </c>
      <c r="V131" s="1">
        <f t="shared" si="22"/>
        <v>132</v>
      </c>
      <c r="W131" s="1">
        <f t="shared" si="23"/>
        <v>153</v>
      </c>
      <c r="X131" s="1">
        <f t="shared" si="24"/>
        <v>132</v>
      </c>
      <c r="Y131" s="1">
        <f t="shared" si="25"/>
        <v>156</v>
      </c>
      <c r="Z131" s="1">
        <f t="shared" si="26"/>
        <v>132</v>
      </c>
      <c r="AA131" s="1">
        <f t="shared" si="27"/>
        <v>159</v>
      </c>
      <c r="AB131" s="1">
        <f t="shared" si="28"/>
        <v>132</v>
      </c>
      <c r="AC131" s="1">
        <f t="shared" si="29"/>
        <v>163</v>
      </c>
      <c r="AD131" s="1">
        <f t="shared" si="30"/>
        <v>132</v>
      </c>
      <c r="AE131" s="1">
        <f t="shared" si="31"/>
        <v>165</v>
      </c>
      <c r="AF131" s="1">
        <f t="shared" si="32"/>
        <v>132</v>
      </c>
      <c r="AG131" s="1">
        <f t="shared" si="33"/>
        <v>169</v>
      </c>
      <c r="AH131" s="1">
        <f t="shared" ref="AH131:AI131" si="169">$B$1+$A131</f>
        <v>132</v>
      </c>
      <c r="AI131" s="1">
        <f t="shared" si="169"/>
        <v>132</v>
      </c>
      <c r="AJ131" s="1">
        <f t="shared" si="35"/>
        <v>173</v>
      </c>
      <c r="AK131" s="1">
        <f t="shared" si="36"/>
        <v>132</v>
      </c>
      <c r="AL131" s="1">
        <f t="shared" si="37"/>
        <v>179</v>
      </c>
      <c r="AM131" s="1">
        <f t="shared" si="38"/>
        <v>132</v>
      </c>
      <c r="AN131" s="1">
        <f t="shared" si="39"/>
        <v>182</v>
      </c>
      <c r="AO131" s="1">
        <f t="shared" si="40"/>
        <v>132</v>
      </c>
      <c r="AP131" s="1">
        <f t="shared" si="41"/>
        <v>191</v>
      </c>
      <c r="AR131" s="8">
        <f>COUNTIFS(score4pijlen,AP131) </f>
        <v>10</v>
      </c>
    </row>
    <row r="132">
      <c r="A132" s="2">
        <v>132.0</v>
      </c>
      <c r="B132" s="1">
        <f t="shared" si="2"/>
        <v>133</v>
      </c>
      <c r="C132" s="1">
        <f t="shared" si="3"/>
        <v>134</v>
      </c>
      <c r="D132" s="1">
        <f t="shared" si="4"/>
        <v>133</v>
      </c>
      <c r="E132" s="1">
        <f t="shared" si="5"/>
        <v>136</v>
      </c>
      <c r="F132" s="1">
        <f t="shared" si="6"/>
        <v>133</v>
      </c>
      <c r="G132" s="1">
        <f t="shared" si="7"/>
        <v>138</v>
      </c>
      <c r="H132" s="1">
        <f t="shared" si="8"/>
        <v>133</v>
      </c>
      <c r="I132" s="1">
        <f t="shared" si="9"/>
        <v>140</v>
      </c>
      <c r="J132" s="1">
        <f t="shared" si="10"/>
        <v>133</v>
      </c>
      <c r="K132" s="1">
        <f t="shared" si="11"/>
        <v>142</v>
      </c>
      <c r="L132" s="1">
        <f t="shared" si="12"/>
        <v>133</v>
      </c>
      <c r="M132" s="1">
        <f t="shared" si="13"/>
        <v>144</v>
      </c>
      <c r="N132" s="1">
        <f t="shared" si="14"/>
        <v>133</v>
      </c>
      <c r="O132" s="1">
        <f t="shared" si="15"/>
        <v>146</v>
      </c>
      <c r="P132" s="1">
        <f t="shared" si="16"/>
        <v>133</v>
      </c>
      <c r="Q132" s="1">
        <f t="shared" si="17"/>
        <v>148</v>
      </c>
      <c r="R132" s="1">
        <f t="shared" si="18"/>
        <v>133</v>
      </c>
      <c r="S132" s="1">
        <f t="shared" si="19"/>
        <v>150</v>
      </c>
      <c r="T132" s="1">
        <f t="shared" si="20"/>
        <v>133</v>
      </c>
      <c r="U132" s="1">
        <f t="shared" si="21"/>
        <v>152</v>
      </c>
      <c r="V132" s="1">
        <f t="shared" si="22"/>
        <v>133</v>
      </c>
      <c r="W132" s="1">
        <f t="shared" si="23"/>
        <v>154</v>
      </c>
      <c r="X132" s="1">
        <f t="shared" si="24"/>
        <v>133</v>
      </c>
      <c r="Y132" s="1">
        <f t="shared" si="25"/>
        <v>157</v>
      </c>
      <c r="Z132" s="1">
        <f t="shared" si="26"/>
        <v>133</v>
      </c>
      <c r="AA132" s="1">
        <f t="shared" si="27"/>
        <v>160</v>
      </c>
      <c r="AB132" s="1">
        <f t="shared" si="28"/>
        <v>133</v>
      </c>
      <c r="AC132" s="1">
        <f t="shared" si="29"/>
        <v>164</v>
      </c>
      <c r="AD132" s="1">
        <f t="shared" si="30"/>
        <v>133</v>
      </c>
      <c r="AE132" s="1">
        <f t="shared" si="31"/>
        <v>166</v>
      </c>
      <c r="AF132" s="1">
        <f t="shared" si="32"/>
        <v>133</v>
      </c>
      <c r="AG132" s="1">
        <f t="shared" si="33"/>
        <v>170</v>
      </c>
      <c r="AH132" s="1">
        <f t="shared" ref="AH132:AI132" si="170">$B$1+$A132</f>
        <v>133</v>
      </c>
      <c r="AI132" s="1">
        <f t="shared" si="170"/>
        <v>133</v>
      </c>
      <c r="AJ132" s="1">
        <f t="shared" si="35"/>
        <v>174</v>
      </c>
      <c r="AK132" s="1">
        <f t="shared" si="36"/>
        <v>133</v>
      </c>
      <c r="AL132" s="1">
        <f t="shared" si="37"/>
        <v>180</v>
      </c>
      <c r="AM132" s="1">
        <f t="shared" si="38"/>
        <v>133</v>
      </c>
      <c r="AN132" s="1">
        <f t="shared" si="39"/>
        <v>183</v>
      </c>
      <c r="AO132" s="1">
        <f t="shared" si="40"/>
        <v>133</v>
      </c>
      <c r="AP132" s="1">
        <f t="shared" si="41"/>
        <v>192</v>
      </c>
      <c r="AR132" s="8">
        <f>COUNTIFS(score4pijlen,AP132) </f>
        <v>13</v>
      </c>
    </row>
    <row r="133">
      <c r="A133" s="2">
        <v>133.0</v>
      </c>
      <c r="B133" s="1">
        <f t="shared" si="2"/>
        <v>134</v>
      </c>
      <c r="C133" s="1">
        <f t="shared" si="3"/>
        <v>135</v>
      </c>
      <c r="D133" s="1">
        <f t="shared" si="4"/>
        <v>134</v>
      </c>
      <c r="E133" s="1">
        <f t="shared" si="5"/>
        <v>137</v>
      </c>
      <c r="F133" s="1">
        <f t="shared" si="6"/>
        <v>134</v>
      </c>
      <c r="G133" s="1">
        <f t="shared" si="7"/>
        <v>139</v>
      </c>
      <c r="H133" s="1">
        <f t="shared" si="8"/>
        <v>134</v>
      </c>
      <c r="I133" s="1">
        <f t="shared" si="9"/>
        <v>141</v>
      </c>
      <c r="J133" s="1">
        <f t="shared" si="10"/>
        <v>134</v>
      </c>
      <c r="K133" s="1">
        <f t="shared" si="11"/>
        <v>143</v>
      </c>
      <c r="L133" s="1">
        <f t="shared" si="12"/>
        <v>134</v>
      </c>
      <c r="M133" s="1">
        <f t="shared" si="13"/>
        <v>145</v>
      </c>
      <c r="N133" s="1">
        <f t="shared" si="14"/>
        <v>134</v>
      </c>
      <c r="O133" s="1">
        <f t="shared" si="15"/>
        <v>147</v>
      </c>
      <c r="P133" s="1">
        <f t="shared" si="16"/>
        <v>134</v>
      </c>
      <c r="Q133" s="1">
        <f t="shared" si="17"/>
        <v>149</v>
      </c>
      <c r="R133" s="1">
        <f t="shared" si="18"/>
        <v>134</v>
      </c>
      <c r="S133" s="1">
        <f t="shared" si="19"/>
        <v>151</v>
      </c>
      <c r="T133" s="1">
        <f t="shared" si="20"/>
        <v>134</v>
      </c>
      <c r="U133" s="1">
        <f t="shared" si="21"/>
        <v>153</v>
      </c>
      <c r="V133" s="1">
        <f t="shared" si="22"/>
        <v>134</v>
      </c>
      <c r="W133" s="1">
        <f t="shared" si="23"/>
        <v>155</v>
      </c>
      <c r="X133" s="1">
        <f t="shared" si="24"/>
        <v>134</v>
      </c>
      <c r="Y133" s="1">
        <f t="shared" si="25"/>
        <v>158</v>
      </c>
      <c r="Z133" s="1">
        <f t="shared" si="26"/>
        <v>134</v>
      </c>
      <c r="AA133" s="1">
        <f t="shared" si="27"/>
        <v>161</v>
      </c>
      <c r="AB133" s="1">
        <f t="shared" si="28"/>
        <v>134</v>
      </c>
      <c r="AC133" s="1">
        <f t="shared" si="29"/>
        <v>165</v>
      </c>
      <c r="AD133" s="1">
        <f t="shared" si="30"/>
        <v>134</v>
      </c>
      <c r="AE133" s="1">
        <f t="shared" si="31"/>
        <v>167</v>
      </c>
      <c r="AF133" s="1">
        <f t="shared" si="32"/>
        <v>134</v>
      </c>
      <c r="AG133" s="1">
        <f t="shared" si="33"/>
        <v>171</v>
      </c>
      <c r="AH133" s="1">
        <f t="shared" ref="AH133:AI133" si="171">$B$1+$A133</f>
        <v>134</v>
      </c>
      <c r="AI133" s="1">
        <f t="shared" si="171"/>
        <v>134</v>
      </c>
      <c r="AJ133" s="1">
        <f t="shared" si="35"/>
        <v>175</v>
      </c>
      <c r="AK133" s="1">
        <f t="shared" si="36"/>
        <v>134</v>
      </c>
      <c r="AL133" s="1">
        <f t="shared" si="37"/>
        <v>181</v>
      </c>
      <c r="AM133" s="1">
        <f t="shared" si="38"/>
        <v>134</v>
      </c>
      <c r="AN133" s="1">
        <f t="shared" si="39"/>
        <v>184</v>
      </c>
      <c r="AO133" s="1">
        <f t="shared" si="40"/>
        <v>134</v>
      </c>
      <c r="AP133" s="1">
        <f t="shared" si="41"/>
        <v>193</v>
      </c>
      <c r="AR133" s="8">
        <f>COUNTIFS(score4pijlen,AP133) </f>
        <v>12</v>
      </c>
    </row>
    <row r="134">
      <c r="A134" s="2">
        <v>134.0</v>
      </c>
      <c r="B134" s="1">
        <f t="shared" si="2"/>
        <v>135</v>
      </c>
      <c r="C134" s="1">
        <f t="shared" si="3"/>
        <v>136</v>
      </c>
      <c r="D134" s="1">
        <f t="shared" si="4"/>
        <v>135</v>
      </c>
      <c r="E134" s="1">
        <f t="shared" si="5"/>
        <v>138</v>
      </c>
      <c r="F134" s="1">
        <f t="shared" si="6"/>
        <v>135</v>
      </c>
      <c r="G134" s="1">
        <f t="shared" si="7"/>
        <v>140</v>
      </c>
      <c r="H134" s="1">
        <f t="shared" si="8"/>
        <v>135</v>
      </c>
      <c r="I134" s="1">
        <f t="shared" si="9"/>
        <v>142</v>
      </c>
      <c r="J134" s="1">
        <f t="shared" si="10"/>
        <v>135</v>
      </c>
      <c r="K134" s="1">
        <f t="shared" si="11"/>
        <v>144</v>
      </c>
      <c r="L134" s="1">
        <f t="shared" si="12"/>
        <v>135</v>
      </c>
      <c r="M134" s="1">
        <f t="shared" si="13"/>
        <v>146</v>
      </c>
      <c r="N134" s="1">
        <f t="shared" si="14"/>
        <v>135</v>
      </c>
      <c r="O134" s="1">
        <f t="shared" si="15"/>
        <v>148</v>
      </c>
      <c r="P134" s="1">
        <f t="shared" si="16"/>
        <v>135</v>
      </c>
      <c r="Q134" s="1">
        <f t="shared" si="17"/>
        <v>150</v>
      </c>
      <c r="R134" s="1">
        <f t="shared" si="18"/>
        <v>135</v>
      </c>
      <c r="S134" s="1">
        <f t="shared" si="19"/>
        <v>152</v>
      </c>
      <c r="T134" s="1">
        <f t="shared" si="20"/>
        <v>135</v>
      </c>
      <c r="U134" s="1">
        <f t="shared" si="21"/>
        <v>154</v>
      </c>
      <c r="V134" s="1">
        <f t="shared" si="22"/>
        <v>135</v>
      </c>
      <c r="W134" s="1">
        <f t="shared" si="23"/>
        <v>156</v>
      </c>
      <c r="X134" s="1">
        <f t="shared" si="24"/>
        <v>135</v>
      </c>
      <c r="Y134" s="1">
        <f t="shared" si="25"/>
        <v>159</v>
      </c>
      <c r="Z134" s="1">
        <f t="shared" si="26"/>
        <v>135</v>
      </c>
      <c r="AA134" s="1">
        <f t="shared" si="27"/>
        <v>162</v>
      </c>
      <c r="AB134" s="1">
        <f t="shared" si="28"/>
        <v>135</v>
      </c>
      <c r="AC134" s="1">
        <f t="shared" si="29"/>
        <v>166</v>
      </c>
      <c r="AD134" s="1">
        <f t="shared" si="30"/>
        <v>135</v>
      </c>
      <c r="AE134" s="1">
        <f t="shared" si="31"/>
        <v>168</v>
      </c>
      <c r="AF134" s="1">
        <f t="shared" si="32"/>
        <v>135</v>
      </c>
      <c r="AG134" s="1">
        <f t="shared" si="33"/>
        <v>172</v>
      </c>
      <c r="AH134" s="1">
        <f t="shared" ref="AH134:AI134" si="172">$B$1+$A134</f>
        <v>135</v>
      </c>
      <c r="AI134" s="1">
        <f t="shared" si="172"/>
        <v>135</v>
      </c>
      <c r="AJ134" s="1">
        <f t="shared" si="35"/>
        <v>176</v>
      </c>
      <c r="AK134" s="1">
        <f t="shared" si="36"/>
        <v>135</v>
      </c>
      <c r="AL134" s="1">
        <f t="shared" si="37"/>
        <v>182</v>
      </c>
      <c r="AM134" s="1">
        <f t="shared" si="38"/>
        <v>135</v>
      </c>
      <c r="AN134" s="1">
        <f t="shared" si="39"/>
        <v>185</v>
      </c>
      <c r="AO134" s="1">
        <f t="shared" si="40"/>
        <v>135</v>
      </c>
      <c r="AP134" s="1">
        <f t="shared" si="41"/>
        <v>194</v>
      </c>
      <c r="AR134" s="8">
        <f>COUNTIFS(score4pijlen,AP134) </f>
        <v>11</v>
      </c>
    </row>
    <row r="135">
      <c r="A135" s="2">
        <v>135.0</v>
      </c>
      <c r="B135" s="1">
        <f t="shared" si="2"/>
        <v>136</v>
      </c>
      <c r="C135" s="1">
        <f t="shared" si="3"/>
        <v>137</v>
      </c>
      <c r="D135" s="1">
        <f t="shared" si="4"/>
        <v>136</v>
      </c>
      <c r="E135" s="1">
        <f t="shared" si="5"/>
        <v>139</v>
      </c>
      <c r="F135" s="1">
        <f t="shared" si="6"/>
        <v>136</v>
      </c>
      <c r="G135" s="1">
        <f t="shared" si="7"/>
        <v>141</v>
      </c>
      <c r="H135" s="1">
        <f t="shared" si="8"/>
        <v>136</v>
      </c>
      <c r="I135" s="1">
        <f t="shared" si="9"/>
        <v>143</v>
      </c>
      <c r="J135" s="1">
        <f t="shared" si="10"/>
        <v>136</v>
      </c>
      <c r="K135" s="1">
        <f t="shared" si="11"/>
        <v>145</v>
      </c>
      <c r="L135" s="1">
        <f t="shared" si="12"/>
        <v>136</v>
      </c>
      <c r="M135" s="1">
        <f t="shared" si="13"/>
        <v>147</v>
      </c>
      <c r="N135" s="1">
        <f t="shared" si="14"/>
        <v>136</v>
      </c>
      <c r="O135" s="1">
        <f t="shared" si="15"/>
        <v>149</v>
      </c>
      <c r="P135" s="1">
        <f t="shared" si="16"/>
        <v>136</v>
      </c>
      <c r="Q135" s="1">
        <f t="shared" si="17"/>
        <v>151</v>
      </c>
      <c r="R135" s="1">
        <f t="shared" si="18"/>
        <v>136</v>
      </c>
      <c r="S135" s="1">
        <f t="shared" si="19"/>
        <v>153</v>
      </c>
      <c r="T135" s="1">
        <f t="shared" si="20"/>
        <v>136</v>
      </c>
      <c r="U135" s="1">
        <f t="shared" si="21"/>
        <v>155</v>
      </c>
      <c r="V135" s="1">
        <f t="shared" si="22"/>
        <v>136</v>
      </c>
      <c r="W135" s="1">
        <f t="shared" si="23"/>
        <v>157</v>
      </c>
      <c r="X135" s="1">
        <f t="shared" si="24"/>
        <v>136</v>
      </c>
      <c r="Y135" s="1">
        <f t="shared" si="25"/>
        <v>160</v>
      </c>
      <c r="Z135" s="1">
        <f t="shared" si="26"/>
        <v>136</v>
      </c>
      <c r="AA135" s="1">
        <f t="shared" si="27"/>
        <v>163</v>
      </c>
      <c r="AB135" s="1">
        <f t="shared" si="28"/>
        <v>136</v>
      </c>
      <c r="AC135" s="1">
        <f t="shared" si="29"/>
        <v>167</v>
      </c>
      <c r="AD135" s="1">
        <f t="shared" si="30"/>
        <v>136</v>
      </c>
      <c r="AE135" s="1">
        <f t="shared" si="31"/>
        <v>169</v>
      </c>
      <c r="AF135" s="1">
        <f t="shared" si="32"/>
        <v>136</v>
      </c>
      <c r="AG135" s="1">
        <f t="shared" si="33"/>
        <v>173</v>
      </c>
      <c r="AH135" s="1">
        <f t="shared" ref="AH135:AI135" si="173">$B$1+$A135</f>
        <v>136</v>
      </c>
      <c r="AI135" s="1">
        <f t="shared" si="173"/>
        <v>136</v>
      </c>
      <c r="AJ135" s="1">
        <f t="shared" si="35"/>
        <v>177</v>
      </c>
      <c r="AK135" s="1">
        <f t="shared" si="36"/>
        <v>136</v>
      </c>
      <c r="AL135" s="1">
        <f t="shared" si="37"/>
        <v>183</v>
      </c>
      <c r="AM135" s="1">
        <f t="shared" si="38"/>
        <v>136</v>
      </c>
      <c r="AN135" s="1">
        <f t="shared" si="39"/>
        <v>186</v>
      </c>
      <c r="AO135" s="1">
        <f t="shared" si="40"/>
        <v>136</v>
      </c>
      <c r="AP135" s="1">
        <f t="shared" si="41"/>
        <v>195</v>
      </c>
      <c r="AR135" s="8">
        <f>COUNTIFS(score4pijlen,AP135) </f>
        <v>10</v>
      </c>
    </row>
    <row r="136">
      <c r="A136" s="2">
        <v>136.0</v>
      </c>
      <c r="B136" s="1">
        <f t="shared" si="2"/>
        <v>137</v>
      </c>
      <c r="C136" s="1">
        <f t="shared" si="3"/>
        <v>138</v>
      </c>
      <c r="D136" s="1">
        <f t="shared" si="4"/>
        <v>137</v>
      </c>
      <c r="E136" s="1">
        <f t="shared" si="5"/>
        <v>140</v>
      </c>
      <c r="F136" s="1">
        <f t="shared" si="6"/>
        <v>137</v>
      </c>
      <c r="G136" s="1">
        <f t="shared" si="7"/>
        <v>142</v>
      </c>
      <c r="H136" s="1">
        <f t="shared" si="8"/>
        <v>137</v>
      </c>
      <c r="I136" s="1">
        <f t="shared" si="9"/>
        <v>144</v>
      </c>
      <c r="J136" s="1">
        <f t="shared" si="10"/>
        <v>137</v>
      </c>
      <c r="K136" s="1">
        <f t="shared" si="11"/>
        <v>146</v>
      </c>
      <c r="L136" s="1">
        <f t="shared" si="12"/>
        <v>137</v>
      </c>
      <c r="M136" s="1">
        <f t="shared" si="13"/>
        <v>148</v>
      </c>
      <c r="N136" s="1">
        <f t="shared" si="14"/>
        <v>137</v>
      </c>
      <c r="O136" s="1">
        <f t="shared" si="15"/>
        <v>150</v>
      </c>
      <c r="P136" s="1">
        <f t="shared" si="16"/>
        <v>137</v>
      </c>
      <c r="Q136" s="1">
        <f t="shared" si="17"/>
        <v>152</v>
      </c>
      <c r="R136" s="1">
        <f t="shared" si="18"/>
        <v>137</v>
      </c>
      <c r="S136" s="1">
        <f t="shared" si="19"/>
        <v>154</v>
      </c>
      <c r="T136" s="1">
        <f t="shared" si="20"/>
        <v>137</v>
      </c>
      <c r="U136" s="1">
        <f t="shared" si="21"/>
        <v>156</v>
      </c>
      <c r="V136" s="1">
        <f t="shared" si="22"/>
        <v>137</v>
      </c>
      <c r="W136" s="1">
        <f t="shared" si="23"/>
        <v>158</v>
      </c>
      <c r="X136" s="1">
        <f t="shared" si="24"/>
        <v>137</v>
      </c>
      <c r="Y136" s="1">
        <f t="shared" si="25"/>
        <v>161</v>
      </c>
      <c r="Z136" s="1">
        <f t="shared" si="26"/>
        <v>137</v>
      </c>
      <c r="AA136" s="1">
        <f t="shared" si="27"/>
        <v>164</v>
      </c>
      <c r="AB136" s="1">
        <f t="shared" si="28"/>
        <v>137</v>
      </c>
      <c r="AC136" s="1">
        <f t="shared" si="29"/>
        <v>168</v>
      </c>
      <c r="AD136" s="1">
        <f t="shared" si="30"/>
        <v>137</v>
      </c>
      <c r="AE136" s="1">
        <f t="shared" si="31"/>
        <v>170</v>
      </c>
      <c r="AF136" s="1">
        <f t="shared" si="32"/>
        <v>137</v>
      </c>
      <c r="AG136" s="1">
        <f t="shared" si="33"/>
        <v>174</v>
      </c>
      <c r="AH136" s="1">
        <f t="shared" ref="AH136:AI136" si="174">$B$1+$A136</f>
        <v>137</v>
      </c>
      <c r="AI136" s="1">
        <f t="shared" si="174"/>
        <v>137</v>
      </c>
      <c r="AJ136" s="1">
        <f t="shared" si="35"/>
        <v>178</v>
      </c>
      <c r="AK136" s="1">
        <f t="shared" si="36"/>
        <v>137</v>
      </c>
      <c r="AL136" s="1">
        <f t="shared" si="37"/>
        <v>184</v>
      </c>
      <c r="AM136" s="1">
        <f t="shared" si="38"/>
        <v>137</v>
      </c>
      <c r="AN136" s="1">
        <f t="shared" si="39"/>
        <v>187</v>
      </c>
      <c r="AO136" s="1">
        <f t="shared" si="40"/>
        <v>137</v>
      </c>
      <c r="AP136" s="1">
        <f t="shared" si="41"/>
        <v>196</v>
      </c>
      <c r="AR136" s="8">
        <f>COUNTIFS(score4pijlen,AP136) </f>
        <v>13</v>
      </c>
    </row>
    <row r="137">
      <c r="A137" s="2">
        <v>137.0</v>
      </c>
      <c r="B137" s="1">
        <f t="shared" si="2"/>
        <v>138</v>
      </c>
      <c r="C137" s="1">
        <f t="shared" si="3"/>
        <v>139</v>
      </c>
      <c r="D137" s="1">
        <f t="shared" si="4"/>
        <v>138</v>
      </c>
      <c r="E137" s="1">
        <f t="shared" si="5"/>
        <v>141</v>
      </c>
      <c r="F137" s="1">
        <f t="shared" si="6"/>
        <v>138</v>
      </c>
      <c r="G137" s="1">
        <f t="shared" si="7"/>
        <v>143</v>
      </c>
      <c r="H137" s="1">
        <f t="shared" si="8"/>
        <v>138</v>
      </c>
      <c r="I137" s="1">
        <f t="shared" si="9"/>
        <v>145</v>
      </c>
      <c r="J137" s="1">
        <f t="shared" si="10"/>
        <v>138</v>
      </c>
      <c r="K137" s="1">
        <f t="shared" si="11"/>
        <v>147</v>
      </c>
      <c r="L137" s="1">
        <f t="shared" si="12"/>
        <v>138</v>
      </c>
      <c r="M137" s="1">
        <f t="shared" si="13"/>
        <v>149</v>
      </c>
      <c r="N137" s="1">
        <f t="shared" si="14"/>
        <v>138</v>
      </c>
      <c r="O137" s="1">
        <f t="shared" si="15"/>
        <v>151</v>
      </c>
      <c r="P137" s="1">
        <f t="shared" si="16"/>
        <v>138</v>
      </c>
      <c r="Q137" s="1">
        <f t="shared" si="17"/>
        <v>153</v>
      </c>
      <c r="R137" s="1">
        <f t="shared" si="18"/>
        <v>138</v>
      </c>
      <c r="S137" s="1">
        <f t="shared" si="19"/>
        <v>155</v>
      </c>
      <c r="T137" s="1">
        <f t="shared" si="20"/>
        <v>138</v>
      </c>
      <c r="U137" s="1">
        <f t="shared" si="21"/>
        <v>157</v>
      </c>
      <c r="V137" s="1">
        <f t="shared" si="22"/>
        <v>138</v>
      </c>
      <c r="W137" s="1">
        <f t="shared" si="23"/>
        <v>159</v>
      </c>
      <c r="X137" s="1">
        <f t="shared" si="24"/>
        <v>138</v>
      </c>
      <c r="Y137" s="1">
        <f t="shared" si="25"/>
        <v>162</v>
      </c>
      <c r="Z137" s="1">
        <f t="shared" si="26"/>
        <v>138</v>
      </c>
      <c r="AA137" s="1">
        <f t="shared" si="27"/>
        <v>165</v>
      </c>
      <c r="AB137" s="1">
        <f t="shared" si="28"/>
        <v>138</v>
      </c>
      <c r="AC137" s="1">
        <f t="shared" si="29"/>
        <v>169</v>
      </c>
      <c r="AD137" s="1">
        <f t="shared" si="30"/>
        <v>138</v>
      </c>
      <c r="AE137" s="1">
        <f t="shared" si="31"/>
        <v>171</v>
      </c>
      <c r="AF137" s="1">
        <f t="shared" si="32"/>
        <v>138</v>
      </c>
      <c r="AG137" s="1">
        <f t="shared" si="33"/>
        <v>175</v>
      </c>
      <c r="AH137" s="1">
        <f t="shared" ref="AH137:AI137" si="175">$B$1+$A137</f>
        <v>138</v>
      </c>
      <c r="AI137" s="1">
        <f t="shared" si="175"/>
        <v>138</v>
      </c>
      <c r="AJ137" s="1">
        <f t="shared" si="35"/>
        <v>179</v>
      </c>
      <c r="AK137" s="1">
        <f t="shared" si="36"/>
        <v>138</v>
      </c>
      <c r="AL137" s="1">
        <f t="shared" si="37"/>
        <v>185</v>
      </c>
      <c r="AM137" s="1">
        <f t="shared" si="38"/>
        <v>138</v>
      </c>
      <c r="AN137" s="1">
        <f t="shared" si="39"/>
        <v>188</v>
      </c>
      <c r="AO137" s="1">
        <f t="shared" si="40"/>
        <v>138</v>
      </c>
      <c r="AP137" s="1">
        <f t="shared" si="41"/>
        <v>197</v>
      </c>
      <c r="AR137" s="8">
        <f>COUNTIFS(score4pijlen,AP137) </f>
        <v>8</v>
      </c>
    </row>
    <row r="138">
      <c r="A138" s="2">
        <v>138.0</v>
      </c>
      <c r="B138" s="1">
        <f t="shared" si="2"/>
        <v>139</v>
      </c>
      <c r="C138" s="1">
        <f t="shared" si="3"/>
        <v>140</v>
      </c>
      <c r="D138" s="1">
        <f t="shared" si="4"/>
        <v>139</v>
      </c>
      <c r="E138" s="1">
        <f t="shared" si="5"/>
        <v>142</v>
      </c>
      <c r="F138" s="1">
        <f t="shared" si="6"/>
        <v>139</v>
      </c>
      <c r="G138" s="1">
        <f t="shared" si="7"/>
        <v>144</v>
      </c>
      <c r="H138" s="1">
        <f t="shared" si="8"/>
        <v>139</v>
      </c>
      <c r="I138" s="1">
        <f t="shared" si="9"/>
        <v>146</v>
      </c>
      <c r="J138" s="1">
        <f t="shared" si="10"/>
        <v>139</v>
      </c>
      <c r="K138" s="1">
        <f t="shared" si="11"/>
        <v>148</v>
      </c>
      <c r="L138" s="1">
        <f t="shared" si="12"/>
        <v>139</v>
      </c>
      <c r="M138" s="1">
        <f t="shared" si="13"/>
        <v>150</v>
      </c>
      <c r="N138" s="1">
        <f t="shared" si="14"/>
        <v>139</v>
      </c>
      <c r="O138" s="1">
        <f t="shared" si="15"/>
        <v>152</v>
      </c>
      <c r="P138" s="1">
        <f t="shared" si="16"/>
        <v>139</v>
      </c>
      <c r="Q138" s="1">
        <f t="shared" si="17"/>
        <v>154</v>
      </c>
      <c r="R138" s="1">
        <f t="shared" si="18"/>
        <v>139</v>
      </c>
      <c r="S138" s="1">
        <f t="shared" si="19"/>
        <v>156</v>
      </c>
      <c r="T138" s="1">
        <f t="shared" si="20"/>
        <v>139</v>
      </c>
      <c r="U138" s="1">
        <f t="shared" si="21"/>
        <v>158</v>
      </c>
      <c r="V138" s="1">
        <f t="shared" si="22"/>
        <v>139</v>
      </c>
      <c r="W138" s="1">
        <f t="shared" si="23"/>
        <v>160</v>
      </c>
      <c r="X138" s="1">
        <f t="shared" si="24"/>
        <v>139</v>
      </c>
      <c r="Y138" s="1">
        <f t="shared" si="25"/>
        <v>163</v>
      </c>
      <c r="Z138" s="1">
        <f t="shared" si="26"/>
        <v>139</v>
      </c>
      <c r="AA138" s="1">
        <f t="shared" si="27"/>
        <v>166</v>
      </c>
      <c r="AB138" s="1">
        <f t="shared" si="28"/>
        <v>139</v>
      </c>
      <c r="AC138" s="1">
        <f t="shared" si="29"/>
        <v>170</v>
      </c>
      <c r="AD138" s="1">
        <f t="shared" si="30"/>
        <v>139</v>
      </c>
      <c r="AE138" s="1">
        <f t="shared" si="31"/>
        <v>172</v>
      </c>
      <c r="AF138" s="1">
        <f t="shared" si="32"/>
        <v>139</v>
      </c>
      <c r="AG138" s="1">
        <f t="shared" si="33"/>
        <v>176</v>
      </c>
      <c r="AH138" s="1">
        <f t="shared" ref="AH138:AI138" si="176">$B$1+$A138</f>
        <v>139</v>
      </c>
      <c r="AI138" s="1">
        <f t="shared" si="176"/>
        <v>139</v>
      </c>
      <c r="AJ138" s="1">
        <f t="shared" si="35"/>
        <v>180</v>
      </c>
      <c r="AK138" s="1">
        <f t="shared" si="36"/>
        <v>139</v>
      </c>
      <c r="AL138" s="1">
        <f t="shared" si="37"/>
        <v>186</v>
      </c>
      <c r="AM138" s="1">
        <f t="shared" si="38"/>
        <v>139</v>
      </c>
      <c r="AN138" s="1">
        <f t="shared" si="39"/>
        <v>189</v>
      </c>
      <c r="AO138" s="1">
        <f t="shared" si="40"/>
        <v>139</v>
      </c>
      <c r="AP138" s="1">
        <f t="shared" si="41"/>
        <v>198</v>
      </c>
      <c r="AR138" s="8">
        <f>COUNTIFS(score4pijlen,AP138) </f>
        <v>12</v>
      </c>
    </row>
    <row r="139">
      <c r="A139" s="2">
        <v>139.0</v>
      </c>
      <c r="B139" s="1">
        <f t="shared" si="2"/>
        <v>140</v>
      </c>
      <c r="C139" s="1">
        <f t="shared" si="3"/>
        <v>141</v>
      </c>
      <c r="D139" s="1">
        <f t="shared" si="4"/>
        <v>140</v>
      </c>
      <c r="E139" s="1">
        <f t="shared" si="5"/>
        <v>143</v>
      </c>
      <c r="F139" s="1">
        <f t="shared" si="6"/>
        <v>140</v>
      </c>
      <c r="G139" s="1">
        <f t="shared" si="7"/>
        <v>145</v>
      </c>
      <c r="H139" s="1">
        <f t="shared" si="8"/>
        <v>140</v>
      </c>
      <c r="I139" s="1">
        <f t="shared" si="9"/>
        <v>147</v>
      </c>
      <c r="J139" s="1">
        <f t="shared" si="10"/>
        <v>140</v>
      </c>
      <c r="K139" s="1">
        <f t="shared" si="11"/>
        <v>149</v>
      </c>
      <c r="L139" s="1">
        <f t="shared" si="12"/>
        <v>140</v>
      </c>
      <c r="M139" s="1">
        <f t="shared" si="13"/>
        <v>151</v>
      </c>
      <c r="N139" s="1">
        <f t="shared" si="14"/>
        <v>140</v>
      </c>
      <c r="O139" s="1">
        <f t="shared" si="15"/>
        <v>153</v>
      </c>
      <c r="P139" s="1">
        <f t="shared" si="16"/>
        <v>140</v>
      </c>
      <c r="Q139" s="1">
        <f t="shared" si="17"/>
        <v>155</v>
      </c>
      <c r="R139" s="1">
        <f t="shared" si="18"/>
        <v>140</v>
      </c>
      <c r="S139" s="1">
        <f t="shared" si="19"/>
        <v>157</v>
      </c>
      <c r="T139" s="1">
        <f t="shared" si="20"/>
        <v>140</v>
      </c>
      <c r="U139" s="1">
        <f t="shared" si="21"/>
        <v>159</v>
      </c>
      <c r="V139" s="1">
        <f t="shared" si="22"/>
        <v>140</v>
      </c>
      <c r="W139" s="1">
        <f t="shared" si="23"/>
        <v>161</v>
      </c>
      <c r="X139" s="1">
        <f t="shared" si="24"/>
        <v>140</v>
      </c>
      <c r="Y139" s="1">
        <f t="shared" si="25"/>
        <v>164</v>
      </c>
      <c r="Z139" s="1">
        <f t="shared" si="26"/>
        <v>140</v>
      </c>
      <c r="AA139" s="1">
        <f t="shared" si="27"/>
        <v>167</v>
      </c>
      <c r="AB139" s="1">
        <f t="shared" si="28"/>
        <v>140</v>
      </c>
      <c r="AC139" s="1">
        <f t="shared" si="29"/>
        <v>171</v>
      </c>
      <c r="AD139" s="1">
        <f t="shared" si="30"/>
        <v>140</v>
      </c>
      <c r="AE139" s="1">
        <f t="shared" si="31"/>
        <v>173</v>
      </c>
      <c r="AF139" s="1">
        <f t="shared" si="32"/>
        <v>140</v>
      </c>
      <c r="AG139" s="1">
        <f t="shared" si="33"/>
        <v>177</v>
      </c>
      <c r="AH139" s="1">
        <f t="shared" ref="AH139:AI139" si="177">$B$1+$A139</f>
        <v>140</v>
      </c>
      <c r="AI139" s="1">
        <f t="shared" si="177"/>
        <v>140</v>
      </c>
      <c r="AJ139" s="1">
        <f t="shared" si="35"/>
        <v>181</v>
      </c>
      <c r="AK139" s="1">
        <f t="shared" si="36"/>
        <v>140</v>
      </c>
      <c r="AL139" s="1">
        <f t="shared" si="37"/>
        <v>187</v>
      </c>
      <c r="AM139" s="1">
        <f t="shared" si="38"/>
        <v>140</v>
      </c>
      <c r="AN139" s="1">
        <f t="shared" si="39"/>
        <v>190</v>
      </c>
      <c r="AO139" s="1">
        <f t="shared" si="40"/>
        <v>140</v>
      </c>
      <c r="AP139" s="1">
        <f t="shared" si="41"/>
        <v>199</v>
      </c>
      <c r="AR139" s="8">
        <f>COUNTIFS(score4pijlen,AP139) </f>
        <v>12</v>
      </c>
    </row>
    <row r="140">
      <c r="A140" s="2">
        <v>140.0</v>
      </c>
      <c r="B140" s="1">
        <f t="shared" si="2"/>
        <v>141</v>
      </c>
      <c r="C140" s="1">
        <f t="shared" si="3"/>
        <v>142</v>
      </c>
      <c r="D140" s="1">
        <f t="shared" si="4"/>
        <v>141</v>
      </c>
      <c r="E140" s="1">
        <f t="shared" si="5"/>
        <v>144</v>
      </c>
      <c r="F140" s="1">
        <f t="shared" si="6"/>
        <v>141</v>
      </c>
      <c r="G140" s="1">
        <f t="shared" si="7"/>
        <v>146</v>
      </c>
      <c r="H140" s="1">
        <f t="shared" si="8"/>
        <v>141</v>
      </c>
      <c r="I140" s="1">
        <f t="shared" si="9"/>
        <v>148</v>
      </c>
      <c r="J140" s="1">
        <f t="shared" si="10"/>
        <v>141</v>
      </c>
      <c r="K140" s="1">
        <f t="shared" si="11"/>
        <v>150</v>
      </c>
      <c r="L140" s="1">
        <f t="shared" si="12"/>
        <v>141</v>
      </c>
      <c r="M140" s="1">
        <f t="shared" si="13"/>
        <v>152</v>
      </c>
      <c r="N140" s="1">
        <f t="shared" si="14"/>
        <v>141</v>
      </c>
      <c r="O140" s="1">
        <f t="shared" si="15"/>
        <v>154</v>
      </c>
      <c r="P140" s="1">
        <f t="shared" si="16"/>
        <v>141</v>
      </c>
      <c r="Q140" s="1">
        <f t="shared" si="17"/>
        <v>156</v>
      </c>
      <c r="R140" s="1">
        <f t="shared" si="18"/>
        <v>141</v>
      </c>
      <c r="S140" s="1">
        <f t="shared" si="19"/>
        <v>158</v>
      </c>
      <c r="T140" s="1">
        <f t="shared" si="20"/>
        <v>141</v>
      </c>
      <c r="U140" s="1">
        <f t="shared" si="21"/>
        <v>160</v>
      </c>
      <c r="V140" s="1">
        <f t="shared" si="22"/>
        <v>141</v>
      </c>
      <c r="W140" s="1">
        <f t="shared" si="23"/>
        <v>162</v>
      </c>
      <c r="X140" s="1">
        <f t="shared" si="24"/>
        <v>141</v>
      </c>
      <c r="Y140" s="1">
        <f t="shared" si="25"/>
        <v>165</v>
      </c>
      <c r="Z140" s="1">
        <f t="shared" si="26"/>
        <v>141</v>
      </c>
      <c r="AA140" s="1">
        <f t="shared" si="27"/>
        <v>168</v>
      </c>
      <c r="AB140" s="1">
        <f t="shared" si="28"/>
        <v>141</v>
      </c>
      <c r="AC140" s="1">
        <f t="shared" si="29"/>
        <v>172</v>
      </c>
      <c r="AD140" s="1">
        <f t="shared" si="30"/>
        <v>141</v>
      </c>
      <c r="AE140" s="1">
        <f t="shared" si="31"/>
        <v>174</v>
      </c>
      <c r="AF140" s="1">
        <f t="shared" si="32"/>
        <v>141</v>
      </c>
      <c r="AG140" s="1">
        <f t="shared" si="33"/>
        <v>178</v>
      </c>
      <c r="AH140" s="1">
        <f t="shared" ref="AH140:AI140" si="178">$B$1+$A140</f>
        <v>141</v>
      </c>
      <c r="AI140" s="1">
        <f t="shared" si="178"/>
        <v>141</v>
      </c>
      <c r="AJ140" s="1">
        <f t="shared" si="35"/>
        <v>182</v>
      </c>
      <c r="AK140" s="1">
        <f t="shared" si="36"/>
        <v>141</v>
      </c>
      <c r="AL140" s="1">
        <f t="shared" si="37"/>
        <v>188</v>
      </c>
      <c r="AM140" s="1">
        <f t="shared" si="38"/>
        <v>141</v>
      </c>
      <c r="AN140" s="1">
        <f t="shared" si="39"/>
        <v>191</v>
      </c>
      <c r="AO140" s="1">
        <f t="shared" si="40"/>
        <v>141</v>
      </c>
      <c r="AP140" s="1">
        <f t="shared" si="41"/>
        <v>200</v>
      </c>
      <c r="AR140" s="8">
        <f>COUNTIFS(score4pijlen,AP140) </f>
        <v>9</v>
      </c>
    </row>
    <row r="141">
      <c r="A141" s="2">
        <v>141.0</v>
      </c>
      <c r="B141" s="1">
        <f t="shared" si="2"/>
        <v>142</v>
      </c>
      <c r="C141" s="1">
        <f t="shared" si="3"/>
        <v>143</v>
      </c>
      <c r="D141" s="1">
        <f t="shared" si="4"/>
        <v>142</v>
      </c>
      <c r="E141" s="1">
        <f t="shared" si="5"/>
        <v>145</v>
      </c>
      <c r="F141" s="1">
        <f t="shared" si="6"/>
        <v>142</v>
      </c>
      <c r="G141" s="1">
        <f t="shared" si="7"/>
        <v>147</v>
      </c>
      <c r="H141" s="1">
        <f t="shared" si="8"/>
        <v>142</v>
      </c>
      <c r="I141" s="1">
        <f t="shared" si="9"/>
        <v>149</v>
      </c>
      <c r="J141" s="1">
        <f t="shared" si="10"/>
        <v>142</v>
      </c>
      <c r="K141" s="1">
        <f t="shared" si="11"/>
        <v>151</v>
      </c>
      <c r="L141" s="1">
        <f t="shared" si="12"/>
        <v>142</v>
      </c>
      <c r="M141" s="1">
        <f t="shared" si="13"/>
        <v>153</v>
      </c>
      <c r="N141" s="1">
        <f t="shared" si="14"/>
        <v>142</v>
      </c>
      <c r="O141" s="1">
        <f t="shared" si="15"/>
        <v>155</v>
      </c>
      <c r="P141" s="1">
        <f t="shared" si="16"/>
        <v>142</v>
      </c>
      <c r="Q141" s="1">
        <f t="shared" si="17"/>
        <v>157</v>
      </c>
      <c r="R141" s="1">
        <f t="shared" si="18"/>
        <v>142</v>
      </c>
      <c r="S141" s="1">
        <f t="shared" si="19"/>
        <v>159</v>
      </c>
      <c r="T141" s="1">
        <f t="shared" si="20"/>
        <v>142</v>
      </c>
      <c r="U141" s="1">
        <f t="shared" si="21"/>
        <v>161</v>
      </c>
      <c r="V141" s="1">
        <f t="shared" si="22"/>
        <v>142</v>
      </c>
      <c r="W141" s="1">
        <f t="shared" si="23"/>
        <v>163</v>
      </c>
      <c r="X141" s="1">
        <f t="shared" si="24"/>
        <v>142</v>
      </c>
      <c r="Y141" s="1">
        <f t="shared" si="25"/>
        <v>166</v>
      </c>
      <c r="Z141" s="1">
        <f t="shared" si="26"/>
        <v>142</v>
      </c>
      <c r="AA141" s="1">
        <f t="shared" si="27"/>
        <v>169</v>
      </c>
      <c r="AB141" s="1">
        <f t="shared" si="28"/>
        <v>142</v>
      </c>
      <c r="AC141" s="1">
        <f t="shared" si="29"/>
        <v>173</v>
      </c>
      <c r="AD141" s="1">
        <f t="shared" si="30"/>
        <v>142</v>
      </c>
      <c r="AE141" s="1">
        <f t="shared" si="31"/>
        <v>175</v>
      </c>
      <c r="AF141" s="1">
        <f t="shared" si="32"/>
        <v>142</v>
      </c>
      <c r="AG141" s="1">
        <f t="shared" si="33"/>
        <v>179</v>
      </c>
      <c r="AH141" s="1">
        <f t="shared" ref="AH141:AI141" si="179">$B$1+$A141</f>
        <v>142</v>
      </c>
      <c r="AI141" s="1">
        <f t="shared" si="179"/>
        <v>142</v>
      </c>
      <c r="AJ141" s="1">
        <f t="shared" si="35"/>
        <v>183</v>
      </c>
      <c r="AK141" s="1">
        <f t="shared" si="36"/>
        <v>142</v>
      </c>
      <c r="AL141" s="1">
        <f t="shared" si="37"/>
        <v>189</v>
      </c>
      <c r="AM141" s="1">
        <f t="shared" si="38"/>
        <v>142</v>
      </c>
      <c r="AN141" s="1">
        <f t="shared" si="39"/>
        <v>192</v>
      </c>
      <c r="AO141" s="1">
        <f t="shared" si="40"/>
        <v>142</v>
      </c>
      <c r="AP141" s="1">
        <f t="shared" si="41"/>
        <v>201</v>
      </c>
      <c r="AR141" s="8">
        <f>COUNTIFS(score4pijlen,AP141) </f>
        <v>7</v>
      </c>
    </row>
    <row r="142">
      <c r="A142" s="2">
        <v>142.0</v>
      </c>
      <c r="B142" s="1">
        <f t="shared" si="2"/>
        <v>143</v>
      </c>
      <c r="C142" s="1">
        <f t="shared" si="3"/>
        <v>144</v>
      </c>
      <c r="D142" s="1">
        <f t="shared" si="4"/>
        <v>143</v>
      </c>
      <c r="E142" s="1">
        <f t="shared" si="5"/>
        <v>146</v>
      </c>
      <c r="F142" s="1">
        <f t="shared" si="6"/>
        <v>143</v>
      </c>
      <c r="G142" s="1">
        <f t="shared" si="7"/>
        <v>148</v>
      </c>
      <c r="H142" s="1">
        <f t="shared" si="8"/>
        <v>143</v>
      </c>
      <c r="I142" s="1">
        <f t="shared" si="9"/>
        <v>150</v>
      </c>
      <c r="J142" s="1">
        <f t="shared" si="10"/>
        <v>143</v>
      </c>
      <c r="K142" s="1">
        <f t="shared" si="11"/>
        <v>152</v>
      </c>
      <c r="L142" s="1">
        <f t="shared" si="12"/>
        <v>143</v>
      </c>
      <c r="M142" s="1">
        <f t="shared" si="13"/>
        <v>154</v>
      </c>
      <c r="N142" s="1">
        <f t="shared" si="14"/>
        <v>143</v>
      </c>
      <c r="O142" s="1">
        <f t="shared" si="15"/>
        <v>156</v>
      </c>
      <c r="P142" s="1">
        <f t="shared" si="16"/>
        <v>143</v>
      </c>
      <c r="Q142" s="1">
        <f t="shared" si="17"/>
        <v>158</v>
      </c>
      <c r="R142" s="1">
        <f t="shared" si="18"/>
        <v>143</v>
      </c>
      <c r="S142" s="1">
        <f t="shared" si="19"/>
        <v>160</v>
      </c>
      <c r="T142" s="1">
        <f t="shared" si="20"/>
        <v>143</v>
      </c>
      <c r="U142" s="1">
        <f t="shared" si="21"/>
        <v>162</v>
      </c>
      <c r="V142" s="1">
        <f t="shared" si="22"/>
        <v>143</v>
      </c>
      <c r="W142" s="1">
        <f t="shared" si="23"/>
        <v>164</v>
      </c>
      <c r="X142" s="1">
        <f t="shared" si="24"/>
        <v>143</v>
      </c>
      <c r="Y142" s="1">
        <f t="shared" si="25"/>
        <v>167</v>
      </c>
      <c r="Z142" s="1">
        <f t="shared" si="26"/>
        <v>143</v>
      </c>
      <c r="AA142" s="1">
        <f t="shared" si="27"/>
        <v>170</v>
      </c>
      <c r="AB142" s="1">
        <f t="shared" si="28"/>
        <v>143</v>
      </c>
      <c r="AC142" s="1">
        <f t="shared" si="29"/>
        <v>174</v>
      </c>
      <c r="AD142" s="1">
        <f t="shared" si="30"/>
        <v>143</v>
      </c>
      <c r="AE142" s="1">
        <f t="shared" si="31"/>
        <v>176</v>
      </c>
      <c r="AF142" s="1">
        <f t="shared" si="32"/>
        <v>143</v>
      </c>
      <c r="AG142" s="1">
        <f t="shared" si="33"/>
        <v>180</v>
      </c>
      <c r="AH142" s="1">
        <f t="shared" ref="AH142:AI142" si="180">$B$1+$A142</f>
        <v>143</v>
      </c>
      <c r="AI142" s="1">
        <f t="shared" si="180"/>
        <v>143</v>
      </c>
      <c r="AJ142" s="1">
        <f t="shared" si="35"/>
        <v>184</v>
      </c>
      <c r="AK142" s="1">
        <f t="shared" si="36"/>
        <v>143</v>
      </c>
      <c r="AL142" s="1">
        <f t="shared" si="37"/>
        <v>190</v>
      </c>
      <c r="AM142" s="1">
        <f t="shared" si="38"/>
        <v>143</v>
      </c>
      <c r="AN142" s="1">
        <f t="shared" si="39"/>
        <v>193</v>
      </c>
      <c r="AO142" s="1">
        <f t="shared" si="40"/>
        <v>143</v>
      </c>
      <c r="AP142" s="1">
        <f t="shared" si="41"/>
        <v>202</v>
      </c>
      <c r="AR142" s="8">
        <f>COUNTIFS(score4pijlen,AP142) </f>
        <v>11</v>
      </c>
    </row>
    <row r="143">
      <c r="A143" s="2">
        <v>143.0</v>
      </c>
      <c r="B143" s="1">
        <f t="shared" si="2"/>
        <v>144</v>
      </c>
      <c r="C143" s="1">
        <f t="shared" si="3"/>
        <v>145</v>
      </c>
      <c r="D143" s="1">
        <f t="shared" si="4"/>
        <v>144</v>
      </c>
      <c r="E143" s="1">
        <f t="shared" si="5"/>
        <v>147</v>
      </c>
      <c r="F143" s="1">
        <f t="shared" si="6"/>
        <v>144</v>
      </c>
      <c r="G143" s="1">
        <f t="shared" si="7"/>
        <v>149</v>
      </c>
      <c r="H143" s="1">
        <f t="shared" si="8"/>
        <v>144</v>
      </c>
      <c r="I143" s="1">
        <f t="shared" si="9"/>
        <v>151</v>
      </c>
      <c r="J143" s="1">
        <f t="shared" si="10"/>
        <v>144</v>
      </c>
      <c r="K143" s="1">
        <f t="shared" si="11"/>
        <v>153</v>
      </c>
      <c r="L143" s="1">
        <f t="shared" si="12"/>
        <v>144</v>
      </c>
      <c r="M143" s="1">
        <f t="shared" si="13"/>
        <v>155</v>
      </c>
      <c r="N143" s="1">
        <f t="shared" si="14"/>
        <v>144</v>
      </c>
      <c r="O143" s="1">
        <f t="shared" si="15"/>
        <v>157</v>
      </c>
      <c r="P143" s="1">
        <f t="shared" si="16"/>
        <v>144</v>
      </c>
      <c r="Q143" s="1">
        <f t="shared" si="17"/>
        <v>159</v>
      </c>
      <c r="R143" s="1">
        <f t="shared" si="18"/>
        <v>144</v>
      </c>
      <c r="S143" s="1">
        <f t="shared" si="19"/>
        <v>161</v>
      </c>
      <c r="T143" s="1">
        <f t="shared" si="20"/>
        <v>144</v>
      </c>
      <c r="U143" s="1">
        <f t="shared" si="21"/>
        <v>163</v>
      </c>
      <c r="V143" s="1">
        <f t="shared" si="22"/>
        <v>144</v>
      </c>
      <c r="W143" s="1">
        <f t="shared" si="23"/>
        <v>165</v>
      </c>
      <c r="X143" s="1">
        <f t="shared" si="24"/>
        <v>144</v>
      </c>
      <c r="Y143" s="1">
        <f t="shared" si="25"/>
        <v>168</v>
      </c>
      <c r="Z143" s="1">
        <f t="shared" si="26"/>
        <v>144</v>
      </c>
      <c r="AA143" s="1">
        <f t="shared" si="27"/>
        <v>171</v>
      </c>
      <c r="AB143" s="1">
        <f t="shared" si="28"/>
        <v>144</v>
      </c>
      <c r="AC143" s="1">
        <f t="shared" si="29"/>
        <v>175</v>
      </c>
      <c r="AD143" s="1">
        <f t="shared" si="30"/>
        <v>144</v>
      </c>
      <c r="AE143" s="1">
        <f t="shared" si="31"/>
        <v>177</v>
      </c>
      <c r="AF143" s="1">
        <f t="shared" si="32"/>
        <v>144</v>
      </c>
      <c r="AG143" s="1">
        <f t="shared" si="33"/>
        <v>181</v>
      </c>
      <c r="AH143" s="1">
        <f t="shared" ref="AH143:AI143" si="181">$B$1+$A143</f>
        <v>144</v>
      </c>
      <c r="AI143" s="1">
        <f t="shared" si="181"/>
        <v>144</v>
      </c>
      <c r="AJ143" s="1">
        <f t="shared" si="35"/>
        <v>185</v>
      </c>
      <c r="AK143" s="1">
        <f t="shared" si="36"/>
        <v>144</v>
      </c>
      <c r="AL143" s="1">
        <f t="shared" si="37"/>
        <v>191</v>
      </c>
      <c r="AM143" s="1">
        <f t="shared" si="38"/>
        <v>144</v>
      </c>
      <c r="AN143" s="1">
        <f t="shared" si="39"/>
        <v>194</v>
      </c>
      <c r="AO143" s="1">
        <f t="shared" si="40"/>
        <v>144</v>
      </c>
      <c r="AP143" s="1">
        <f t="shared" si="41"/>
        <v>203</v>
      </c>
      <c r="AR143" s="8">
        <f>COUNTIFS(score4pijlen,AP143) </f>
        <v>7</v>
      </c>
    </row>
    <row r="144">
      <c r="A144" s="2">
        <v>144.0</v>
      </c>
      <c r="B144" s="1">
        <f t="shared" si="2"/>
        <v>145</v>
      </c>
      <c r="C144" s="1">
        <f t="shared" si="3"/>
        <v>146</v>
      </c>
      <c r="D144" s="1">
        <f t="shared" si="4"/>
        <v>145</v>
      </c>
      <c r="E144" s="1">
        <f t="shared" si="5"/>
        <v>148</v>
      </c>
      <c r="F144" s="1">
        <f t="shared" si="6"/>
        <v>145</v>
      </c>
      <c r="G144" s="1">
        <f t="shared" si="7"/>
        <v>150</v>
      </c>
      <c r="H144" s="1">
        <f t="shared" si="8"/>
        <v>145</v>
      </c>
      <c r="I144" s="1">
        <f t="shared" si="9"/>
        <v>152</v>
      </c>
      <c r="J144" s="1">
        <f t="shared" si="10"/>
        <v>145</v>
      </c>
      <c r="K144" s="1">
        <f t="shared" si="11"/>
        <v>154</v>
      </c>
      <c r="L144" s="1">
        <f t="shared" si="12"/>
        <v>145</v>
      </c>
      <c r="M144" s="1">
        <f t="shared" si="13"/>
        <v>156</v>
      </c>
      <c r="N144" s="1">
        <f t="shared" si="14"/>
        <v>145</v>
      </c>
      <c r="O144" s="1">
        <f t="shared" si="15"/>
        <v>158</v>
      </c>
      <c r="P144" s="1">
        <f t="shared" si="16"/>
        <v>145</v>
      </c>
      <c r="Q144" s="1">
        <f t="shared" si="17"/>
        <v>160</v>
      </c>
      <c r="R144" s="1">
        <f t="shared" si="18"/>
        <v>145</v>
      </c>
      <c r="S144" s="1">
        <f t="shared" si="19"/>
        <v>162</v>
      </c>
      <c r="T144" s="1">
        <f t="shared" si="20"/>
        <v>145</v>
      </c>
      <c r="U144" s="1">
        <f t="shared" si="21"/>
        <v>164</v>
      </c>
      <c r="V144" s="1">
        <f t="shared" si="22"/>
        <v>145</v>
      </c>
      <c r="W144" s="1">
        <f t="shared" si="23"/>
        <v>166</v>
      </c>
      <c r="X144" s="1">
        <f t="shared" si="24"/>
        <v>145</v>
      </c>
      <c r="Y144" s="1">
        <f t="shared" si="25"/>
        <v>169</v>
      </c>
      <c r="Z144" s="1">
        <f t="shared" si="26"/>
        <v>145</v>
      </c>
      <c r="AA144" s="1">
        <f t="shared" si="27"/>
        <v>172</v>
      </c>
      <c r="AB144" s="1">
        <f t="shared" si="28"/>
        <v>145</v>
      </c>
      <c r="AC144" s="1">
        <f t="shared" si="29"/>
        <v>176</v>
      </c>
      <c r="AD144" s="1">
        <f t="shared" si="30"/>
        <v>145</v>
      </c>
      <c r="AE144" s="1">
        <f t="shared" si="31"/>
        <v>178</v>
      </c>
      <c r="AF144" s="1">
        <f t="shared" si="32"/>
        <v>145</v>
      </c>
      <c r="AG144" s="1">
        <f t="shared" si="33"/>
        <v>182</v>
      </c>
      <c r="AH144" s="1">
        <f t="shared" ref="AH144:AI144" si="182">$B$1+$A144</f>
        <v>145</v>
      </c>
      <c r="AI144" s="1">
        <f t="shared" si="182"/>
        <v>145</v>
      </c>
      <c r="AJ144" s="1">
        <f t="shared" si="35"/>
        <v>186</v>
      </c>
      <c r="AK144" s="1">
        <f t="shared" si="36"/>
        <v>145</v>
      </c>
      <c r="AL144" s="1">
        <f t="shared" si="37"/>
        <v>192</v>
      </c>
      <c r="AM144" s="1">
        <f t="shared" si="38"/>
        <v>145</v>
      </c>
      <c r="AN144" s="1">
        <f t="shared" si="39"/>
        <v>195</v>
      </c>
      <c r="AO144" s="1">
        <f t="shared" si="40"/>
        <v>145</v>
      </c>
      <c r="AP144" s="1">
        <f t="shared" si="41"/>
        <v>204</v>
      </c>
      <c r="AR144" s="8">
        <f>COUNTIFS(score4pijlen,AP144) </f>
        <v>7</v>
      </c>
    </row>
    <row r="145">
      <c r="A145" s="2">
        <v>145.0</v>
      </c>
      <c r="B145" s="1">
        <f t="shared" si="2"/>
        <v>146</v>
      </c>
      <c r="C145" s="1">
        <f t="shared" si="3"/>
        <v>147</v>
      </c>
      <c r="D145" s="1">
        <f t="shared" si="4"/>
        <v>146</v>
      </c>
      <c r="E145" s="1">
        <f t="shared" si="5"/>
        <v>149</v>
      </c>
      <c r="F145" s="1">
        <f t="shared" si="6"/>
        <v>146</v>
      </c>
      <c r="G145" s="1">
        <f t="shared" si="7"/>
        <v>151</v>
      </c>
      <c r="H145" s="1">
        <f t="shared" si="8"/>
        <v>146</v>
      </c>
      <c r="I145" s="1">
        <f t="shared" si="9"/>
        <v>153</v>
      </c>
      <c r="J145" s="1">
        <f t="shared" si="10"/>
        <v>146</v>
      </c>
      <c r="K145" s="1">
        <f t="shared" si="11"/>
        <v>155</v>
      </c>
      <c r="L145" s="1">
        <f t="shared" si="12"/>
        <v>146</v>
      </c>
      <c r="M145" s="1">
        <f t="shared" si="13"/>
        <v>157</v>
      </c>
      <c r="N145" s="1">
        <f t="shared" si="14"/>
        <v>146</v>
      </c>
      <c r="O145" s="1">
        <f t="shared" si="15"/>
        <v>159</v>
      </c>
      <c r="P145" s="1">
        <f t="shared" si="16"/>
        <v>146</v>
      </c>
      <c r="Q145" s="1">
        <f t="shared" si="17"/>
        <v>161</v>
      </c>
      <c r="R145" s="1">
        <f t="shared" si="18"/>
        <v>146</v>
      </c>
      <c r="S145" s="1">
        <f t="shared" si="19"/>
        <v>163</v>
      </c>
      <c r="T145" s="1">
        <f t="shared" si="20"/>
        <v>146</v>
      </c>
      <c r="U145" s="1">
        <f t="shared" si="21"/>
        <v>165</v>
      </c>
      <c r="V145" s="1">
        <f t="shared" si="22"/>
        <v>146</v>
      </c>
      <c r="W145" s="1">
        <f t="shared" si="23"/>
        <v>167</v>
      </c>
      <c r="X145" s="1">
        <f t="shared" si="24"/>
        <v>146</v>
      </c>
      <c r="Y145" s="1">
        <f t="shared" si="25"/>
        <v>170</v>
      </c>
      <c r="Z145" s="1">
        <f t="shared" si="26"/>
        <v>146</v>
      </c>
      <c r="AA145" s="1">
        <f t="shared" si="27"/>
        <v>173</v>
      </c>
      <c r="AB145" s="1">
        <f t="shared" si="28"/>
        <v>146</v>
      </c>
      <c r="AC145" s="1">
        <f t="shared" si="29"/>
        <v>177</v>
      </c>
      <c r="AD145" s="1">
        <f t="shared" si="30"/>
        <v>146</v>
      </c>
      <c r="AE145" s="1">
        <f t="shared" si="31"/>
        <v>179</v>
      </c>
      <c r="AF145" s="1">
        <f t="shared" si="32"/>
        <v>146</v>
      </c>
      <c r="AG145" s="1">
        <f t="shared" si="33"/>
        <v>183</v>
      </c>
      <c r="AH145" s="1">
        <f t="shared" ref="AH145:AI145" si="183">$B$1+$A145</f>
        <v>146</v>
      </c>
      <c r="AI145" s="1">
        <f t="shared" si="183"/>
        <v>146</v>
      </c>
      <c r="AJ145" s="1">
        <f t="shared" si="35"/>
        <v>187</v>
      </c>
      <c r="AK145" s="1">
        <f t="shared" si="36"/>
        <v>146</v>
      </c>
      <c r="AL145" s="1">
        <f t="shared" si="37"/>
        <v>193</v>
      </c>
      <c r="AM145" s="1">
        <f t="shared" si="38"/>
        <v>146</v>
      </c>
      <c r="AN145" s="1">
        <f t="shared" si="39"/>
        <v>196</v>
      </c>
      <c r="AO145" s="1">
        <f t="shared" si="40"/>
        <v>146</v>
      </c>
      <c r="AP145" s="1">
        <f t="shared" si="41"/>
        <v>205</v>
      </c>
      <c r="AR145" s="8">
        <f>COUNTIFS(score4pijlen,AP145) </f>
        <v>7</v>
      </c>
    </row>
    <row r="146">
      <c r="A146" s="2">
        <v>146.0</v>
      </c>
      <c r="B146" s="1">
        <f t="shared" si="2"/>
        <v>147</v>
      </c>
      <c r="C146" s="1">
        <f t="shared" si="3"/>
        <v>148</v>
      </c>
      <c r="D146" s="1">
        <f t="shared" si="4"/>
        <v>147</v>
      </c>
      <c r="E146" s="1">
        <f t="shared" si="5"/>
        <v>150</v>
      </c>
      <c r="F146" s="1">
        <f t="shared" si="6"/>
        <v>147</v>
      </c>
      <c r="G146" s="1">
        <f t="shared" si="7"/>
        <v>152</v>
      </c>
      <c r="H146" s="1">
        <f t="shared" si="8"/>
        <v>147</v>
      </c>
      <c r="I146" s="1">
        <f t="shared" si="9"/>
        <v>154</v>
      </c>
      <c r="J146" s="1">
        <f t="shared" si="10"/>
        <v>147</v>
      </c>
      <c r="K146" s="1">
        <f t="shared" si="11"/>
        <v>156</v>
      </c>
      <c r="L146" s="1">
        <f t="shared" si="12"/>
        <v>147</v>
      </c>
      <c r="M146" s="1">
        <f t="shared" si="13"/>
        <v>158</v>
      </c>
      <c r="N146" s="1">
        <f t="shared" si="14"/>
        <v>147</v>
      </c>
      <c r="O146" s="1">
        <f t="shared" si="15"/>
        <v>160</v>
      </c>
      <c r="P146" s="1">
        <f t="shared" si="16"/>
        <v>147</v>
      </c>
      <c r="Q146" s="1">
        <f t="shared" si="17"/>
        <v>162</v>
      </c>
      <c r="R146" s="1">
        <f t="shared" si="18"/>
        <v>147</v>
      </c>
      <c r="S146" s="1">
        <f t="shared" si="19"/>
        <v>164</v>
      </c>
      <c r="T146" s="1">
        <f t="shared" si="20"/>
        <v>147</v>
      </c>
      <c r="U146" s="1">
        <f t="shared" si="21"/>
        <v>166</v>
      </c>
      <c r="V146" s="1">
        <f t="shared" si="22"/>
        <v>147</v>
      </c>
      <c r="W146" s="1">
        <f t="shared" si="23"/>
        <v>168</v>
      </c>
      <c r="X146" s="1">
        <f t="shared" si="24"/>
        <v>147</v>
      </c>
      <c r="Y146" s="1">
        <f t="shared" si="25"/>
        <v>171</v>
      </c>
      <c r="Z146" s="1">
        <f t="shared" si="26"/>
        <v>147</v>
      </c>
      <c r="AA146" s="1">
        <f t="shared" si="27"/>
        <v>174</v>
      </c>
      <c r="AB146" s="1">
        <f t="shared" si="28"/>
        <v>147</v>
      </c>
      <c r="AC146" s="1">
        <f t="shared" si="29"/>
        <v>178</v>
      </c>
      <c r="AD146" s="1">
        <f t="shared" si="30"/>
        <v>147</v>
      </c>
      <c r="AE146" s="1">
        <f t="shared" si="31"/>
        <v>180</v>
      </c>
      <c r="AF146" s="1">
        <f t="shared" si="32"/>
        <v>147</v>
      </c>
      <c r="AG146" s="1">
        <f t="shared" si="33"/>
        <v>184</v>
      </c>
      <c r="AH146" s="1">
        <f t="shared" ref="AH146:AI146" si="184">$B$1+$A146</f>
        <v>147</v>
      </c>
      <c r="AI146" s="1">
        <f t="shared" si="184"/>
        <v>147</v>
      </c>
      <c r="AJ146" s="1">
        <f t="shared" si="35"/>
        <v>188</v>
      </c>
      <c r="AK146" s="1">
        <f t="shared" si="36"/>
        <v>147</v>
      </c>
      <c r="AL146" s="1">
        <f t="shared" si="37"/>
        <v>194</v>
      </c>
      <c r="AM146" s="1">
        <f t="shared" si="38"/>
        <v>147</v>
      </c>
      <c r="AN146" s="1">
        <f t="shared" si="39"/>
        <v>197</v>
      </c>
      <c r="AO146" s="1">
        <f t="shared" si="40"/>
        <v>147</v>
      </c>
      <c r="AP146" s="1">
        <f t="shared" si="41"/>
        <v>206</v>
      </c>
      <c r="AR146" s="8">
        <f>COUNTIFS(score4pijlen,AP146) </f>
        <v>6</v>
      </c>
    </row>
    <row r="147">
      <c r="A147" s="2">
        <v>147.0</v>
      </c>
      <c r="B147" s="1">
        <f t="shared" si="2"/>
        <v>148</v>
      </c>
      <c r="C147" s="1">
        <f t="shared" si="3"/>
        <v>149</v>
      </c>
      <c r="D147" s="1">
        <f t="shared" si="4"/>
        <v>148</v>
      </c>
      <c r="E147" s="1">
        <f t="shared" si="5"/>
        <v>151</v>
      </c>
      <c r="F147" s="1">
        <f t="shared" si="6"/>
        <v>148</v>
      </c>
      <c r="G147" s="1">
        <f t="shared" si="7"/>
        <v>153</v>
      </c>
      <c r="H147" s="1">
        <f t="shared" si="8"/>
        <v>148</v>
      </c>
      <c r="I147" s="1">
        <f t="shared" si="9"/>
        <v>155</v>
      </c>
      <c r="J147" s="1">
        <f t="shared" si="10"/>
        <v>148</v>
      </c>
      <c r="K147" s="1">
        <f t="shared" si="11"/>
        <v>157</v>
      </c>
      <c r="L147" s="1">
        <f t="shared" si="12"/>
        <v>148</v>
      </c>
      <c r="M147" s="1">
        <f t="shared" si="13"/>
        <v>159</v>
      </c>
      <c r="N147" s="1">
        <f t="shared" si="14"/>
        <v>148</v>
      </c>
      <c r="O147" s="1">
        <f t="shared" si="15"/>
        <v>161</v>
      </c>
      <c r="P147" s="1">
        <f t="shared" si="16"/>
        <v>148</v>
      </c>
      <c r="Q147" s="1">
        <f t="shared" si="17"/>
        <v>163</v>
      </c>
      <c r="R147" s="1">
        <f t="shared" si="18"/>
        <v>148</v>
      </c>
      <c r="S147" s="1">
        <f t="shared" si="19"/>
        <v>165</v>
      </c>
      <c r="T147" s="1">
        <f t="shared" si="20"/>
        <v>148</v>
      </c>
      <c r="U147" s="1">
        <f t="shared" si="21"/>
        <v>167</v>
      </c>
      <c r="V147" s="1">
        <f t="shared" si="22"/>
        <v>148</v>
      </c>
      <c r="W147" s="1">
        <f t="shared" si="23"/>
        <v>169</v>
      </c>
      <c r="X147" s="1">
        <f t="shared" si="24"/>
        <v>148</v>
      </c>
      <c r="Y147" s="1">
        <f t="shared" si="25"/>
        <v>172</v>
      </c>
      <c r="Z147" s="1">
        <f t="shared" si="26"/>
        <v>148</v>
      </c>
      <c r="AA147" s="1">
        <f t="shared" si="27"/>
        <v>175</v>
      </c>
      <c r="AB147" s="1">
        <f t="shared" si="28"/>
        <v>148</v>
      </c>
      <c r="AC147" s="1">
        <f t="shared" si="29"/>
        <v>179</v>
      </c>
      <c r="AD147" s="1">
        <f t="shared" si="30"/>
        <v>148</v>
      </c>
      <c r="AE147" s="1">
        <f t="shared" si="31"/>
        <v>181</v>
      </c>
      <c r="AF147" s="1">
        <f t="shared" si="32"/>
        <v>148</v>
      </c>
      <c r="AG147" s="1">
        <f t="shared" si="33"/>
        <v>185</v>
      </c>
      <c r="AH147" s="1">
        <f t="shared" ref="AH147:AI147" si="185">$B$1+$A147</f>
        <v>148</v>
      </c>
      <c r="AI147" s="1">
        <f t="shared" si="185"/>
        <v>148</v>
      </c>
      <c r="AJ147" s="1">
        <f t="shared" si="35"/>
        <v>189</v>
      </c>
      <c r="AK147" s="1">
        <f t="shared" si="36"/>
        <v>148</v>
      </c>
      <c r="AL147" s="1">
        <f t="shared" si="37"/>
        <v>195</v>
      </c>
      <c r="AM147" s="1">
        <f t="shared" si="38"/>
        <v>148</v>
      </c>
      <c r="AN147" s="1">
        <f t="shared" si="39"/>
        <v>198</v>
      </c>
      <c r="AO147" s="1">
        <f t="shared" si="40"/>
        <v>148</v>
      </c>
      <c r="AP147" s="1">
        <f t="shared" si="41"/>
        <v>207</v>
      </c>
      <c r="AR147" s="8">
        <f>COUNTIFS(score4pijlen,AP147) </f>
        <v>5</v>
      </c>
    </row>
    <row r="148">
      <c r="A148" s="2">
        <v>148.0</v>
      </c>
      <c r="B148" s="1">
        <f t="shared" si="2"/>
        <v>149</v>
      </c>
      <c r="C148" s="1">
        <f t="shared" si="3"/>
        <v>150</v>
      </c>
      <c r="D148" s="1">
        <f t="shared" si="4"/>
        <v>149</v>
      </c>
      <c r="E148" s="1">
        <f t="shared" si="5"/>
        <v>152</v>
      </c>
      <c r="F148" s="1">
        <f t="shared" si="6"/>
        <v>149</v>
      </c>
      <c r="G148" s="1">
        <f t="shared" si="7"/>
        <v>154</v>
      </c>
      <c r="H148" s="1">
        <f t="shared" si="8"/>
        <v>149</v>
      </c>
      <c r="I148" s="1">
        <f t="shared" si="9"/>
        <v>156</v>
      </c>
      <c r="J148" s="1">
        <f t="shared" si="10"/>
        <v>149</v>
      </c>
      <c r="K148" s="1">
        <f t="shared" si="11"/>
        <v>158</v>
      </c>
      <c r="L148" s="1">
        <f t="shared" si="12"/>
        <v>149</v>
      </c>
      <c r="M148" s="1">
        <f t="shared" si="13"/>
        <v>160</v>
      </c>
      <c r="N148" s="1">
        <f t="shared" si="14"/>
        <v>149</v>
      </c>
      <c r="O148" s="1">
        <f t="shared" si="15"/>
        <v>162</v>
      </c>
      <c r="P148" s="1">
        <f t="shared" si="16"/>
        <v>149</v>
      </c>
      <c r="Q148" s="1">
        <f t="shared" si="17"/>
        <v>164</v>
      </c>
      <c r="R148" s="1">
        <f t="shared" si="18"/>
        <v>149</v>
      </c>
      <c r="S148" s="1">
        <f t="shared" si="19"/>
        <v>166</v>
      </c>
      <c r="T148" s="1">
        <f t="shared" si="20"/>
        <v>149</v>
      </c>
      <c r="U148" s="1">
        <f t="shared" si="21"/>
        <v>168</v>
      </c>
      <c r="V148" s="1">
        <f t="shared" si="22"/>
        <v>149</v>
      </c>
      <c r="W148" s="1">
        <f t="shared" si="23"/>
        <v>170</v>
      </c>
      <c r="X148" s="1">
        <f t="shared" si="24"/>
        <v>149</v>
      </c>
      <c r="Y148" s="1">
        <f t="shared" si="25"/>
        <v>173</v>
      </c>
      <c r="Z148" s="1">
        <f t="shared" si="26"/>
        <v>149</v>
      </c>
      <c r="AA148" s="1">
        <f t="shared" si="27"/>
        <v>176</v>
      </c>
      <c r="AB148" s="1">
        <f t="shared" si="28"/>
        <v>149</v>
      </c>
      <c r="AC148" s="1">
        <f t="shared" si="29"/>
        <v>180</v>
      </c>
      <c r="AD148" s="1">
        <f t="shared" si="30"/>
        <v>149</v>
      </c>
      <c r="AE148" s="1">
        <f t="shared" si="31"/>
        <v>182</v>
      </c>
      <c r="AF148" s="1">
        <f t="shared" si="32"/>
        <v>149</v>
      </c>
      <c r="AG148" s="1">
        <f t="shared" si="33"/>
        <v>186</v>
      </c>
      <c r="AH148" s="1">
        <f t="shared" ref="AH148:AI148" si="186">$B$1+$A148</f>
        <v>149</v>
      </c>
      <c r="AI148" s="1">
        <f t="shared" si="186"/>
        <v>149</v>
      </c>
      <c r="AJ148" s="1">
        <f t="shared" si="35"/>
        <v>190</v>
      </c>
      <c r="AK148" s="1">
        <f t="shared" si="36"/>
        <v>149</v>
      </c>
      <c r="AL148" s="1">
        <f t="shared" si="37"/>
        <v>196</v>
      </c>
      <c r="AM148" s="1">
        <f t="shared" si="38"/>
        <v>149</v>
      </c>
      <c r="AN148" s="1">
        <f t="shared" si="39"/>
        <v>199</v>
      </c>
      <c r="AO148" s="1">
        <f t="shared" si="40"/>
        <v>149</v>
      </c>
      <c r="AP148" s="1">
        <f t="shared" si="41"/>
        <v>208</v>
      </c>
      <c r="AR148" s="8">
        <f>COUNTIFS(score4pijlen,AP148) </f>
        <v>6</v>
      </c>
    </row>
    <row r="149">
      <c r="A149" s="2">
        <v>149.0</v>
      </c>
      <c r="B149" s="1">
        <f t="shared" si="2"/>
        <v>150</v>
      </c>
      <c r="C149" s="1">
        <f t="shared" si="3"/>
        <v>151</v>
      </c>
      <c r="D149" s="1">
        <f t="shared" si="4"/>
        <v>150</v>
      </c>
      <c r="E149" s="1">
        <f t="shared" si="5"/>
        <v>153</v>
      </c>
      <c r="F149" s="1">
        <f t="shared" si="6"/>
        <v>150</v>
      </c>
      <c r="G149" s="1">
        <f t="shared" si="7"/>
        <v>155</v>
      </c>
      <c r="H149" s="1">
        <f t="shared" si="8"/>
        <v>150</v>
      </c>
      <c r="I149" s="1">
        <f t="shared" si="9"/>
        <v>157</v>
      </c>
      <c r="J149" s="1">
        <f t="shared" si="10"/>
        <v>150</v>
      </c>
      <c r="K149" s="1">
        <f t="shared" si="11"/>
        <v>159</v>
      </c>
      <c r="L149" s="1">
        <f t="shared" si="12"/>
        <v>150</v>
      </c>
      <c r="M149" s="1">
        <f t="shared" si="13"/>
        <v>161</v>
      </c>
      <c r="N149" s="1">
        <f t="shared" si="14"/>
        <v>150</v>
      </c>
      <c r="O149" s="1">
        <f t="shared" si="15"/>
        <v>163</v>
      </c>
      <c r="P149" s="1">
        <f t="shared" si="16"/>
        <v>150</v>
      </c>
      <c r="Q149" s="1">
        <f t="shared" si="17"/>
        <v>165</v>
      </c>
      <c r="R149" s="1">
        <f t="shared" si="18"/>
        <v>150</v>
      </c>
      <c r="S149" s="1">
        <f t="shared" si="19"/>
        <v>167</v>
      </c>
      <c r="T149" s="1">
        <f t="shared" si="20"/>
        <v>150</v>
      </c>
      <c r="U149" s="1">
        <f t="shared" si="21"/>
        <v>169</v>
      </c>
      <c r="V149" s="1">
        <f t="shared" si="22"/>
        <v>150</v>
      </c>
      <c r="W149" s="1">
        <f t="shared" si="23"/>
        <v>171</v>
      </c>
      <c r="X149" s="1">
        <f t="shared" si="24"/>
        <v>150</v>
      </c>
      <c r="Y149" s="1">
        <f t="shared" si="25"/>
        <v>174</v>
      </c>
      <c r="Z149" s="1">
        <f t="shared" si="26"/>
        <v>150</v>
      </c>
      <c r="AA149" s="1">
        <f t="shared" si="27"/>
        <v>177</v>
      </c>
      <c r="AB149" s="1">
        <f t="shared" si="28"/>
        <v>150</v>
      </c>
      <c r="AC149" s="1">
        <f t="shared" si="29"/>
        <v>181</v>
      </c>
      <c r="AD149" s="1">
        <f t="shared" si="30"/>
        <v>150</v>
      </c>
      <c r="AE149" s="1">
        <f t="shared" si="31"/>
        <v>183</v>
      </c>
      <c r="AF149" s="1">
        <f t="shared" si="32"/>
        <v>150</v>
      </c>
      <c r="AG149" s="1">
        <f t="shared" si="33"/>
        <v>187</v>
      </c>
      <c r="AH149" s="1">
        <f t="shared" ref="AH149:AI149" si="187">$B$1+$A149</f>
        <v>150</v>
      </c>
      <c r="AI149" s="1">
        <f t="shared" si="187"/>
        <v>150</v>
      </c>
      <c r="AJ149" s="1">
        <f t="shared" si="35"/>
        <v>191</v>
      </c>
      <c r="AK149" s="1">
        <f t="shared" si="36"/>
        <v>150</v>
      </c>
      <c r="AL149" s="1">
        <f t="shared" si="37"/>
        <v>197</v>
      </c>
      <c r="AM149" s="1">
        <f t="shared" si="38"/>
        <v>150</v>
      </c>
      <c r="AN149" s="1">
        <f t="shared" si="39"/>
        <v>200</v>
      </c>
      <c r="AO149" s="1">
        <f t="shared" si="40"/>
        <v>150</v>
      </c>
      <c r="AP149" s="1">
        <f t="shared" si="41"/>
        <v>209</v>
      </c>
      <c r="AR149" s="8">
        <f>COUNTIFS(score4pijlen,AP149) </f>
        <v>5</v>
      </c>
    </row>
    <row r="150">
      <c r="A150" s="2">
        <v>150.0</v>
      </c>
      <c r="B150" s="1">
        <f t="shared" si="2"/>
        <v>151</v>
      </c>
      <c r="C150" s="1">
        <f t="shared" si="3"/>
        <v>152</v>
      </c>
      <c r="D150" s="1">
        <f t="shared" si="4"/>
        <v>151</v>
      </c>
      <c r="E150" s="1">
        <f t="shared" si="5"/>
        <v>154</v>
      </c>
      <c r="F150" s="1">
        <f t="shared" si="6"/>
        <v>151</v>
      </c>
      <c r="G150" s="1">
        <f t="shared" si="7"/>
        <v>156</v>
      </c>
      <c r="H150" s="1">
        <f t="shared" si="8"/>
        <v>151</v>
      </c>
      <c r="I150" s="1">
        <f t="shared" si="9"/>
        <v>158</v>
      </c>
      <c r="J150" s="1">
        <f t="shared" si="10"/>
        <v>151</v>
      </c>
      <c r="K150" s="1">
        <f t="shared" si="11"/>
        <v>160</v>
      </c>
      <c r="L150" s="1">
        <f t="shared" si="12"/>
        <v>151</v>
      </c>
      <c r="M150" s="1">
        <f t="shared" si="13"/>
        <v>162</v>
      </c>
      <c r="N150" s="1">
        <f t="shared" si="14"/>
        <v>151</v>
      </c>
      <c r="O150" s="1">
        <f t="shared" si="15"/>
        <v>164</v>
      </c>
      <c r="P150" s="1">
        <f t="shared" si="16"/>
        <v>151</v>
      </c>
      <c r="Q150" s="1">
        <f t="shared" si="17"/>
        <v>166</v>
      </c>
      <c r="R150" s="1">
        <f t="shared" si="18"/>
        <v>151</v>
      </c>
      <c r="S150" s="1">
        <f t="shared" si="19"/>
        <v>168</v>
      </c>
      <c r="T150" s="1">
        <f t="shared" si="20"/>
        <v>151</v>
      </c>
      <c r="U150" s="1">
        <f t="shared" si="21"/>
        <v>170</v>
      </c>
      <c r="V150" s="1">
        <f t="shared" si="22"/>
        <v>151</v>
      </c>
      <c r="W150" s="1">
        <f t="shared" si="23"/>
        <v>172</v>
      </c>
      <c r="X150" s="1">
        <f t="shared" si="24"/>
        <v>151</v>
      </c>
      <c r="Y150" s="1">
        <f t="shared" si="25"/>
        <v>175</v>
      </c>
      <c r="Z150" s="1">
        <f t="shared" si="26"/>
        <v>151</v>
      </c>
      <c r="AA150" s="1">
        <f t="shared" si="27"/>
        <v>178</v>
      </c>
      <c r="AB150" s="1">
        <f t="shared" si="28"/>
        <v>151</v>
      </c>
      <c r="AC150" s="1">
        <f t="shared" si="29"/>
        <v>182</v>
      </c>
      <c r="AD150" s="1">
        <f t="shared" si="30"/>
        <v>151</v>
      </c>
      <c r="AE150" s="1">
        <f t="shared" si="31"/>
        <v>184</v>
      </c>
      <c r="AF150" s="1">
        <f t="shared" si="32"/>
        <v>151</v>
      </c>
      <c r="AG150" s="1">
        <f t="shared" si="33"/>
        <v>188</v>
      </c>
      <c r="AH150" s="1">
        <f t="shared" ref="AH150:AI150" si="188">$B$1+$A150</f>
        <v>151</v>
      </c>
      <c r="AI150" s="1">
        <f t="shared" si="188"/>
        <v>151</v>
      </c>
      <c r="AJ150" s="1">
        <f t="shared" si="35"/>
        <v>192</v>
      </c>
      <c r="AK150" s="1">
        <f t="shared" si="36"/>
        <v>151</v>
      </c>
      <c r="AL150" s="1">
        <f t="shared" si="37"/>
        <v>198</v>
      </c>
      <c r="AM150" s="1">
        <f t="shared" si="38"/>
        <v>151</v>
      </c>
      <c r="AN150" s="1">
        <f t="shared" si="39"/>
        <v>201</v>
      </c>
      <c r="AO150" s="1">
        <f t="shared" si="40"/>
        <v>151</v>
      </c>
      <c r="AP150" s="1">
        <f t="shared" si="41"/>
        <v>210</v>
      </c>
      <c r="AR150" s="8">
        <f>COUNTIFS(score4pijlen,AP150) </f>
        <v>5</v>
      </c>
    </row>
    <row r="151">
      <c r="A151" s="2">
        <v>151.0</v>
      </c>
      <c r="B151" s="1">
        <f t="shared" si="2"/>
        <v>152</v>
      </c>
      <c r="C151" s="1">
        <f t="shared" si="3"/>
        <v>153</v>
      </c>
      <c r="D151" s="1">
        <f t="shared" si="4"/>
        <v>152</v>
      </c>
      <c r="E151" s="1">
        <f t="shared" si="5"/>
        <v>155</v>
      </c>
      <c r="F151" s="1">
        <f t="shared" si="6"/>
        <v>152</v>
      </c>
      <c r="G151" s="1">
        <f t="shared" si="7"/>
        <v>157</v>
      </c>
      <c r="H151" s="1">
        <f t="shared" si="8"/>
        <v>152</v>
      </c>
      <c r="I151" s="1">
        <f t="shared" si="9"/>
        <v>159</v>
      </c>
      <c r="J151" s="1">
        <f t="shared" si="10"/>
        <v>152</v>
      </c>
      <c r="K151" s="1">
        <f t="shared" si="11"/>
        <v>161</v>
      </c>
      <c r="L151" s="1">
        <f t="shared" si="12"/>
        <v>152</v>
      </c>
      <c r="M151" s="1">
        <f t="shared" si="13"/>
        <v>163</v>
      </c>
      <c r="N151" s="1">
        <f t="shared" si="14"/>
        <v>152</v>
      </c>
      <c r="O151" s="1">
        <f t="shared" si="15"/>
        <v>165</v>
      </c>
      <c r="P151" s="1">
        <f t="shared" si="16"/>
        <v>152</v>
      </c>
      <c r="Q151" s="1">
        <f t="shared" si="17"/>
        <v>167</v>
      </c>
      <c r="R151" s="1">
        <f t="shared" si="18"/>
        <v>152</v>
      </c>
      <c r="S151" s="1">
        <f t="shared" si="19"/>
        <v>169</v>
      </c>
      <c r="T151" s="1">
        <f t="shared" si="20"/>
        <v>152</v>
      </c>
      <c r="U151" s="1">
        <f t="shared" si="21"/>
        <v>171</v>
      </c>
      <c r="V151" s="1">
        <f t="shared" si="22"/>
        <v>152</v>
      </c>
      <c r="W151" s="1">
        <f t="shared" si="23"/>
        <v>173</v>
      </c>
      <c r="X151" s="1">
        <f t="shared" si="24"/>
        <v>152</v>
      </c>
      <c r="Y151" s="1">
        <f t="shared" si="25"/>
        <v>176</v>
      </c>
      <c r="Z151" s="1">
        <f t="shared" si="26"/>
        <v>152</v>
      </c>
      <c r="AA151" s="1">
        <f t="shared" si="27"/>
        <v>179</v>
      </c>
      <c r="AB151" s="1">
        <f t="shared" si="28"/>
        <v>152</v>
      </c>
      <c r="AC151" s="1">
        <f t="shared" si="29"/>
        <v>183</v>
      </c>
      <c r="AD151" s="1">
        <f t="shared" si="30"/>
        <v>152</v>
      </c>
      <c r="AE151" s="1">
        <f t="shared" si="31"/>
        <v>185</v>
      </c>
      <c r="AF151" s="1">
        <f t="shared" si="32"/>
        <v>152</v>
      </c>
      <c r="AG151" s="1">
        <f t="shared" si="33"/>
        <v>189</v>
      </c>
      <c r="AH151" s="1">
        <f t="shared" ref="AH151:AI151" si="189">$B$1+$A151</f>
        <v>152</v>
      </c>
      <c r="AI151" s="1">
        <f t="shared" si="189"/>
        <v>152</v>
      </c>
      <c r="AJ151" s="1">
        <f t="shared" si="35"/>
        <v>193</v>
      </c>
      <c r="AK151" s="1">
        <f t="shared" si="36"/>
        <v>152</v>
      </c>
      <c r="AL151" s="1">
        <f t="shared" si="37"/>
        <v>199</v>
      </c>
      <c r="AM151" s="1">
        <f t="shared" si="38"/>
        <v>152</v>
      </c>
      <c r="AN151" s="1">
        <f t="shared" si="39"/>
        <v>202</v>
      </c>
      <c r="AO151" s="1">
        <f t="shared" si="40"/>
        <v>152</v>
      </c>
      <c r="AP151" s="1">
        <f t="shared" si="41"/>
        <v>211</v>
      </c>
      <c r="AR151" s="8">
        <f>COUNTIFS(score4pijlen,AP151) </f>
        <v>3</v>
      </c>
    </row>
    <row r="152">
      <c r="A152" s="2">
        <v>152.0</v>
      </c>
      <c r="B152" s="1">
        <f t="shared" si="2"/>
        <v>153</v>
      </c>
      <c r="C152" s="1">
        <f t="shared" si="3"/>
        <v>154</v>
      </c>
      <c r="D152" s="1">
        <f t="shared" si="4"/>
        <v>153</v>
      </c>
      <c r="E152" s="1">
        <f t="shared" si="5"/>
        <v>156</v>
      </c>
      <c r="F152" s="1">
        <f t="shared" si="6"/>
        <v>153</v>
      </c>
      <c r="G152" s="1">
        <f t="shared" si="7"/>
        <v>158</v>
      </c>
      <c r="H152" s="1">
        <f t="shared" si="8"/>
        <v>153</v>
      </c>
      <c r="I152" s="1">
        <f t="shared" si="9"/>
        <v>160</v>
      </c>
      <c r="J152" s="1">
        <f t="shared" si="10"/>
        <v>153</v>
      </c>
      <c r="K152" s="1">
        <f t="shared" si="11"/>
        <v>162</v>
      </c>
      <c r="L152" s="1">
        <f t="shared" si="12"/>
        <v>153</v>
      </c>
      <c r="M152" s="1">
        <f t="shared" si="13"/>
        <v>164</v>
      </c>
      <c r="N152" s="1">
        <f t="shared" si="14"/>
        <v>153</v>
      </c>
      <c r="O152" s="1">
        <f t="shared" si="15"/>
        <v>166</v>
      </c>
      <c r="P152" s="1">
        <f t="shared" si="16"/>
        <v>153</v>
      </c>
      <c r="Q152" s="1">
        <f t="shared" si="17"/>
        <v>168</v>
      </c>
      <c r="R152" s="1">
        <f t="shared" si="18"/>
        <v>153</v>
      </c>
      <c r="S152" s="1">
        <f t="shared" si="19"/>
        <v>170</v>
      </c>
      <c r="T152" s="1">
        <f t="shared" si="20"/>
        <v>153</v>
      </c>
      <c r="U152" s="1">
        <f t="shared" si="21"/>
        <v>172</v>
      </c>
      <c r="V152" s="1">
        <f t="shared" si="22"/>
        <v>153</v>
      </c>
      <c r="W152" s="1">
        <f t="shared" si="23"/>
        <v>174</v>
      </c>
      <c r="X152" s="1">
        <f t="shared" si="24"/>
        <v>153</v>
      </c>
      <c r="Y152" s="1">
        <f t="shared" si="25"/>
        <v>177</v>
      </c>
      <c r="Z152" s="1">
        <f t="shared" si="26"/>
        <v>153</v>
      </c>
      <c r="AA152" s="1">
        <f t="shared" si="27"/>
        <v>180</v>
      </c>
      <c r="AB152" s="1">
        <f t="shared" si="28"/>
        <v>153</v>
      </c>
      <c r="AC152" s="1">
        <f t="shared" si="29"/>
        <v>184</v>
      </c>
      <c r="AD152" s="1">
        <f t="shared" si="30"/>
        <v>153</v>
      </c>
      <c r="AE152" s="1">
        <f t="shared" si="31"/>
        <v>186</v>
      </c>
      <c r="AF152" s="1">
        <f t="shared" si="32"/>
        <v>153</v>
      </c>
      <c r="AG152" s="1">
        <f t="shared" si="33"/>
        <v>190</v>
      </c>
      <c r="AH152" s="1">
        <f t="shared" ref="AH152:AI152" si="190">$B$1+$A152</f>
        <v>153</v>
      </c>
      <c r="AI152" s="1">
        <f t="shared" si="190"/>
        <v>153</v>
      </c>
      <c r="AJ152" s="1">
        <f t="shared" si="35"/>
        <v>194</v>
      </c>
      <c r="AK152" s="1">
        <f t="shared" si="36"/>
        <v>153</v>
      </c>
      <c r="AL152" s="1">
        <f t="shared" si="37"/>
        <v>200</v>
      </c>
      <c r="AM152" s="1">
        <f t="shared" si="38"/>
        <v>153</v>
      </c>
      <c r="AN152" s="1">
        <f t="shared" si="39"/>
        <v>203</v>
      </c>
      <c r="AO152" s="1">
        <f t="shared" si="40"/>
        <v>153</v>
      </c>
      <c r="AP152" s="1">
        <f t="shared" si="41"/>
        <v>212</v>
      </c>
      <c r="AR152" s="8">
        <f>COUNTIFS(score4pijlen,AP152) </f>
        <v>5</v>
      </c>
    </row>
    <row r="153">
      <c r="A153" s="2">
        <v>153.0</v>
      </c>
      <c r="B153" s="1">
        <f t="shared" si="2"/>
        <v>154</v>
      </c>
      <c r="C153" s="1">
        <f t="shared" si="3"/>
        <v>155</v>
      </c>
      <c r="D153" s="1">
        <f t="shared" si="4"/>
        <v>154</v>
      </c>
      <c r="E153" s="1">
        <f t="shared" si="5"/>
        <v>157</v>
      </c>
      <c r="F153" s="1">
        <f t="shared" si="6"/>
        <v>154</v>
      </c>
      <c r="G153" s="1">
        <f t="shared" si="7"/>
        <v>159</v>
      </c>
      <c r="H153" s="1">
        <f t="shared" si="8"/>
        <v>154</v>
      </c>
      <c r="I153" s="1">
        <f t="shared" si="9"/>
        <v>161</v>
      </c>
      <c r="J153" s="1">
        <f t="shared" si="10"/>
        <v>154</v>
      </c>
      <c r="K153" s="1">
        <f t="shared" si="11"/>
        <v>163</v>
      </c>
      <c r="L153" s="1">
        <f t="shared" si="12"/>
        <v>154</v>
      </c>
      <c r="M153" s="1">
        <f t="shared" si="13"/>
        <v>165</v>
      </c>
      <c r="N153" s="1">
        <f t="shared" si="14"/>
        <v>154</v>
      </c>
      <c r="O153" s="1">
        <f t="shared" si="15"/>
        <v>167</v>
      </c>
      <c r="P153" s="1">
        <f t="shared" si="16"/>
        <v>154</v>
      </c>
      <c r="Q153" s="1">
        <f t="shared" si="17"/>
        <v>169</v>
      </c>
      <c r="R153" s="1">
        <f t="shared" si="18"/>
        <v>154</v>
      </c>
      <c r="S153" s="1">
        <f t="shared" si="19"/>
        <v>171</v>
      </c>
      <c r="T153" s="1">
        <f t="shared" si="20"/>
        <v>154</v>
      </c>
      <c r="U153" s="1">
        <f t="shared" si="21"/>
        <v>173</v>
      </c>
      <c r="V153" s="1">
        <f t="shared" si="22"/>
        <v>154</v>
      </c>
      <c r="W153" s="1">
        <f t="shared" si="23"/>
        <v>175</v>
      </c>
      <c r="X153" s="1">
        <f t="shared" si="24"/>
        <v>154</v>
      </c>
      <c r="Y153" s="1">
        <f t="shared" si="25"/>
        <v>178</v>
      </c>
      <c r="Z153" s="1">
        <f t="shared" si="26"/>
        <v>154</v>
      </c>
      <c r="AA153" s="1">
        <f t="shared" si="27"/>
        <v>181</v>
      </c>
      <c r="AB153" s="1">
        <f t="shared" si="28"/>
        <v>154</v>
      </c>
      <c r="AC153" s="1">
        <f t="shared" si="29"/>
        <v>185</v>
      </c>
      <c r="AD153" s="1">
        <f t="shared" si="30"/>
        <v>154</v>
      </c>
      <c r="AE153" s="1">
        <f t="shared" si="31"/>
        <v>187</v>
      </c>
      <c r="AF153" s="1">
        <f t="shared" si="32"/>
        <v>154</v>
      </c>
      <c r="AG153" s="1">
        <f t="shared" si="33"/>
        <v>191</v>
      </c>
      <c r="AH153" s="1">
        <f t="shared" ref="AH153:AI153" si="191">$B$1+$A153</f>
        <v>154</v>
      </c>
      <c r="AI153" s="1">
        <f t="shared" si="191"/>
        <v>154</v>
      </c>
      <c r="AJ153" s="1">
        <f t="shared" si="35"/>
        <v>195</v>
      </c>
      <c r="AK153" s="1">
        <f t="shared" si="36"/>
        <v>154</v>
      </c>
      <c r="AL153" s="1">
        <f t="shared" si="37"/>
        <v>201</v>
      </c>
      <c r="AM153" s="1">
        <f t="shared" si="38"/>
        <v>154</v>
      </c>
      <c r="AN153" s="1">
        <f t="shared" si="39"/>
        <v>204</v>
      </c>
      <c r="AO153" s="1">
        <f t="shared" si="40"/>
        <v>154</v>
      </c>
      <c r="AP153" s="1">
        <f t="shared" si="41"/>
        <v>213</v>
      </c>
      <c r="AR153" s="8">
        <f>COUNTIFS(score4pijlen,AP153) </f>
        <v>5</v>
      </c>
    </row>
    <row r="154">
      <c r="A154" s="2">
        <v>154.0</v>
      </c>
      <c r="B154" s="1">
        <f t="shared" si="2"/>
        <v>155</v>
      </c>
      <c r="C154" s="1">
        <f t="shared" si="3"/>
        <v>156</v>
      </c>
      <c r="D154" s="1">
        <f t="shared" si="4"/>
        <v>155</v>
      </c>
      <c r="E154" s="1">
        <f t="shared" si="5"/>
        <v>158</v>
      </c>
      <c r="F154" s="1">
        <f t="shared" si="6"/>
        <v>155</v>
      </c>
      <c r="G154" s="1">
        <f t="shared" si="7"/>
        <v>160</v>
      </c>
      <c r="H154" s="1">
        <f t="shared" si="8"/>
        <v>155</v>
      </c>
      <c r="I154" s="1">
        <f t="shared" si="9"/>
        <v>162</v>
      </c>
      <c r="J154" s="1">
        <f t="shared" si="10"/>
        <v>155</v>
      </c>
      <c r="K154" s="1">
        <f t="shared" si="11"/>
        <v>164</v>
      </c>
      <c r="L154" s="1">
        <f t="shared" si="12"/>
        <v>155</v>
      </c>
      <c r="M154" s="1">
        <f t="shared" si="13"/>
        <v>166</v>
      </c>
      <c r="N154" s="1">
        <f t="shared" si="14"/>
        <v>155</v>
      </c>
      <c r="O154" s="1">
        <f t="shared" si="15"/>
        <v>168</v>
      </c>
      <c r="P154" s="1">
        <f t="shared" si="16"/>
        <v>155</v>
      </c>
      <c r="Q154" s="1">
        <f t="shared" si="17"/>
        <v>170</v>
      </c>
      <c r="R154" s="1">
        <f t="shared" si="18"/>
        <v>155</v>
      </c>
      <c r="S154" s="1">
        <f t="shared" si="19"/>
        <v>172</v>
      </c>
      <c r="T154" s="1">
        <f t="shared" si="20"/>
        <v>155</v>
      </c>
      <c r="U154" s="1">
        <f t="shared" si="21"/>
        <v>174</v>
      </c>
      <c r="V154" s="1">
        <f t="shared" si="22"/>
        <v>155</v>
      </c>
      <c r="W154" s="1">
        <f t="shared" si="23"/>
        <v>176</v>
      </c>
      <c r="X154" s="1">
        <f t="shared" si="24"/>
        <v>155</v>
      </c>
      <c r="Y154" s="1">
        <f t="shared" si="25"/>
        <v>179</v>
      </c>
      <c r="Z154" s="1">
        <f t="shared" si="26"/>
        <v>155</v>
      </c>
      <c r="AA154" s="1">
        <f t="shared" si="27"/>
        <v>182</v>
      </c>
      <c r="AB154" s="1">
        <f t="shared" si="28"/>
        <v>155</v>
      </c>
      <c r="AC154" s="1">
        <f t="shared" si="29"/>
        <v>186</v>
      </c>
      <c r="AD154" s="1">
        <f t="shared" si="30"/>
        <v>155</v>
      </c>
      <c r="AE154" s="1">
        <f t="shared" si="31"/>
        <v>188</v>
      </c>
      <c r="AF154" s="1">
        <f t="shared" si="32"/>
        <v>155</v>
      </c>
      <c r="AG154" s="1">
        <f t="shared" si="33"/>
        <v>192</v>
      </c>
      <c r="AH154" s="1">
        <f t="shared" ref="AH154:AI154" si="192">$B$1+$A154</f>
        <v>155</v>
      </c>
      <c r="AI154" s="1">
        <f t="shared" si="192"/>
        <v>155</v>
      </c>
      <c r="AJ154" s="1">
        <f t="shared" si="35"/>
        <v>196</v>
      </c>
      <c r="AK154" s="1">
        <f t="shared" si="36"/>
        <v>155</v>
      </c>
      <c r="AL154" s="1">
        <f t="shared" si="37"/>
        <v>202</v>
      </c>
      <c r="AM154" s="1">
        <f t="shared" si="38"/>
        <v>155</v>
      </c>
      <c r="AN154" s="1">
        <f t="shared" si="39"/>
        <v>205</v>
      </c>
      <c r="AO154" s="1">
        <f t="shared" si="40"/>
        <v>155</v>
      </c>
      <c r="AP154" s="1">
        <f t="shared" si="41"/>
        <v>214</v>
      </c>
      <c r="AR154" s="8">
        <f>COUNTIFS(score4pijlen,AP154) </f>
        <v>2</v>
      </c>
    </row>
    <row r="155">
      <c r="A155" s="2">
        <v>155.0</v>
      </c>
      <c r="B155" s="1">
        <f t="shared" si="2"/>
        <v>156</v>
      </c>
      <c r="C155" s="1">
        <f t="shared" si="3"/>
        <v>157</v>
      </c>
      <c r="D155" s="1">
        <f t="shared" si="4"/>
        <v>156</v>
      </c>
      <c r="E155" s="1">
        <f t="shared" si="5"/>
        <v>159</v>
      </c>
      <c r="F155" s="1">
        <f t="shared" si="6"/>
        <v>156</v>
      </c>
      <c r="G155" s="1">
        <f t="shared" si="7"/>
        <v>161</v>
      </c>
      <c r="H155" s="1">
        <f t="shared" si="8"/>
        <v>156</v>
      </c>
      <c r="I155" s="1">
        <f t="shared" si="9"/>
        <v>163</v>
      </c>
      <c r="J155" s="1">
        <f t="shared" si="10"/>
        <v>156</v>
      </c>
      <c r="K155" s="1">
        <f t="shared" si="11"/>
        <v>165</v>
      </c>
      <c r="L155" s="1">
        <f t="shared" si="12"/>
        <v>156</v>
      </c>
      <c r="M155" s="1">
        <f t="shared" si="13"/>
        <v>167</v>
      </c>
      <c r="N155" s="1">
        <f t="shared" si="14"/>
        <v>156</v>
      </c>
      <c r="O155" s="1">
        <f t="shared" si="15"/>
        <v>169</v>
      </c>
      <c r="P155" s="1">
        <f t="shared" si="16"/>
        <v>156</v>
      </c>
      <c r="Q155" s="1">
        <f t="shared" si="17"/>
        <v>171</v>
      </c>
      <c r="R155" s="1">
        <f t="shared" si="18"/>
        <v>156</v>
      </c>
      <c r="S155" s="1">
        <f t="shared" si="19"/>
        <v>173</v>
      </c>
      <c r="T155" s="1">
        <f t="shared" si="20"/>
        <v>156</v>
      </c>
      <c r="U155" s="1">
        <f t="shared" si="21"/>
        <v>175</v>
      </c>
      <c r="V155" s="1">
        <f t="shared" si="22"/>
        <v>156</v>
      </c>
      <c r="W155" s="1">
        <f t="shared" si="23"/>
        <v>177</v>
      </c>
      <c r="X155" s="1">
        <f t="shared" si="24"/>
        <v>156</v>
      </c>
      <c r="Y155" s="1">
        <f t="shared" si="25"/>
        <v>180</v>
      </c>
      <c r="Z155" s="1">
        <f t="shared" si="26"/>
        <v>156</v>
      </c>
      <c r="AA155" s="1">
        <f t="shared" si="27"/>
        <v>183</v>
      </c>
      <c r="AB155" s="1">
        <f t="shared" si="28"/>
        <v>156</v>
      </c>
      <c r="AC155" s="1">
        <f t="shared" si="29"/>
        <v>187</v>
      </c>
      <c r="AD155" s="1">
        <f t="shared" si="30"/>
        <v>156</v>
      </c>
      <c r="AE155" s="1">
        <f t="shared" si="31"/>
        <v>189</v>
      </c>
      <c r="AF155" s="1">
        <f t="shared" si="32"/>
        <v>156</v>
      </c>
      <c r="AG155" s="1">
        <f t="shared" si="33"/>
        <v>193</v>
      </c>
      <c r="AH155" s="1">
        <f t="shared" ref="AH155:AI155" si="193">$B$1+$A155</f>
        <v>156</v>
      </c>
      <c r="AI155" s="1">
        <f t="shared" si="193"/>
        <v>156</v>
      </c>
      <c r="AJ155" s="1">
        <f t="shared" si="35"/>
        <v>197</v>
      </c>
      <c r="AK155" s="1">
        <f t="shared" si="36"/>
        <v>156</v>
      </c>
      <c r="AL155" s="1">
        <f t="shared" si="37"/>
        <v>203</v>
      </c>
      <c r="AM155" s="1">
        <f t="shared" si="38"/>
        <v>156</v>
      </c>
      <c r="AN155" s="1">
        <f t="shared" si="39"/>
        <v>206</v>
      </c>
      <c r="AO155" s="1">
        <f t="shared" si="40"/>
        <v>156</v>
      </c>
      <c r="AP155" s="1">
        <f t="shared" si="41"/>
        <v>215</v>
      </c>
      <c r="AR155" s="8">
        <f>COUNTIFS(score4pijlen,AP155) </f>
        <v>4</v>
      </c>
    </row>
    <row r="156">
      <c r="A156" s="2">
        <v>156.0</v>
      </c>
      <c r="B156" s="1">
        <f t="shared" si="2"/>
        <v>157</v>
      </c>
      <c r="C156" s="1">
        <f t="shared" si="3"/>
        <v>158</v>
      </c>
      <c r="D156" s="1">
        <f t="shared" si="4"/>
        <v>157</v>
      </c>
      <c r="E156" s="1">
        <f t="shared" si="5"/>
        <v>160</v>
      </c>
      <c r="F156" s="1">
        <f t="shared" si="6"/>
        <v>157</v>
      </c>
      <c r="G156" s="1">
        <f t="shared" si="7"/>
        <v>162</v>
      </c>
      <c r="H156" s="1">
        <f t="shared" si="8"/>
        <v>157</v>
      </c>
      <c r="I156" s="1">
        <f t="shared" si="9"/>
        <v>164</v>
      </c>
      <c r="J156" s="1">
        <f t="shared" si="10"/>
        <v>157</v>
      </c>
      <c r="K156" s="1">
        <f t="shared" si="11"/>
        <v>166</v>
      </c>
      <c r="L156" s="1">
        <f t="shared" si="12"/>
        <v>157</v>
      </c>
      <c r="M156" s="1">
        <f t="shared" si="13"/>
        <v>168</v>
      </c>
      <c r="N156" s="1">
        <f t="shared" si="14"/>
        <v>157</v>
      </c>
      <c r="O156" s="1">
        <f t="shared" si="15"/>
        <v>170</v>
      </c>
      <c r="P156" s="1">
        <f t="shared" si="16"/>
        <v>157</v>
      </c>
      <c r="Q156" s="1">
        <f t="shared" si="17"/>
        <v>172</v>
      </c>
      <c r="R156" s="1">
        <f t="shared" si="18"/>
        <v>157</v>
      </c>
      <c r="S156" s="1">
        <f t="shared" si="19"/>
        <v>174</v>
      </c>
      <c r="T156" s="1">
        <f t="shared" si="20"/>
        <v>157</v>
      </c>
      <c r="U156" s="1">
        <f t="shared" si="21"/>
        <v>176</v>
      </c>
      <c r="V156" s="1">
        <f t="shared" si="22"/>
        <v>157</v>
      </c>
      <c r="W156" s="1">
        <f t="shared" si="23"/>
        <v>178</v>
      </c>
      <c r="X156" s="1">
        <f t="shared" si="24"/>
        <v>157</v>
      </c>
      <c r="Y156" s="1">
        <f t="shared" si="25"/>
        <v>181</v>
      </c>
      <c r="Z156" s="1">
        <f t="shared" si="26"/>
        <v>157</v>
      </c>
      <c r="AA156" s="1">
        <f t="shared" si="27"/>
        <v>184</v>
      </c>
      <c r="AB156" s="1">
        <f t="shared" si="28"/>
        <v>157</v>
      </c>
      <c r="AC156" s="1">
        <f t="shared" si="29"/>
        <v>188</v>
      </c>
      <c r="AD156" s="1">
        <f t="shared" si="30"/>
        <v>157</v>
      </c>
      <c r="AE156" s="1">
        <f t="shared" si="31"/>
        <v>190</v>
      </c>
      <c r="AF156" s="1">
        <f t="shared" si="32"/>
        <v>157</v>
      </c>
      <c r="AG156" s="1">
        <f t="shared" si="33"/>
        <v>194</v>
      </c>
      <c r="AH156" s="1">
        <f t="shared" ref="AH156:AI156" si="194">$B$1+$A156</f>
        <v>157</v>
      </c>
      <c r="AI156" s="1">
        <f t="shared" si="194"/>
        <v>157</v>
      </c>
      <c r="AJ156" s="1">
        <f t="shared" si="35"/>
        <v>198</v>
      </c>
      <c r="AK156" s="1">
        <f t="shared" si="36"/>
        <v>157</v>
      </c>
      <c r="AL156" s="1">
        <f t="shared" si="37"/>
        <v>204</v>
      </c>
      <c r="AM156" s="1">
        <f t="shared" si="38"/>
        <v>157</v>
      </c>
      <c r="AN156" s="1">
        <f t="shared" si="39"/>
        <v>207</v>
      </c>
      <c r="AO156" s="1">
        <f t="shared" si="40"/>
        <v>157</v>
      </c>
      <c r="AP156" s="1">
        <f t="shared" si="41"/>
        <v>216</v>
      </c>
      <c r="AR156" s="8">
        <f>COUNTIFS(score4pijlen,AP156) </f>
        <v>5</v>
      </c>
    </row>
    <row r="157">
      <c r="A157" s="2">
        <v>157.0</v>
      </c>
      <c r="B157" s="1">
        <f t="shared" si="2"/>
        <v>158</v>
      </c>
      <c r="C157" s="1">
        <f t="shared" si="3"/>
        <v>159</v>
      </c>
      <c r="D157" s="1">
        <f t="shared" si="4"/>
        <v>158</v>
      </c>
      <c r="E157" s="1">
        <f t="shared" si="5"/>
        <v>161</v>
      </c>
      <c r="F157" s="1">
        <f t="shared" si="6"/>
        <v>158</v>
      </c>
      <c r="G157" s="1">
        <f t="shared" si="7"/>
        <v>163</v>
      </c>
      <c r="H157" s="1">
        <f t="shared" si="8"/>
        <v>158</v>
      </c>
      <c r="I157" s="1">
        <f t="shared" si="9"/>
        <v>165</v>
      </c>
      <c r="J157" s="1">
        <f t="shared" si="10"/>
        <v>158</v>
      </c>
      <c r="K157" s="1">
        <f t="shared" si="11"/>
        <v>167</v>
      </c>
      <c r="L157" s="1">
        <f t="shared" si="12"/>
        <v>158</v>
      </c>
      <c r="M157" s="1">
        <f t="shared" si="13"/>
        <v>169</v>
      </c>
      <c r="N157" s="1">
        <f t="shared" si="14"/>
        <v>158</v>
      </c>
      <c r="O157" s="1">
        <f t="shared" si="15"/>
        <v>171</v>
      </c>
      <c r="P157" s="1">
        <f t="shared" si="16"/>
        <v>158</v>
      </c>
      <c r="Q157" s="1">
        <f t="shared" si="17"/>
        <v>173</v>
      </c>
      <c r="R157" s="1">
        <f t="shared" si="18"/>
        <v>158</v>
      </c>
      <c r="S157" s="1">
        <f t="shared" si="19"/>
        <v>175</v>
      </c>
      <c r="T157" s="1">
        <f t="shared" si="20"/>
        <v>158</v>
      </c>
      <c r="U157" s="1">
        <f t="shared" si="21"/>
        <v>177</v>
      </c>
      <c r="V157" s="1">
        <f t="shared" si="22"/>
        <v>158</v>
      </c>
      <c r="W157" s="1">
        <f t="shared" si="23"/>
        <v>179</v>
      </c>
      <c r="X157" s="1">
        <f t="shared" si="24"/>
        <v>158</v>
      </c>
      <c r="Y157" s="1">
        <f t="shared" si="25"/>
        <v>182</v>
      </c>
      <c r="Z157" s="1">
        <f t="shared" si="26"/>
        <v>158</v>
      </c>
      <c r="AA157" s="1">
        <f t="shared" si="27"/>
        <v>185</v>
      </c>
      <c r="AB157" s="1">
        <f t="shared" si="28"/>
        <v>158</v>
      </c>
      <c r="AC157" s="1">
        <f t="shared" si="29"/>
        <v>189</v>
      </c>
      <c r="AD157" s="1">
        <f t="shared" si="30"/>
        <v>158</v>
      </c>
      <c r="AE157" s="1">
        <f t="shared" si="31"/>
        <v>191</v>
      </c>
      <c r="AF157" s="1">
        <f t="shared" si="32"/>
        <v>158</v>
      </c>
      <c r="AG157" s="1">
        <f t="shared" si="33"/>
        <v>195</v>
      </c>
      <c r="AH157" s="1">
        <f t="shared" ref="AH157:AI157" si="195">$B$1+$A157</f>
        <v>158</v>
      </c>
      <c r="AI157" s="1">
        <f t="shared" si="195"/>
        <v>158</v>
      </c>
      <c r="AJ157" s="1">
        <f t="shared" si="35"/>
        <v>199</v>
      </c>
      <c r="AK157" s="1">
        <f t="shared" si="36"/>
        <v>158</v>
      </c>
      <c r="AL157" s="1">
        <f t="shared" si="37"/>
        <v>205</v>
      </c>
      <c r="AM157" s="1">
        <f t="shared" si="38"/>
        <v>158</v>
      </c>
      <c r="AN157" s="1">
        <f t="shared" si="39"/>
        <v>208</v>
      </c>
      <c r="AO157" s="1">
        <f t="shared" si="40"/>
        <v>158</v>
      </c>
      <c r="AP157" s="1">
        <f t="shared" si="41"/>
        <v>217</v>
      </c>
      <c r="AR157" s="8">
        <f>COUNTIFS(score4pijlen,AP157) </f>
        <v>2</v>
      </c>
    </row>
    <row r="158">
      <c r="A158" s="2">
        <v>158.0</v>
      </c>
      <c r="B158" s="1">
        <f t="shared" si="2"/>
        <v>159</v>
      </c>
      <c r="C158" s="1">
        <f t="shared" si="3"/>
        <v>160</v>
      </c>
      <c r="D158" s="1">
        <f t="shared" si="4"/>
        <v>159</v>
      </c>
      <c r="E158" s="1">
        <f t="shared" si="5"/>
        <v>162</v>
      </c>
      <c r="F158" s="1">
        <f t="shared" si="6"/>
        <v>159</v>
      </c>
      <c r="G158" s="1">
        <f t="shared" si="7"/>
        <v>164</v>
      </c>
      <c r="H158" s="1">
        <f t="shared" si="8"/>
        <v>159</v>
      </c>
      <c r="I158" s="1">
        <f t="shared" si="9"/>
        <v>166</v>
      </c>
      <c r="J158" s="1">
        <f t="shared" si="10"/>
        <v>159</v>
      </c>
      <c r="K158" s="1">
        <f t="shared" si="11"/>
        <v>168</v>
      </c>
      <c r="L158" s="1">
        <f t="shared" si="12"/>
        <v>159</v>
      </c>
      <c r="M158" s="1">
        <f t="shared" si="13"/>
        <v>170</v>
      </c>
      <c r="N158" s="1">
        <f t="shared" si="14"/>
        <v>159</v>
      </c>
      <c r="O158" s="1">
        <f t="shared" si="15"/>
        <v>172</v>
      </c>
      <c r="P158" s="1">
        <f t="shared" si="16"/>
        <v>159</v>
      </c>
      <c r="Q158" s="1">
        <f t="shared" si="17"/>
        <v>174</v>
      </c>
      <c r="R158" s="1">
        <f t="shared" si="18"/>
        <v>159</v>
      </c>
      <c r="S158" s="1">
        <f t="shared" si="19"/>
        <v>176</v>
      </c>
      <c r="T158" s="1">
        <f t="shared" si="20"/>
        <v>159</v>
      </c>
      <c r="U158" s="1">
        <f t="shared" si="21"/>
        <v>178</v>
      </c>
      <c r="V158" s="1">
        <f t="shared" si="22"/>
        <v>159</v>
      </c>
      <c r="W158" s="1">
        <f t="shared" si="23"/>
        <v>180</v>
      </c>
      <c r="X158" s="1">
        <f t="shared" si="24"/>
        <v>159</v>
      </c>
      <c r="Y158" s="1">
        <f t="shared" si="25"/>
        <v>183</v>
      </c>
      <c r="Z158" s="1">
        <f t="shared" si="26"/>
        <v>159</v>
      </c>
      <c r="AA158" s="1">
        <f t="shared" si="27"/>
        <v>186</v>
      </c>
      <c r="AB158" s="1">
        <f t="shared" si="28"/>
        <v>159</v>
      </c>
      <c r="AC158" s="1">
        <f t="shared" si="29"/>
        <v>190</v>
      </c>
      <c r="AD158" s="1">
        <f t="shared" si="30"/>
        <v>159</v>
      </c>
      <c r="AE158" s="1">
        <f t="shared" si="31"/>
        <v>192</v>
      </c>
      <c r="AF158" s="1">
        <f t="shared" si="32"/>
        <v>159</v>
      </c>
      <c r="AG158" s="1">
        <f t="shared" si="33"/>
        <v>196</v>
      </c>
      <c r="AH158" s="1">
        <f t="shared" ref="AH158:AI158" si="196">$B$1+$A158</f>
        <v>159</v>
      </c>
      <c r="AI158" s="1">
        <f t="shared" si="196"/>
        <v>159</v>
      </c>
      <c r="AJ158" s="1">
        <f t="shared" si="35"/>
        <v>200</v>
      </c>
      <c r="AK158" s="1">
        <f t="shared" si="36"/>
        <v>159</v>
      </c>
      <c r="AL158" s="1">
        <f t="shared" si="37"/>
        <v>206</v>
      </c>
      <c r="AM158" s="1">
        <f t="shared" si="38"/>
        <v>159</v>
      </c>
      <c r="AN158" s="1">
        <f t="shared" si="39"/>
        <v>209</v>
      </c>
      <c r="AO158" s="1">
        <f t="shared" si="40"/>
        <v>159</v>
      </c>
      <c r="AP158" s="1">
        <f t="shared" si="41"/>
        <v>218</v>
      </c>
      <c r="AR158" s="8">
        <f>COUNTIFS(score4pijlen,AP158) </f>
        <v>4</v>
      </c>
    </row>
    <row r="159">
      <c r="A159" s="2">
        <v>159.0</v>
      </c>
      <c r="B159" s="1">
        <f t="shared" si="2"/>
        <v>160</v>
      </c>
      <c r="C159" s="1">
        <f t="shared" si="3"/>
        <v>161</v>
      </c>
      <c r="D159" s="1">
        <f t="shared" si="4"/>
        <v>160</v>
      </c>
      <c r="E159" s="1">
        <f t="shared" si="5"/>
        <v>163</v>
      </c>
      <c r="F159" s="1">
        <f t="shared" si="6"/>
        <v>160</v>
      </c>
      <c r="G159" s="1">
        <f t="shared" si="7"/>
        <v>165</v>
      </c>
      <c r="H159" s="1">
        <f t="shared" si="8"/>
        <v>160</v>
      </c>
      <c r="I159" s="1">
        <f t="shared" si="9"/>
        <v>167</v>
      </c>
      <c r="J159" s="1">
        <f t="shared" si="10"/>
        <v>160</v>
      </c>
      <c r="K159" s="1">
        <f t="shared" si="11"/>
        <v>169</v>
      </c>
      <c r="L159" s="1">
        <f t="shared" si="12"/>
        <v>160</v>
      </c>
      <c r="M159" s="1">
        <f t="shared" si="13"/>
        <v>171</v>
      </c>
      <c r="N159" s="1">
        <f t="shared" si="14"/>
        <v>160</v>
      </c>
      <c r="O159" s="1">
        <f t="shared" si="15"/>
        <v>173</v>
      </c>
      <c r="P159" s="1">
        <f t="shared" si="16"/>
        <v>160</v>
      </c>
      <c r="Q159" s="1">
        <f t="shared" si="17"/>
        <v>175</v>
      </c>
      <c r="R159" s="1">
        <f t="shared" si="18"/>
        <v>160</v>
      </c>
      <c r="S159" s="1">
        <f t="shared" si="19"/>
        <v>177</v>
      </c>
      <c r="T159" s="1">
        <f t="shared" si="20"/>
        <v>160</v>
      </c>
      <c r="U159" s="1">
        <f t="shared" si="21"/>
        <v>179</v>
      </c>
      <c r="V159" s="1">
        <f t="shared" si="22"/>
        <v>160</v>
      </c>
      <c r="W159" s="1">
        <f t="shared" si="23"/>
        <v>181</v>
      </c>
      <c r="X159" s="1">
        <f t="shared" si="24"/>
        <v>160</v>
      </c>
      <c r="Y159" s="1">
        <f t="shared" si="25"/>
        <v>184</v>
      </c>
      <c r="Z159" s="1">
        <f t="shared" si="26"/>
        <v>160</v>
      </c>
      <c r="AA159" s="1">
        <f t="shared" si="27"/>
        <v>187</v>
      </c>
      <c r="AB159" s="1">
        <f t="shared" si="28"/>
        <v>160</v>
      </c>
      <c r="AC159" s="1">
        <f t="shared" si="29"/>
        <v>191</v>
      </c>
      <c r="AD159" s="1">
        <f t="shared" si="30"/>
        <v>160</v>
      </c>
      <c r="AE159" s="1">
        <f t="shared" si="31"/>
        <v>193</v>
      </c>
      <c r="AF159" s="1">
        <f t="shared" si="32"/>
        <v>160</v>
      </c>
      <c r="AG159" s="1">
        <f t="shared" si="33"/>
        <v>197</v>
      </c>
      <c r="AH159" s="1">
        <f t="shared" ref="AH159:AI159" si="197">$B$1+$A159</f>
        <v>160</v>
      </c>
      <c r="AI159" s="1">
        <f t="shared" si="197"/>
        <v>160</v>
      </c>
      <c r="AJ159" s="1">
        <f t="shared" si="35"/>
        <v>201</v>
      </c>
      <c r="AK159" s="1">
        <f t="shared" si="36"/>
        <v>160</v>
      </c>
      <c r="AL159" s="1">
        <f t="shared" si="37"/>
        <v>207</v>
      </c>
      <c r="AM159" s="1">
        <f t="shared" si="38"/>
        <v>160</v>
      </c>
      <c r="AN159" s="1">
        <f t="shared" si="39"/>
        <v>210</v>
      </c>
      <c r="AO159" s="1">
        <f t="shared" si="40"/>
        <v>160</v>
      </c>
      <c r="AP159" s="1">
        <f t="shared" si="41"/>
        <v>219</v>
      </c>
      <c r="AR159" s="8">
        <f>COUNTIFS(score4pijlen,AP159) </f>
        <v>4</v>
      </c>
    </row>
    <row r="160">
      <c r="A160" s="2">
        <v>160.0</v>
      </c>
      <c r="B160" s="1">
        <f t="shared" si="2"/>
        <v>161</v>
      </c>
      <c r="C160" s="1">
        <f t="shared" si="3"/>
        <v>162</v>
      </c>
      <c r="D160" s="1">
        <f t="shared" si="4"/>
        <v>161</v>
      </c>
      <c r="E160" s="1">
        <f t="shared" si="5"/>
        <v>164</v>
      </c>
      <c r="F160" s="1">
        <f t="shared" si="6"/>
        <v>161</v>
      </c>
      <c r="G160" s="1">
        <f t="shared" si="7"/>
        <v>166</v>
      </c>
      <c r="H160" s="1">
        <f t="shared" si="8"/>
        <v>161</v>
      </c>
      <c r="I160" s="1">
        <f t="shared" si="9"/>
        <v>168</v>
      </c>
      <c r="J160" s="1">
        <f t="shared" si="10"/>
        <v>161</v>
      </c>
      <c r="K160" s="1">
        <f t="shared" si="11"/>
        <v>170</v>
      </c>
      <c r="L160" s="1">
        <f t="shared" si="12"/>
        <v>161</v>
      </c>
      <c r="M160" s="1">
        <f t="shared" si="13"/>
        <v>172</v>
      </c>
      <c r="N160" s="1">
        <f t="shared" si="14"/>
        <v>161</v>
      </c>
      <c r="O160" s="1">
        <f t="shared" si="15"/>
        <v>174</v>
      </c>
      <c r="P160" s="1">
        <f t="shared" si="16"/>
        <v>161</v>
      </c>
      <c r="Q160" s="1">
        <f t="shared" si="17"/>
        <v>176</v>
      </c>
      <c r="R160" s="1">
        <f t="shared" si="18"/>
        <v>161</v>
      </c>
      <c r="S160" s="1">
        <f t="shared" si="19"/>
        <v>178</v>
      </c>
      <c r="T160" s="1">
        <f t="shared" si="20"/>
        <v>161</v>
      </c>
      <c r="U160" s="1">
        <f t="shared" si="21"/>
        <v>180</v>
      </c>
      <c r="V160" s="1">
        <f t="shared" si="22"/>
        <v>161</v>
      </c>
      <c r="W160" s="1">
        <f t="shared" si="23"/>
        <v>182</v>
      </c>
      <c r="X160" s="1">
        <f t="shared" si="24"/>
        <v>161</v>
      </c>
      <c r="Y160" s="1">
        <f t="shared" si="25"/>
        <v>185</v>
      </c>
      <c r="Z160" s="1">
        <f t="shared" si="26"/>
        <v>161</v>
      </c>
      <c r="AA160" s="1">
        <f t="shared" si="27"/>
        <v>188</v>
      </c>
      <c r="AB160" s="1">
        <f t="shared" si="28"/>
        <v>161</v>
      </c>
      <c r="AC160" s="1">
        <f t="shared" si="29"/>
        <v>192</v>
      </c>
      <c r="AD160" s="1">
        <f t="shared" si="30"/>
        <v>161</v>
      </c>
      <c r="AE160" s="1">
        <f t="shared" si="31"/>
        <v>194</v>
      </c>
      <c r="AF160" s="1">
        <f t="shared" si="32"/>
        <v>161</v>
      </c>
      <c r="AG160" s="1">
        <f t="shared" si="33"/>
        <v>198</v>
      </c>
      <c r="AH160" s="1">
        <f t="shared" ref="AH160:AI160" si="198">$B$1+$A160</f>
        <v>161</v>
      </c>
      <c r="AI160" s="1">
        <f t="shared" si="198"/>
        <v>161</v>
      </c>
      <c r="AJ160" s="1">
        <f t="shared" si="35"/>
        <v>202</v>
      </c>
      <c r="AK160" s="1">
        <f t="shared" si="36"/>
        <v>161</v>
      </c>
      <c r="AL160" s="1">
        <f t="shared" si="37"/>
        <v>208</v>
      </c>
      <c r="AM160" s="1">
        <f t="shared" si="38"/>
        <v>161</v>
      </c>
      <c r="AN160" s="1">
        <f t="shared" si="39"/>
        <v>211</v>
      </c>
      <c r="AO160" s="1">
        <f t="shared" si="40"/>
        <v>161</v>
      </c>
      <c r="AP160" s="1">
        <f t="shared" si="41"/>
        <v>220</v>
      </c>
      <c r="AR160" s="8">
        <f>COUNTIFS(score4pijlen,AP160) </f>
        <v>2</v>
      </c>
    </row>
    <row r="161">
      <c r="A161" s="2">
        <v>161.0</v>
      </c>
      <c r="B161" s="1">
        <f t="shared" si="2"/>
        <v>162</v>
      </c>
      <c r="C161" s="1">
        <f t="shared" si="3"/>
        <v>163</v>
      </c>
      <c r="D161" s="1">
        <f t="shared" si="4"/>
        <v>162</v>
      </c>
      <c r="E161" s="1">
        <f t="shared" si="5"/>
        <v>165</v>
      </c>
      <c r="F161" s="1">
        <f t="shared" si="6"/>
        <v>162</v>
      </c>
      <c r="G161" s="1">
        <f t="shared" si="7"/>
        <v>167</v>
      </c>
      <c r="H161" s="1">
        <f t="shared" si="8"/>
        <v>162</v>
      </c>
      <c r="I161" s="1">
        <f t="shared" si="9"/>
        <v>169</v>
      </c>
      <c r="J161" s="1">
        <f t="shared" si="10"/>
        <v>162</v>
      </c>
      <c r="K161" s="1">
        <f t="shared" si="11"/>
        <v>171</v>
      </c>
      <c r="L161" s="1">
        <f t="shared" si="12"/>
        <v>162</v>
      </c>
      <c r="M161" s="1">
        <f t="shared" si="13"/>
        <v>173</v>
      </c>
      <c r="N161" s="1">
        <f t="shared" si="14"/>
        <v>162</v>
      </c>
      <c r="O161" s="1">
        <f t="shared" si="15"/>
        <v>175</v>
      </c>
      <c r="P161" s="1">
        <f t="shared" si="16"/>
        <v>162</v>
      </c>
      <c r="Q161" s="1">
        <f t="shared" si="17"/>
        <v>177</v>
      </c>
      <c r="R161" s="1">
        <f t="shared" si="18"/>
        <v>162</v>
      </c>
      <c r="S161" s="1">
        <f t="shared" si="19"/>
        <v>179</v>
      </c>
      <c r="T161" s="1">
        <f t="shared" si="20"/>
        <v>162</v>
      </c>
      <c r="U161" s="1">
        <f t="shared" si="21"/>
        <v>181</v>
      </c>
      <c r="V161" s="1">
        <f t="shared" si="22"/>
        <v>162</v>
      </c>
      <c r="W161" s="1">
        <f t="shared" si="23"/>
        <v>183</v>
      </c>
      <c r="X161" s="1">
        <f t="shared" si="24"/>
        <v>162</v>
      </c>
      <c r="Y161" s="1">
        <f t="shared" si="25"/>
        <v>186</v>
      </c>
      <c r="Z161" s="1">
        <f t="shared" si="26"/>
        <v>162</v>
      </c>
      <c r="AA161" s="1">
        <f t="shared" si="27"/>
        <v>189</v>
      </c>
      <c r="AB161" s="1">
        <f t="shared" si="28"/>
        <v>162</v>
      </c>
      <c r="AC161" s="1">
        <f t="shared" si="29"/>
        <v>193</v>
      </c>
      <c r="AD161" s="1">
        <f t="shared" si="30"/>
        <v>162</v>
      </c>
      <c r="AE161" s="1">
        <f t="shared" si="31"/>
        <v>195</v>
      </c>
      <c r="AF161" s="1">
        <f t="shared" si="32"/>
        <v>162</v>
      </c>
      <c r="AG161" s="1">
        <f t="shared" si="33"/>
        <v>199</v>
      </c>
      <c r="AH161" s="1">
        <f t="shared" ref="AH161:AI161" si="199">$B$1+$A161</f>
        <v>162</v>
      </c>
      <c r="AI161" s="1">
        <f t="shared" si="199"/>
        <v>162</v>
      </c>
      <c r="AJ161" s="1">
        <f t="shared" si="35"/>
        <v>203</v>
      </c>
      <c r="AK161" s="1">
        <f t="shared" si="36"/>
        <v>162</v>
      </c>
      <c r="AL161" s="1">
        <f t="shared" si="37"/>
        <v>209</v>
      </c>
      <c r="AM161" s="1">
        <f t="shared" si="38"/>
        <v>162</v>
      </c>
      <c r="AN161" s="1">
        <f t="shared" si="39"/>
        <v>212</v>
      </c>
      <c r="AO161" s="1">
        <f t="shared" si="40"/>
        <v>162</v>
      </c>
      <c r="AP161" s="1">
        <f t="shared" si="41"/>
        <v>221</v>
      </c>
      <c r="AR161" s="8">
        <f>COUNTIFS(score4pijlen,AP161) </f>
        <v>2</v>
      </c>
    </row>
    <row r="162">
      <c r="A162" s="2">
        <v>162.0</v>
      </c>
      <c r="B162" s="1">
        <f t="shared" si="2"/>
        <v>163</v>
      </c>
      <c r="C162" s="1">
        <f t="shared" si="3"/>
        <v>164</v>
      </c>
      <c r="D162" s="1">
        <f t="shared" si="4"/>
        <v>163</v>
      </c>
      <c r="E162" s="1">
        <f t="shared" si="5"/>
        <v>166</v>
      </c>
      <c r="F162" s="1">
        <f t="shared" si="6"/>
        <v>163</v>
      </c>
      <c r="G162" s="1">
        <f t="shared" si="7"/>
        <v>168</v>
      </c>
      <c r="H162" s="1">
        <f t="shared" si="8"/>
        <v>163</v>
      </c>
      <c r="I162" s="1">
        <f t="shared" si="9"/>
        <v>170</v>
      </c>
      <c r="J162" s="1">
        <f t="shared" si="10"/>
        <v>163</v>
      </c>
      <c r="K162" s="1">
        <f t="shared" si="11"/>
        <v>172</v>
      </c>
      <c r="L162" s="1">
        <f t="shared" si="12"/>
        <v>163</v>
      </c>
      <c r="M162" s="1">
        <f t="shared" si="13"/>
        <v>174</v>
      </c>
      <c r="N162" s="1">
        <f t="shared" si="14"/>
        <v>163</v>
      </c>
      <c r="O162" s="1">
        <f t="shared" si="15"/>
        <v>176</v>
      </c>
      <c r="P162" s="1">
        <f t="shared" si="16"/>
        <v>163</v>
      </c>
      <c r="Q162" s="1">
        <f t="shared" si="17"/>
        <v>178</v>
      </c>
      <c r="R162" s="1">
        <f t="shared" si="18"/>
        <v>163</v>
      </c>
      <c r="S162" s="1">
        <f t="shared" si="19"/>
        <v>180</v>
      </c>
      <c r="T162" s="1">
        <f t="shared" si="20"/>
        <v>163</v>
      </c>
      <c r="U162" s="1">
        <f t="shared" si="21"/>
        <v>182</v>
      </c>
      <c r="V162" s="1">
        <f t="shared" si="22"/>
        <v>163</v>
      </c>
      <c r="W162" s="1">
        <f t="shared" si="23"/>
        <v>184</v>
      </c>
      <c r="X162" s="1">
        <f t="shared" si="24"/>
        <v>163</v>
      </c>
      <c r="Y162" s="1">
        <f t="shared" si="25"/>
        <v>187</v>
      </c>
      <c r="Z162" s="1">
        <f t="shared" si="26"/>
        <v>163</v>
      </c>
      <c r="AA162" s="1">
        <f t="shared" si="27"/>
        <v>190</v>
      </c>
      <c r="AB162" s="1">
        <f t="shared" si="28"/>
        <v>163</v>
      </c>
      <c r="AC162" s="1">
        <f t="shared" si="29"/>
        <v>194</v>
      </c>
      <c r="AD162" s="1">
        <f t="shared" si="30"/>
        <v>163</v>
      </c>
      <c r="AE162" s="1">
        <f t="shared" si="31"/>
        <v>196</v>
      </c>
      <c r="AF162" s="1">
        <f t="shared" si="32"/>
        <v>163</v>
      </c>
      <c r="AG162" s="1">
        <f t="shared" si="33"/>
        <v>200</v>
      </c>
      <c r="AH162" s="1">
        <f t="shared" ref="AH162:AI162" si="200">$B$1+$A162</f>
        <v>163</v>
      </c>
      <c r="AI162" s="1">
        <f t="shared" si="200"/>
        <v>163</v>
      </c>
      <c r="AJ162" s="1">
        <f t="shared" si="35"/>
        <v>204</v>
      </c>
      <c r="AK162" s="1">
        <f t="shared" si="36"/>
        <v>163</v>
      </c>
      <c r="AL162" s="1">
        <f t="shared" si="37"/>
        <v>210</v>
      </c>
      <c r="AM162" s="1">
        <f t="shared" si="38"/>
        <v>163</v>
      </c>
      <c r="AN162" s="1">
        <f t="shared" si="39"/>
        <v>213</v>
      </c>
      <c r="AO162" s="1">
        <f t="shared" si="40"/>
        <v>163</v>
      </c>
      <c r="AP162" s="1">
        <f t="shared" si="41"/>
        <v>222</v>
      </c>
      <c r="AR162" s="8">
        <f>COUNTIFS(score4pijlen,AP162) </f>
        <v>3</v>
      </c>
    </row>
    <row r="163">
      <c r="A163" s="2">
        <v>164.0</v>
      </c>
      <c r="B163" s="1">
        <f t="shared" si="2"/>
        <v>165</v>
      </c>
      <c r="C163" s="1">
        <f t="shared" si="3"/>
        <v>166</v>
      </c>
      <c r="D163" s="1">
        <f t="shared" si="4"/>
        <v>165</v>
      </c>
      <c r="E163" s="1">
        <f t="shared" si="5"/>
        <v>168</v>
      </c>
      <c r="F163" s="1">
        <f t="shared" si="6"/>
        <v>165</v>
      </c>
      <c r="G163" s="1">
        <f t="shared" si="7"/>
        <v>170</v>
      </c>
      <c r="H163" s="1">
        <f t="shared" si="8"/>
        <v>165</v>
      </c>
      <c r="I163" s="1">
        <f t="shared" si="9"/>
        <v>172</v>
      </c>
      <c r="J163" s="1">
        <f t="shared" si="10"/>
        <v>165</v>
      </c>
      <c r="K163" s="1">
        <f t="shared" si="11"/>
        <v>174</v>
      </c>
      <c r="L163" s="1">
        <f t="shared" si="12"/>
        <v>165</v>
      </c>
      <c r="M163" s="1">
        <f t="shared" si="13"/>
        <v>176</v>
      </c>
      <c r="N163" s="1">
        <f t="shared" si="14"/>
        <v>165</v>
      </c>
      <c r="O163" s="1">
        <f t="shared" si="15"/>
        <v>178</v>
      </c>
      <c r="P163" s="1">
        <f t="shared" si="16"/>
        <v>165</v>
      </c>
      <c r="Q163" s="1">
        <f t="shared" si="17"/>
        <v>180</v>
      </c>
      <c r="R163" s="1">
        <f t="shared" si="18"/>
        <v>165</v>
      </c>
      <c r="S163" s="1">
        <f t="shared" si="19"/>
        <v>182</v>
      </c>
      <c r="T163" s="1">
        <f t="shared" si="20"/>
        <v>165</v>
      </c>
      <c r="U163" s="1">
        <f t="shared" si="21"/>
        <v>184</v>
      </c>
      <c r="V163" s="1">
        <f t="shared" si="22"/>
        <v>165</v>
      </c>
      <c r="W163" s="1">
        <f t="shared" si="23"/>
        <v>186</v>
      </c>
      <c r="X163" s="1">
        <f t="shared" si="24"/>
        <v>165</v>
      </c>
      <c r="Y163" s="1">
        <f t="shared" si="25"/>
        <v>189</v>
      </c>
      <c r="Z163" s="1">
        <f t="shared" si="26"/>
        <v>165</v>
      </c>
      <c r="AA163" s="1">
        <f t="shared" si="27"/>
        <v>192</v>
      </c>
      <c r="AB163" s="1">
        <f t="shared" si="28"/>
        <v>165</v>
      </c>
      <c r="AC163" s="1">
        <f t="shared" si="29"/>
        <v>196</v>
      </c>
      <c r="AD163" s="1">
        <f t="shared" si="30"/>
        <v>165</v>
      </c>
      <c r="AE163" s="1">
        <f t="shared" si="31"/>
        <v>198</v>
      </c>
      <c r="AF163" s="1">
        <f t="shared" si="32"/>
        <v>165</v>
      </c>
      <c r="AG163" s="1">
        <f t="shared" si="33"/>
        <v>202</v>
      </c>
      <c r="AH163" s="1">
        <f t="shared" ref="AH163:AI163" si="201">$B$1+$A163</f>
        <v>165</v>
      </c>
      <c r="AI163" s="1">
        <f t="shared" si="201"/>
        <v>165</v>
      </c>
      <c r="AJ163" s="1">
        <f t="shared" si="35"/>
        <v>206</v>
      </c>
      <c r="AK163" s="1">
        <f t="shared" si="36"/>
        <v>165</v>
      </c>
      <c r="AL163" s="1">
        <f t="shared" si="37"/>
        <v>212</v>
      </c>
      <c r="AM163" s="1">
        <f t="shared" si="38"/>
        <v>165</v>
      </c>
      <c r="AN163" s="1">
        <f t="shared" si="39"/>
        <v>215</v>
      </c>
      <c r="AO163" s="1">
        <f t="shared" si="40"/>
        <v>165</v>
      </c>
      <c r="AP163" s="1">
        <f t="shared" si="41"/>
        <v>224</v>
      </c>
      <c r="AR163" s="8">
        <f>COUNTIFS(score4pijlen,AP163) </f>
        <v>2</v>
      </c>
    </row>
    <row r="164">
      <c r="A164" s="2">
        <v>165.0</v>
      </c>
      <c r="B164" s="1">
        <f t="shared" si="2"/>
        <v>166</v>
      </c>
      <c r="C164" s="1">
        <f t="shared" si="3"/>
        <v>167</v>
      </c>
      <c r="D164" s="1">
        <f t="shared" si="4"/>
        <v>166</v>
      </c>
      <c r="E164" s="1">
        <f t="shared" si="5"/>
        <v>169</v>
      </c>
      <c r="F164" s="1">
        <f t="shared" si="6"/>
        <v>166</v>
      </c>
      <c r="G164" s="1">
        <f t="shared" si="7"/>
        <v>171</v>
      </c>
      <c r="H164" s="1">
        <f t="shared" si="8"/>
        <v>166</v>
      </c>
      <c r="I164" s="1">
        <f t="shared" si="9"/>
        <v>173</v>
      </c>
      <c r="J164" s="1">
        <f t="shared" si="10"/>
        <v>166</v>
      </c>
      <c r="K164" s="1">
        <f t="shared" si="11"/>
        <v>175</v>
      </c>
      <c r="L164" s="1">
        <f t="shared" si="12"/>
        <v>166</v>
      </c>
      <c r="M164" s="1">
        <f t="shared" si="13"/>
        <v>177</v>
      </c>
      <c r="N164" s="1">
        <f t="shared" si="14"/>
        <v>166</v>
      </c>
      <c r="O164" s="1">
        <f t="shared" si="15"/>
        <v>179</v>
      </c>
      <c r="P164" s="1">
        <f t="shared" si="16"/>
        <v>166</v>
      </c>
      <c r="Q164" s="1">
        <f t="shared" si="17"/>
        <v>181</v>
      </c>
      <c r="R164" s="1">
        <f t="shared" si="18"/>
        <v>166</v>
      </c>
      <c r="S164" s="1">
        <f t="shared" si="19"/>
        <v>183</v>
      </c>
      <c r="T164" s="1">
        <f t="shared" si="20"/>
        <v>166</v>
      </c>
      <c r="U164" s="1">
        <f t="shared" si="21"/>
        <v>185</v>
      </c>
      <c r="V164" s="1">
        <f t="shared" si="22"/>
        <v>166</v>
      </c>
      <c r="W164" s="1">
        <f t="shared" si="23"/>
        <v>187</v>
      </c>
      <c r="X164" s="1">
        <f t="shared" si="24"/>
        <v>166</v>
      </c>
      <c r="Y164" s="1">
        <f t="shared" si="25"/>
        <v>190</v>
      </c>
      <c r="Z164" s="1">
        <f t="shared" si="26"/>
        <v>166</v>
      </c>
      <c r="AA164" s="1">
        <f t="shared" si="27"/>
        <v>193</v>
      </c>
      <c r="AB164" s="1">
        <f t="shared" si="28"/>
        <v>166</v>
      </c>
      <c r="AC164" s="1">
        <f t="shared" si="29"/>
        <v>197</v>
      </c>
      <c r="AD164" s="1">
        <f t="shared" si="30"/>
        <v>166</v>
      </c>
      <c r="AE164" s="1">
        <f t="shared" si="31"/>
        <v>199</v>
      </c>
      <c r="AF164" s="1">
        <f t="shared" si="32"/>
        <v>166</v>
      </c>
      <c r="AG164" s="1">
        <f t="shared" si="33"/>
        <v>203</v>
      </c>
      <c r="AH164" s="1">
        <f t="shared" ref="AH164:AI164" si="202">$B$1+$A164</f>
        <v>166</v>
      </c>
      <c r="AI164" s="1">
        <f t="shared" si="202"/>
        <v>166</v>
      </c>
      <c r="AJ164" s="1">
        <f t="shared" si="35"/>
        <v>207</v>
      </c>
      <c r="AK164" s="1">
        <f t="shared" si="36"/>
        <v>166</v>
      </c>
      <c r="AL164" s="1">
        <f t="shared" si="37"/>
        <v>213</v>
      </c>
      <c r="AM164" s="1">
        <f t="shared" si="38"/>
        <v>166</v>
      </c>
      <c r="AN164" s="1">
        <f t="shared" si="39"/>
        <v>216</v>
      </c>
      <c r="AO164" s="1">
        <f t="shared" si="40"/>
        <v>166</v>
      </c>
      <c r="AP164" s="1">
        <f t="shared" si="41"/>
        <v>225</v>
      </c>
      <c r="AR164" s="8">
        <f>COUNTIFS(score4pijlen,AP164) </f>
        <v>1</v>
      </c>
    </row>
    <row r="165">
      <c r="A165" s="2">
        <v>166.0</v>
      </c>
      <c r="B165" s="1">
        <f t="shared" si="2"/>
        <v>167</v>
      </c>
      <c r="C165" s="1">
        <f t="shared" si="3"/>
        <v>168</v>
      </c>
      <c r="D165" s="1">
        <f t="shared" si="4"/>
        <v>167</v>
      </c>
      <c r="E165" s="1">
        <f t="shared" si="5"/>
        <v>170</v>
      </c>
      <c r="F165" s="1">
        <f t="shared" si="6"/>
        <v>167</v>
      </c>
      <c r="G165" s="1">
        <f t="shared" si="7"/>
        <v>172</v>
      </c>
      <c r="H165" s="1">
        <f t="shared" si="8"/>
        <v>167</v>
      </c>
      <c r="I165" s="1">
        <f t="shared" si="9"/>
        <v>174</v>
      </c>
      <c r="J165" s="1">
        <f t="shared" si="10"/>
        <v>167</v>
      </c>
      <c r="K165" s="1">
        <f t="shared" si="11"/>
        <v>176</v>
      </c>
      <c r="L165" s="1">
        <f t="shared" si="12"/>
        <v>167</v>
      </c>
      <c r="M165" s="1">
        <f t="shared" si="13"/>
        <v>178</v>
      </c>
      <c r="N165" s="1">
        <f t="shared" si="14"/>
        <v>167</v>
      </c>
      <c r="O165" s="1">
        <f t="shared" si="15"/>
        <v>180</v>
      </c>
      <c r="P165" s="1">
        <f t="shared" si="16"/>
        <v>167</v>
      </c>
      <c r="Q165" s="1">
        <f t="shared" si="17"/>
        <v>182</v>
      </c>
      <c r="R165" s="1">
        <f t="shared" si="18"/>
        <v>167</v>
      </c>
      <c r="S165" s="1">
        <f t="shared" si="19"/>
        <v>184</v>
      </c>
      <c r="T165" s="1">
        <f t="shared" si="20"/>
        <v>167</v>
      </c>
      <c r="U165" s="1">
        <f t="shared" si="21"/>
        <v>186</v>
      </c>
      <c r="V165" s="1">
        <f t="shared" si="22"/>
        <v>167</v>
      </c>
      <c r="W165" s="1">
        <f t="shared" si="23"/>
        <v>188</v>
      </c>
      <c r="X165" s="1">
        <f t="shared" si="24"/>
        <v>167</v>
      </c>
      <c r="Y165" s="1">
        <f t="shared" si="25"/>
        <v>191</v>
      </c>
      <c r="Z165" s="1">
        <f t="shared" si="26"/>
        <v>167</v>
      </c>
      <c r="AA165" s="1">
        <f t="shared" si="27"/>
        <v>194</v>
      </c>
      <c r="AB165" s="1">
        <f t="shared" si="28"/>
        <v>167</v>
      </c>
      <c r="AC165" s="1">
        <f t="shared" si="29"/>
        <v>198</v>
      </c>
      <c r="AD165" s="1">
        <f t="shared" si="30"/>
        <v>167</v>
      </c>
      <c r="AE165" s="1">
        <f t="shared" si="31"/>
        <v>200</v>
      </c>
      <c r="AF165" s="1">
        <f t="shared" si="32"/>
        <v>167</v>
      </c>
      <c r="AG165" s="1">
        <f t="shared" si="33"/>
        <v>204</v>
      </c>
      <c r="AH165" s="1">
        <f t="shared" ref="AH165:AI165" si="203">$B$1+$A165</f>
        <v>167</v>
      </c>
      <c r="AI165" s="1">
        <f t="shared" si="203"/>
        <v>167</v>
      </c>
      <c r="AJ165" s="1">
        <f t="shared" si="35"/>
        <v>208</v>
      </c>
      <c r="AK165" s="1">
        <f t="shared" si="36"/>
        <v>167</v>
      </c>
      <c r="AL165" s="1">
        <f t="shared" si="37"/>
        <v>214</v>
      </c>
      <c r="AM165" s="1">
        <f t="shared" si="38"/>
        <v>167</v>
      </c>
      <c r="AN165" s="1">
        <f t="shared" si="39"/>
        <v>217</v>
      </c>
      <c r="AO165" s="1">
        <f t="shared" si="40"/>
        <v>167</v>
      </c>
      <c r="AP165" s="1">
        <f t="shared" si="41"/>
        <v>226</v>
      </c>
      <c r="AR165" s="8">
        <f>COUNTIFS(score4pijlen,AP165) </f>
        <v>1</v>
      </c>
    </row>
    <row r="166">
      <c r="A166" s="2">
        <v>167.0</v>
      </c>
      <c r="B166" s="1">
        <f t="shared" si="2"/>
        <v>168</v>
      </c>
      <c r="C166" s="1">
        <f t="shared" si="3"/>
        <v>169</v>
      </c>
      <c r="D166" s="1">
        <f t="shared" si="4"/>
        <v>168</v>
      </c>
      <c r="E166" s="1">
        <f t="shared" si="5"/>
        <v>171</v>
      </c>
      <c r="F166" s="1">
        <f t="shared" si="6"/>
        <v>168</v>
      </c>
      <c r="G166" s="1">
        <f t="shared" si="7"/>
        <v>173</v>
      </c>
      <c r="H166" s="1">
        <f t="shared" si="8"/>
        <v>168</v>
      </c>
      <c r="I166" s="1">
        <f t="shared" si="9"/>
        <v>175</v>
      </c>
      <c r="J166" s="1">
        <f t="shared" si="10"/>
        <v>168</v>
      </c>
      <c r="K166" s="1">
        <f t="shared" si="11"/>
        <v>177</v>
      </c>
      <c r="L166" s="1">
        <f t="shared" si="12"/>
        <v>168</v>
      </c>
      <c r="M166" s="1">
        <f t="shared" si="13"/>
        <v>179</v>
      </c>
      <c r="N166" s="1">
        <f t="shared" si="14"/>
        <v>168</v>
      </c>
      <c r="O166" s="1">
        <f t="shared" si="15"/>
        <v>181</v>
      </c>
      <c r="P166" s="1">
        <f t="shared" si="16"/>
        <v>168</v>
      </c>
      <c r="Q166" s="1">
        <f t="shared" si="17"/>
        <v>183</v>
      </c>
      <c r="R166" s="1">
        <f t="shared" si="18"/>
        <v>168</v>
      </c>
      <c r="S166" s="1">
        <f t="shared" si="19"/>
        <v>185</v>
      </c>
      <c r="T166" s="1">
        <f t="shared" si="20"/>
        <v>168</v>
      </c>
      <c r="U166" s="1">
        <f t="shared" si="21"/>
        <v>187</v>
      </c>
      <c r="V166" s="1">
        <f t="shared" si="22"/>
        <v>168</v>
      </c>
      <c r="W166" s="1">
        <f t="shared" si="23"/>
        <v>189</v>
      </c>
      <c r="X166" s="1">
        <f t="shared" si="24"/>
        <v>168</v>
      </c>
      <c r="Y166" s="1">
        <f t="shared" si="25"/>
        <v>192</v>
      </c>
      <c r="Z166" s="1">
        <f t="shared" si="26"/>
        <v>168</v>
      </c>
      <c r="AA166" s="1">
        <f t="shared" si="27"/>
        <v>195</v>
      </c>
      <c r="AB166" s="1">
        <f t="shared" si="28"/>
        <v>168</v>
      </c>
      <c r="AC166" s="1">
        <f t="shared" si="29"/>
        <v>199</v>
      </c>
      <c r="AD166" s="1">
        <f t="shared" si="30"/>
        <v>168</v>
      </c>
      <c r="AE166" s="1">
        <f t="shared" si="31"/>
        <v>201</v>
      </c>
      <c r="AF166" s="1">
        <f t="shared" si="32"/>
        <v>168</v>
      </c>
      <c r="AG166" s="1">
        <f t="shared" si="33"/>
        <v>205</v>
      </c>
      <c r="AH166" s="1">
        <f t="shared" ref="AH166:AI166" si="204">$B$1+$A166</f>
        <v>168</v>
      </c>
      <c r="AI166" s="1">
        <f t="shared" si="204"/>
        <v>168</v>
      </c>
      <c r="AJ166" s="1">
        <f t="shared" si="35"/>
        <v>209</v>
      </c>
      <c r="AK166" s="1">
        <f t="shared" si="36"/>
        <v>168</v>
      </c>
      <c r="AL166" s="1">
        <f t="shared" si="37"/>
        <v>215</v>
      </c>
      <c r="AM166" s="1">
        <f t="shared" si="38"/>
        <v>168</v>
      </c>
      <c r="AN166" s="1">
        <f t="shared" si="39"/>
        <v>218</v>
      </c>
      <c r="AO166" s="1">
        <f t="shared" si="40"/>
        <v>168</v>
      </c>
      <c r="AP166" s="1">
        <f t="shared" si="41"/>
        <v>227</v>
      </c>
      <c r="AR166" s="8">
        <f>COUNTIFS(score4pijlen,AP166) </f>
        <v>2</v>
      </c>
    </row>
    <row r="167">
      <c r="A167" s="2">
        <v>168.0</v>
      </c>
      <c r="B167" s="1">
        <f t="shared" si="2"/>
        <v>169</v>
      </c>
      <c r="C167" s="1">
        <f t="shared" si="3"/>
        <v>170</v>
      </c>
      <c r="D167" s="1">
        <f t="shared" si="4"/>
        <v>169</v>
      </c>
      <c r="E167" s="1">
        <f t="shared" si="5"/>
        <v>172</v>
      </c>
      <c r="F167" s="1">
        <f t="shared" si="6"/>
        <v>169</v>
      </c>
      <c r="G167" s="1">
        <f t="shared" si="7"/>
        <v>174</v>
      </c>
      <c r="H167" s="1">
        <f t="shared" si="8"/>
        <v>169</v>
      </c>
      <c r="I167" s="1">
        <f t="shared" si="9"/>
        <v>176</v>
      </c>
      <c r="J167" s="1">
        <f t="shared" si="10"/>
        <v>169</v>
      </c>
      <c r="K167" s="1">
        <f t="shared" si="11"/>
        <v>178</v>
      </c>
      <c r="L167" s="1">
        <f t="shared" si="12"/>
        <v>169</v>
      </c>
      <c r="M167" s="1">
        <f t="shared" si="13"/>
        <v>180</v>
      </c>
      <c r="N167" s="1">
        <f t="shared" si="14"/>
        <v>169</v>
      </c>
      <c r="O167" s="1">
        <f t="shared" si="15"/>
        <v>182</v>
      </c>
      <c r="P167" s="1">
        <f t="shared" si="16"/>
        <v>169</v>
      </c>
      <c r="Q167" s="1">
        <f t="shared" si="17"/>
        <v>184</v>
      </c>
      <c r="R167" s="1">
        <f t="shared" si="18"/>
        <v>169</v>
      </c>
      <c r="S167" s="1">
        <f t="shared" si="19"/>
        <v>186</v>
      </c>
      <c r="T167" s="1">
        <f t="shared" si="20"/>
        <v>169</v>
      </c>
      <c r="U167" s="1">
        <f t="shared" si="21"/>
        <v>188</v>
      </c>
      <c r="V167" s="1">
        <f t="shared" si="22"/>
        <v>169</v>
      </c>
      <c r="W167" s="1">
        <f t="shared" si="23"/>
        <v>190</v>
      </c>
      <c r="X167" s="1">
        <f t="shared" si="24"/>
        <v>169</v>
      </c>
      <c r="Y167" s="1">
        <f t="shared" si="25"/>
        <v>193</v>
      </c>
      <c r="Z167" s="1">
        <f t="shared" si="26"/>
        <v>169</v>
      </c>
      <c r="AA167" s="1">
        <f t="shared" si="27"/>
        <v>196</v>
      </c>
      <c r="AB167" s="1">
        <f t="shared" si="28"/>
        <v>169</v>
      </c>
      <c r="AC167" s="1">
        <f t="shared" si="29"/>
        <v>200</v>
      </c>
      <c r="AD167" s="1">
        <f t="shared" si="30"/>
        <v>169</v>
      </c>
      <c r="AE167" s="1">
        <f t="shared" si="31"/>
        <v>202</v>
      </c>
      <c r="AF167" s="1">
        <f t="shared" si="32"/>
        <v>169</v>
      </c>
      <c r="AG167" s="1">
        <f t="shared" si="33"/>
        <v>206</v>
      </c>
      <c r="AH167" s="1">
        <f t="shared" ref="AH167:AI167" si="205">$B$1+$A167</f>
        <v>169</v>
      </c>
      <c r="AI167" s="1">
        <f t="shared" si="205"/>
        <v>169</v>
      </c>
      <c r="AJ167" s="1">
        <f t="shared" si="35"/>
        <v>210</v>
      </c>
      <c r="AK167" s="1">
        <f t="shared" si="36"/>
        <v>169</v>
      </c>
      <c r="AL167" s="1">
        <f t="shared" si="37"/>
        <v>216</v>
      </c>
      <c r="AM167" s="1">
        <f t="shared" si="38"/>
        <v>169</v>
      </c>
      <c r="AN167" s="1">
        <f t="shared" si="39"/>
        <v>219</v>
      </c>
      <c r="AO167" s="1">
        <f t="shared" si="40"/>
        <v>169</v>
      </c>
      <c r="AP167" s="1">
        <f t="shared" si="41"/>
        <v>228</v>
      </c>
      <c r="AR167" s="8">
        <f>COUNTIFS(score4pijlen,AP167) </f>
        <v>2</v>
      </c>
    </row>
    <row r="168">
      <c r="A168" s="2">
        <v>170.0</v>
      </c>
      <c r="B168" s="1">
        <f t="shared" si="2"/>
        <v>171</v>
      </c>
      <c r="C168" s="1">
        <f t="shared" si="3"/>
        <v>172</v>
      </c>
      <c r="D168" s="1">
        <f t="shared" si="4"/>
        <v>171</v>
      </c>
      <c r="E168" s="1">
        <f t="shared" si="5"/>
        <v>174</v>
      </c>
      <c r="F168" s="1">
        <f t="shared" si="6"/>
        <v>171</v>
      </c>
      <c r="G168" s="1">
        <f t="shared" si="7"/>
        <v>176</v>
      </c>
      <c r="H168" s="1">
        <f t="shared" si="8"/>
        <v>171</v>
      </c>
      <c r="I168" s="1">
        <f t="shared" si="9"/>
        <v>178</v>
      </c>
      <c r="J168" s="1">
        <f t="shared" si="10"/>
        <v>171</v>
      </c>
      <c r="K168" s="1">
        <f t="shared" si="11"/>
        <v>180</v>
      </c>
      <c r="L168" s="1">
        <f t="shared" si="12"/>
        <v>171</v>
      </c>
      <c r="M168" s="1">
        <f t="shared" si="13"/>
        <v>182</v>
      </c>
      <c r="N168" s="1">
        <f t="shared" si="14"/>
        <v>171</v>
      </c>
      <c r="O168" s="1">
        <f t="shared" si="15"/>
        <v>184</v>
      </c>
      <c r="P168" s="1">
        <f t="shared" si="16"/>
        <v>171</v>
      </c>
      <c r="Q168" s="1">
        <f t="shared" si="17"/>
        <v>186</v>
      </c>
      <c r="R168" s="1">
        <f t="shared" si="18"/>
        <v>171</v>
      </c>
      <c r="S168" s="1">
        <f t="shared" si="19"/>
        <v>188</v>
      </c>
      <c r="T168" s="1">
        <f t="shared" si="20"/>
        <v>171</v>
      </c>
      <c r="U168" s="1">
        <f t="shared" si="21"/>
        <v>190</v>
      </c>
      <c r="V168" s="1">
        <f t="shared" si="22"/>
        <v>171</v>
      </c>
      <c r="W168" s="1">
        <f t="shared" si="23"/>
        <v>192</v>
      </c>
      <c r="X168" s="1">
        <f t="shared" si="24"/>
        <v>171</v>
      </c>
      <c r="Y168" s="1">
        <f t="shared" si="25"/>
        <v>195</v>
      </c>
      <c r="Z168" s="1">
        <f t="shared" si="26"/>
        <v>171</v>
      </c>
      <c r="AA168" s="1">
        <f t="shared" si="27"/>
        <v>198</v>
      </c>
      <c r="AB168" s="1">
        <f t="shared" si="28"/>
        <v>171</v>
      </c>
      <c r="AC168" s="1">
        <f t="shared" si="29"/>
        <v>202</v>
      </c>
      <c r="AD168" s="1">
        <f t="shared" si="30"/>
        <v>171</v>
      </c>
      <c r="AE168" s="1">
        <f t="shared" si="31"/>
        <v>204</v>
      </c>
      <c r="AF168" s="1">
        <f t="shared" si="32"/>
        <v>171</v>
      </c>
      <c r="AG168" s="1">
        <f t="shared" si="33"/>
        <v>208</v>
      </c>
      <c r="AH168" s="1">
        <f t="shared" ref="AH168:AI168" si="206">$B$1+$A168</f>
        <v>171</v>
      </c>
      <c r="AI168" s="1">
        <f t="shared" si="206"/>
        <v>171</v>
      </c>
      <c r="AJ168" s="1">
        <f t="shared" si="35"/>
        <v>212</v>
      </c>
      <c r="AK168" s="1">
        <f t="shared" si="36"/>
        <v>171</v>
      </c>
      <c r="AL168" s="1">
        <f t="shared" si="37"/>
        <v>218</v>
      </c>
      <c r="AM168" s="1">
        <f t="shared" si="38"/>
        <v>171</v>
      </c>
      <c r="AN168" s="1">
        <f t="shared" si="39"/>
        <v>221</v>
      </c>
      <c r="AO168" s="1">
        <f t="shared" si="40"/>
        <v>171</v>
      </c>
      <c r="AP168" s="1">
        <f t="shared" si="41"/>
        <v>230</v>
      </c>
      <c r="AR168" s="8">
        <f>COUNTIFS(score4pijlen,AP168) </f>
        <v>2</v>
      </c>
    </row>
    <row r="169">
      <c r="A169" s="2">
        <v>171.0</v>
      </c>
      <c r="B169" s="1">
        <f t="shared" si="2"/>
        <v>172</v>
      </c>
      <c r="C169" s="1">
        <f t="shared" si="3"/>
        <v>173</v>
      </c>
      <c r="D169" s="1">
        <f t="shared" si="4"/>
        <v>172</v>
      </c>
      <c r="E169" s="1">
        <f t="shared" si="5"/>
        <v>175</v>
      </c>
      <c r="F169" s="1">
        <f t="shared" si="6"/>
        <v>172</v>
      </c>
      <c r="G169" s="1">
        <f t="shared" si="7"/>
        <v>177</v>
      </c>
      <c r="H169" s="1">
        <f t="shared" si="8"/>
        <v>172</v>
      </c>
      <c r="I169" s="1">
        <f t="shared" si="9"/>
        <v>179</v>
      </c>
      <c r="J169" s="1">
        <f t="shared" si="10"/>
        <v>172</v>
      </c>
      <c r="K169" s="1">
        <f t="shared" si="11"/>
        <v>181</v>
      </c>
      <c r="L169" s="1">
        <f t="shared" si="12"/>
        <v>172</v>
      </c>
      <c r="M169" s="1">
        <f t="shared" si="13"/>
        <v>183</v>
      </c>
      <c r="N169" s="1">
        <f t="shared" si="14"/>
        <v>172</v>
      </c>
      <c r="O169" s="1">
        <f t="shared" si="15"/>
        <v>185</v>
      </c>
      <c r="P169" s="1">
        <f t="shared" si="16"/>
        <v>172</v>
      </c>
      <c r="Q169" s="1">
        <f t="shared" si="17"/>
        <v>187</v>
      </c>
      <c r="R169" s="1">
        <f t="shared" si="18"/>
        <v>172</v>
      </c>
      <c r="S169" s="1">
        <f t="shared" si="19"/>
        <v>189</v>
      </c>
      <c r="T169" s="1">
        <f t="shared" si="20"/>
        <v>172</v>
      </c>
      <c r="U169" s="1">
        <f t="shared" si="21"/>
        <v>191</v>
      </c>
      <c r="V169" s="1">
        <f t="shared" si="22"/>
        <v>172</v>
      </c>
      <c r="W169" s="1">
        <f t="shared" si="23"/>
        <v>193</v>
      </c>
      <c r="X169" s="1">
        <f t="shared" si="24"/>
        <v>172</v>
      </c>
      <c r="Y169" s="1">
        <f t="shared" si="25"/>
        <v>196</v>
      </c>
      <c r="Z169" s="1">
        <f t="shared" si="26"/>
        <v>172</v>
      </c>
      <c r="AA169" s="1">
        <f t="shared" si="27"/>
        <v>199</v>
      </c>
      <c r="AB169" s="1">
        <f t="shared" si="28"/>
        <v>172</v>
      </c>
      <c r="AC169" s="1">
        <f t="shared" si="29"/>
        <v>203</v>
      </c>
      <c r="AD169" s="1">
        <f t="shared" si="30"/>
        <v>172</v>
      </c>
      <c r="AE169" s="1">
        <f t="shared" si="31"/>
        <v>205</v>
      </c>
      <c r="AF169" s="1">
        <f t="shared" si="32"/>
        <v>172</v>
      </c>
      <c r="AG169" s="1">
        <f t="shared" si="33"/>
        <v>209</v>
      </c>
      <c r="AH169" s="1">
        <f t="shared" ref="AH169:AI169" si="207">$B$1+$A169</f>
        <v>172</v>
      </c>
      <c r="AI169" s="1">
        <f t="shared" si="207"/>
        <v>172</v>
      </c>
      <c r="AJ169" s="1">
        <f t="shared" si="35"/>
        <v>213</v>
      </c>
      <c r="AK169" s="1">
        <f t="shared" si="36"/>
        <v>172</v>
      </c>
      <c r="AL169" s="1">
        <f t="shared" si="37"/>
        <v>219</v>
      </c>
      <c r="AM169" s="1">
        <f t="shared" si="38"/>
        <v>172</v>
      </c>
      <c r="AN169" s="1">
        <f t="shared" si="39"/>
        <v>222</v>
      </c>
      <c r="AO169" s="1">
        <f t="shared" si="40"/>
        <v>172</v>
      </c>
      <c r="AP169" s="1">
        <f t="shared" si="41"/>
        <v>231</v>
      </c>
      <c r="AR169" s="8">
        <f>COUNTIFS(score4pijlen,AP169) </f>
        <v>1</v>
      </c>
    </row>
    <row r="170">
      <c r="A170" s="2">
        <v>174.0</v>
      </c>
      <c r="B170" s="1">
        <f t="shared" si="2"/>
        <v>175</v>
      </c>
      <c r="C170" s="1">
        <f t="shared" si="3"/>
        <v>176</v>
      </c>
      <c r="D170" s="1">
        <f t="shared" si="4"/>
        <v>175</v>
      </c>
      <c r="E170" s="1">
        <f t="shared" si="5"/>
        <v>178</v>
      </c>
      <c r="F170" s="1">
        <f t="shared" si="6"/>
        <v>175</v>
      </c>
      <c r="G170" s="1">
        <f t="shared" si="7"/>
        <v>180</v>
      </c>
      <c r="H170" s="1">
        <f t="shared" si="8"/>
        <v>175</v>
      </c>
      <c r="I170" s="1">
        <f t="shared" si="9"/>
        <v>182</v>
      </c>
      <c r="J170" s="1">
        <f t="shared" si="10"/>
        <v>175</v>
      </c>
      <c r="K170" s="1">
        <f t="shared" si="11"/>
        <v>184</v>
      </c>
      <c r="L170" s="1">
        <f t="shared" si="12"/>
        <v>175</v>
      </c>
      <c r="M170" s="1">
        <f t="shared" si="13"/>
        <v>186</v>
      </c>
      <c r="N170" s="1">
        <f t="shared" si="14"/>
        <v>175</v>
      </c>
      <c r="O170" s="1">
        <f t="shared" si="15"/>
        <v>188</v>
      </c>
      <c r="P170" s="1">
        <f t="shared" si="16"/>
        <v>175</v>
      </c>
      <c r="Q170" s="1">
        <f t="shared" si="17"/>
        <v>190</v>
      </c>
      <c r="R170" s="1">
        <f t="shared" si="18"/>
        <v>175</v>
      </c>
      <c r="S170" s="1">
        <f t="shared" si="19"/>
        <v>192</v>
      </c>
      <c r="T170" s="1">
        <f t="shared" ref="T170:Y170" si="208">T$1+$A170</f>
        <v>193</v>
      </c>
      <c r="U170" s="1">
        <f t="shared" si="208"/>
        <v>194</v>
      </c>
      <c r="V170" s="1">
        <f t="shared" si="208"/>
        <v>195</v>
      </c>
      <c r="W170" s="1">
        <f t="shared" si="208"/>
        <v>196</v>
      </c>
      <c r="X170" s="1">
        <f t="shared" si="208"/>
        <v>198</v>
      </c>
      <c r="Y170" s="1">
        <f t="shared" si="208"/>
        <v>199</v>
      </c>
      <c r="Z170" s="1">
        <f t="shared" si="26"/>
        <v>175</v>
      </c>
      <c r="AA170" s="1">
        <f t="shared" si="27"/>
        <v>202</v>
      </c>
      <c r="AB170" s="1">
        <f t="shared" si="28"/>
        <v>175</v>
      </c>
      <c r="AC170" s="1">
        <f t="shared" ref="AC170:AC173" si="213">$B$1+$A170</f>
        <v>175</v>
      </c>
      <c r="AD170" s="1">
        <f t="shared" ref="AD170:AD173" si="214">AD$1+$A170</f>
        <v>207</v>
      </c>
      <c r="AE170" s="1">
        <f t="shared" ref="AE170:AF170" si="209">$B$1+$A170</f>
        <v>175</v>
      </c>
      <c r="AF170" s="1">
        <f t="shared" si="209"/>
        <v>175</v>
      </c>
      <c r="AG170" s="1">
        <f t="shared" si="33"/>
        <v>212</v>
      </c>
      <c r="AH170" s="1">
        <f t="shared" ref="AH170:AI170" si="210">$B$1+$A170</f>
        <v>175</v>
      </c>
      <c r="AI170" s="1">
        <f t="shared" si="210"/>
        <v>175</v>
      </c>
      <c r="AJ170" s="1">
        <f t="shared" si="35"/>
        <v>216</v>
      </c>
      <c r="AK170" s="1">
        <f t="shared" si="36"/>
        <v>175</v>
      </c>
      <c r="AL170" s="1">
        <f t="shared" ref="AL170:AL173" si="217">$B$1+$A170</f>
        <v>175</v>
      </c>
      <c r="AM170" s="1">
        <f t="shared" ref="AM170:AM173" si="218">AM$1+$A170</f>
        <v>224</v>
      </c>
      <c r="AN170" s="1">
        <f t="shared" ref="AN170:AO170" si="211">$B$1+$A170</f>
        <v>175</v>
      </c>
      <c r="AO170" s="1">
        <f t="shared" si="211"/>
        <v>175</v>
      </c>
      <c r="AP170" s="1">
        <f t="shared" si="41"/>
        <v>234</v>
      </c>
      <c r="AR170" s="8">
        <f>COUNTIFS(score4pijlen,AP170) </f>
        <v>1</v>
      </c>
    </row>
    <row r="171">
      <c r="A171" s="2">
        <v>177.0</v>
      </c>
      <c r="B171" s="1">
        <f t="shared" si="2"/>
        <v>178</v>
      </c>
      <c r="C171" s="1">
        <f t="shared" si="3"/>
        <v>179</v>
      </c>
      <c r="D171" s="1">
        <f t="shared" si="4"/>
        <v>178</v>
      </c>
      <c r="E171" s="1">
        <f t="shared" si="5"/>
        <v>181</v>
      </c>
      <c r="F171" s="1">
        <f t="shared" si="6"/>
        <v>178</v>
      </c>
      <c r="G171" s="1">
        <f t="shared" si="7"/>
        <v>183</v>
      </c>
      <c r="H171" s="1">
        <f t="shared" si="8"/>
        <v>178</v>
      </c>
      <c r="I171" s="1">
        <f t="shared" si="9"/>
        <v>185</v>
      </c>
      <c r="J171" s="1">
        <f t="shared" si="10"/>
        <v>178</v>
      </c>
      <c r="K171" s="1">
        <f t="shared" si="11"/>
        <v>187</v>
      </c>
      <c r="L171" s="1">
        <f t="shared" si="12"/>
        <v>178</v>
      </c>
      <c r="M171" s="1">
        <f t="shared" si="13"/>
        <v>189</v>
      </c>
      <c r="N171" s="1">
        <f t="shared" si="14"/>
        <v>178</v>
      </c>
      <c r="O171" s="1">
        <f t="shared" si="15"/>
        <v>191</v>
      </c>
      <c r="P171" s="1">
        <f t="shared" si="16"/>
        <v>178</v>
      </c>
      <c r="Q171" s="1">
        <f t="shared" si="17"/>
        <v>193</v>
      </c>
      <c r="R171" s="1">
        <f t="shared" si="18"/>
        <v>178</v>
      </c>
      <c r="S171" s="1">
        <f t="shared" si="19"/>
        <v>195</v>
      </c>
      <c r="T171" s="1">
        <f t="shared" ref="T171:Y171" si="212">T$1+$A171</f>
        <v>196</v>
      </c>
      <c r="U171" s="1">
        <f t="shared" si="212"/>
        <v>197</v>
      </c>
      <c r="V171" s="1">
        <f t="shared" si="212"/>
        <v>198</v>
      </c>
      <c r="W171" s="1">
        <f t="shared" si="212"/>
        <v>199</v>
      </c>
      <c r="X171" s="1">
        <f t="shared" si="212"/>
        <v>201</v>
      </c>
      <c r="Y171" s="1">
        <f t="shared" si="212"/>
        <v>202</v>
      </c>
      <c r="Z171" s="1">
        <f t="shared" si="26"/>
        <v>178</v>
      </c>
      <c r="AA171" s="1">
        <f t="shared" si="27"/>
        <v>205</v>
      </c>
      <c r="AB171" s="1">
        <f t="shared" si="28"/>
        <v>178</v>
      </c>
      <c r="AC171" s="1">
        <f t="shared" si="213"/>
        <v>178</v>
      </c>
      <c r="AD171" s="1">
        <f t="shared" si="214"/>
        <v>210</v>
      </c>
      <c r="AE171" s="1">
        <f t="shared" ref="AE171:AF171" si="215">$B$1+$A171</f>
        <v>178</v>
      </c>
      <c r="AF171" s="1">
        <f t="shared" si="215"/>
        <v>178</v>
      </c>
      <c r="AG171" s="1">
        <f t="shared" si="33"/>
        <v>215</v>
      </c>
      <c r="AH171" s="1">
        <f t="shared" ref="AH171:AI171" si="216">$B$1+$A171</f>
        <v>178</v>
      </c>
      <c r="AI171" s="1">
        <f t="shared" si="216"/>
        <v>178</v>
      </c>
      <c r="AJ171" s="1">
        <f t="shared" si="35"/>
        <v>219</v>
      </c>
      <c r="AK171" s="1">
        <f t="shared" si="36"/>
        <v>178</v>
      </c>
      <c r="AL171" s="1">
        <f t="shared" si="217"/>
        <v>178</v>
      </c>
      <c r="AM171" s="1">
        <f t="shared" si="218"/>
        <v>227</v>
      </c>
      <c r="AN171" s="1">
        <f t="shared" ref="AN171:AO171" si="219">$B$1+$A171</f>
        <v>178</v>
      </c>
      <c r="AO171" s="1">
        <f t="shared" si="219"/>
        <v>178</v>
      </c>
      <c r="AP171" s="1">
        <f t="shared" si="41"/>
        <v>237</v>
      </c>
      <c r="AR171" s="8">
        <f>COUNTIFS(score4pijlen,AP171) </f>
        <v>1</v>
      </c>
    </row>
    <row r="172">
      <c r="A172" s="2">
        <v>178.0</v>
      </c>
      <c r="B172" s="1">
        <f t="shared" si="2"/>
        <v>179</v>
      </c>
      <c r="C172" s="1">
        <f t="shared" si="3"/>
        <v>180</v>
      </c>
      <c r="D172" s="1">
        <f t="shared" si="4"/>
        <v>179</v>
      </c>
      <c r="E172" s="1">
        <f t="shared" si="5"/>
        <v>182</v>
      </c>
      <c r="F172" s="1">
        <f t="shared" si="6"/>
        <v>179</v>
      </c>
      <c r="G172" s="1">
        <f t="shared" si="7"/>
        <v>184</v>
      </c>
      <c r="H172" s="1">
        <f t="shared" si="8"/>
        <v>179</v>
      </c>
      <c r="I172" s="1">
        <f t="shared" si="9"/>
        <v>186</v>
      </c>
      <c r="J172" s="1">
        <f t="shared" si="10"/>
        <v>179</v>
      </c>
      <c r="K172" s="1">
        <f t="shared" si="11"/>
        <v>188</v>
      </c>
      <c r="L172" s="1">
        <f t="shared" si="12"/>
        <v>179</v>
      </c>
      <c r="M172" s="1">
        <f t="shared" si="13"/>
        <v>190</v>
      </c>
      <c r="N172" s="1">
        <f t="shared" si="14"/>
        <v>179</v>
      </c>
      <c r="O172" s="1">
        <f t="shared" si="15"/>
        <v>192</v>
      </c>
      <c r="P172" s="1">
        <f t="shared" si="16"/>
        <v>179</v>
      </c>
      <c r="Q172" s="1">
        <f t="shared" si="17"/>
        <v>194</v>
      </c>
      <c r="R172" s="1">
        <f t="shared" si="18"/>
        <v>179</v>
      </c>
      <c r="S172" s="1">
        <f t="shared" si="19"/>
        <v>196</v>
      </c>
      <c r="T172" s="1">
        <f t="shared" ref="T172:Y172" si="220">T$1+$A172</f>
        <v>197</v>
      </c>
      <c r="U172" s="1">
        <f t="shared" si="220"/>
        <v>198</v>
      </c>
      <c r="V172" s="1">
        <f t="shared" si="220"/>
        <v>199</v>
      </c>
      <c r="W172" s="1">
        <f t="shared" si="220"/>
        <v>200</v>
      </c>
      <c r="X172" s="1">
        <f t="shared" si="220"/>
        <v>202</v>
      </c>
      <c r="Y172" s="1">
        <f t="shared" si="220"/>
        <v>203</v>
      </c>
      <c r="Z172" s="1">
        <f t="shared" si="26"/>
        <v>179</v>
      </c>
      <c r="AA172" s="1">
        <f t="shared" si="27"/>
        <v>206</v>
      </c>
      <c r="AB172" s="1">
        <f t="shared" si="28"/>
        <v>179</v>
      </c>
      <c r="AC172" s="1">
        <f t="shared" si="213"/>
        <v>179</v>
      </c>
      <c r="AD172" s="1">
        <f t="shared" si="214"/>
        <v>211</v>
      </c>
      <c r="AE172" s="1">
        <f t="shared" ref="AE172:AF172" si="221">$B$1+$A172</f>
        <v>179</v>
      </c>
      <c r="AF172" s="1">
        <f t="shared" si="221"/>
        <v>179</v>
      </c>
      <c r="AG172" s="1">
        <f t="shared" si="33"/>
        <v>216</v>
      </c>
      <c r="AH172" s="1">
        <f t="shared" ref="AH172:AI172" si="222">$B$1+$A172</f>
        <v>179</v>
      </c>
      <c r="AI172" s="1">
        <f t="shared" si="222"/>
        <v>179</v>
      </c>
      <c r="AJ172" s="1">
        <f t="shared" si="35"/>
        <v>220</v>
      </c>
      <c r="AK172" s="1">
        <f t="shared" si="36"/>
        <v>179</v>
      </c>
      <c r="AL172" s="1">
        <f t="shared" si="217"/>
        <v>179</v>
      </c>
      <c r="AM172" s="1">
        <f t="shared" si="218"/>
        <v>228</v>
      </c>
      <c r="AN172" s="1">
        <f t="shared" ref="AN172:AO172" si="223">$B$1+$A172</f>
        <v>179</v>
      </c>
      <c r="AO172" s="1">
        <f t="shared" si="223"/>
        <v>179</v>
      </c>
      <c r="AP172" s="1">
        <f t="shared" si="41"/>
        <v>238</v>
      </c>
      <c r="AR172" s="8">
        <f>COUNTIFS(score4pijlen,AP172) </f>
        <v>1</v>
      </c>
    </row>
    <row r="173">
      <c r="A173" s="2">
        <v>180.0</v>
      </c>
      <c r="B173" s="1">
        <f t="shared" si="2"/>
        <v>181</v>
      </c>
      <c r="C173" s="1">
        <f t="shared" si="3"/>
        <v>182</v>
      </c>
      <c r="D173" s="1">
        <f t="shared" si="4"/>
        <v>181</v>
      </c>
      <c r="E173" s="1">
        <f t="shared" si="5"/>
        <v>184</v>
      </c>
      <c r="F173" s="1">
        <f t="shared" si="6"/>
        <v>181</v>
      </c>
      <c r="G173" s="1">
        <f t="shared" si="7"/>
        <v>186</v>
      </c>
      <c r="H173" s="1">
        <f t="shared" si="8"/>
        <v>181</v>
      </c>
      <c r="I173" s="1">
        <f t="shared" si="9"/>
        <v>188</v>
      </c>
      <c r="J173" s="1">
        <f t="shared" si="10"/>
        <v>181</v>
      </c>
      <c r="K173" s="1">
        <f t="shared" si="11"/>
        <v>190</v>
      </c>
      <c r="L173" s="1">
        <f t="shared" si="12"/>
        <v>181</v>
      </c>
      <c r="M173" s="1">
        <f t="shared" si="13"/>
        <v>192</v>
      </c>
      <c r="N173" s="1">
        <f t="shared" si="14"/>
        <v>181</v>
      </c>
      <c r="O173" s="1">
        <f t="shared" si="15"/>
        <v>194</v>
      </c>
      <c r="P173" s="1">
        <f t="shared" si="16"/>
        <v>181</v>
      </c>
      <c r="Q173" s="1">
        <f t="shared" si="17"/>
        <v>196</v>
      </c>
      <c r="R173" s="1">
        <f t="shared" si="18"/>
        <v>181</v>
      </c>
      <c r="S173" s="1">
        <f t="shared" si="19"/>
        <v>198</v>
      </c>
      <c r="T173" s="1">
        <f t="shared" ref="T173:Y173" si="224">T$1+$A173</f>
        <v>199</v>
      </c>
      <c r="U173" s="1">
        <f t="shared" si="224"/>
        <v>200</v>
      </c>
      <c r="V173" s="1">
        <f t="shared" si="224"/>
        <v>201</v>
      </c>
      <c r="W173" s="1">
        <f t="shared" si="224"/>
        <v>202</v>
      </c>
      <c r="X173" s="1">
        <f t="shared" si="224"/>
        <v>204</v>
      </c>
      <c r="Y173" s="1">
        <f t="shared" si="224"/>
        <v>205</v>
      </c>
      <c r="Z173" s="1">
        <f t="shared" si="26"/>
        <v>181</v>
      </c>
      <c r="AA173" s="1">
        <f t="shared" si="27"/>
        <v>208</v>
      </c>
      <c r="AB173" s="1">
        <f t="shared" si="28"/>
        <v>181</v>
      </c>
      <c r="AC173" s="1">
        <f t="shared" si="213"/>
        <v>181</v>
      </c>
      <c r="AD173" s="1">
        <f t="shared" si="214"/>
        <v>213</v>
      </c>
      <c r="AE173" s="1">
        <f t="shared" ref="AE173:AF173" si="225">$B$1+$A173</f>
        <v>181</v>
      </c>
      <c r="AF173" s="1">
        <f t="shared" si="225"/>
        <v>181</v>
      </c>
      <c r="AG173" s="1">
        <f t="shared" si="33"/>
        <v>218</v>
      </c>
      <c r="AH173" s="1">
        <f t="shared" ref="AH173:AI173" si="226">$B$1+$A173</f>
        <v>181</v>
      </c>
      <c r="AI173" s="1">
        <f t="shared" si="226"/>
        <v>181</v>
      </c>
      <c r="AJ173" s="1">
        <f t="shared" si="35"/>
        <v>222</v>
      </c>
      <c r="AK173" s="1">
        <f t="shared" si="36"/>
        <v>181</v>
      </c>
      <c r="AL173" s="1">
        <f t="shared" si="217"/>
        <v>181</v>
      </c>
      <c r="AM173" s="1">
        <f t="shared" si="218"/>
        <v>230</v>
      </c>
      <c r="AN173" s="1">
        <f t="shared" ref="AN173:AO173" si="227">$B$1+$A173</f>
        <v>181</v>
      </c>
      <c r="AO173" s="1">
        <f t="shared" si="227"/>
        <v>181</v>
      </c>
      <c r="AP173" s="1">
        <f t="shared" si="41"/>
        <v>240</v>
      </c>
      <c r="AR173" s="8">
        <f>COUNTIFS(score4pijlen,AP173) </f>
        <v>1</v>
      </c>
    </row>
    <row r="174">
      <c r="AR174" s="8"/>
    </row>
    <row r="175">
      <c r="AR175" s="8"/>
    </row>
    <row r="176">
      <c r="AR176" s="8"/>
    </row>
    <row r="177">
      <c r="AR177" s="8"/>
    </row>
    <row r="178">
      <c r="AR178" s="8"/>
    </row>
    <row r="179">
      <c r="AR179" s="8"/>
    </row>
    <row r="180">
      <c r="AR180" s="8"/>
    </row>
    <row r="181">
      <c r="AR181" s="8"/>
    </row>
    <row r="182">
      <c r="AR182" s="8"/>
    </row>
    <row r="183">
      <c r="AR183" s="8"/>
    </row>
    <row r="184">
      <c r="AR184" s="8"/>
    </row>
    <row r="185">
      <c r="AR185" s="8"/>
    </row>
    <row r="186">
      <c r="AR186" s="8"/>
    </row>
    <row r="187">
      <c r="AR187" s="8"/>
    </row>
    <row r="188">
      <c r="AR188" s="8"/>
    </row>
    <row r="189">
      <c r="AR189" s="8"/>
    </row>
    <row r="190">
      <c r="AR190" s="8"/>
    </row>
    <row r="191">
      <c r="AR191" s="8"/>
    </row>
    <row r="192">
      <c r="AR192" s="8"/>
    </row>
    <row r="193">
      <c r="AR193" s="8"/>
    </row>
    <row r="194">
      <c r="AR194" s="8"/>
    </row>
    <row r="195">
      <c r="AR195" s="8"/>
    </row>
    <row r="196">
      <c r="AR196" s="8"/>
    </row>
    <row r="197">
      <c r="AR197" s="8"/>
    </row>
    <row r="198">
      <c r="AR198" s="8"/>
    </row>
    <row r="199">
      <c r="AR199" s="8"/>
    </row>
    <row r="200">
      <c r="AR200" s="8"/>
    </row>
    <row r="201">
      <c r="AR201" s="8"/>
    </row>
    <row r="202">
      <c r="AR202" s="8"/>
    </row>
    <row r="203">
      <c r="AR203" s="8"/>
    </row>
    <row r="204">
      <c r="AR204" s="8"/>
    </row>
    <row r="205">
      <c r="AR205" s="8"/>
    </row>
    <row r="206">
      <c r="AR206" s="8"/>
    </row>
    <row r="207">
      <c r="AR207" s="8"/>
    </row>
    <row r="208">
      <c r="AR208" s="8"/>
    </row>
    <row r="209">
      <c r="AR209" s="8"/>
    </row>
    <row r="210">
      <c r="AR210" s="8"/>
    </row>
    <row r="211">
      <c r="AR211" s="8"/>
    </row>
    <row r="212">
      <c r="AR212" s="8"/>
    </row>
    <row r="213">
      <c r="AR213" s="8"/>
    </row>
    <row r="214">
      <c r="AR214" s="8"/>
    </row>
    <row r="215">
      <c r="AR215" s="8"/>
    </row>
    <row r="216">
      <c r="AR216" s="8"/>
    </row>
    <row r="217">
      <c r="AR217" s="8"/>
    </row>
    <row r="218">
      <c r="AR218" s="8"/>
    </row>
    <row r="219">
      <c r="AR219" s="8"/>
    </row>
    <row r="220">
      <c r="AR220" s="8"/>
    </row>
  </sheetData>
  <customSheetViews>
    <customSheetView guid="{90695445-C167-4A02-B293-0C05CE0DFBD1}" filter="1" showAutoFilter="1">
      <autoFilter ref="$A$1:$AR$978">
        <filterColumn colId="43">
          <filters>
            <filter val="1"/>
          </filters>
        </filterColumn>
      </autoFilter>
      <extLst>
        <ext uri="GoogleSheetsCustomDataVersion1">
          <go:sheetsCustomData xmlns:go="http://customooxmlschemas.google.com/" filterViewId="620358351"/>
        </ext>
      </extLst>
    </customSheetView>
  </customSheetView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2">
        <v>20.0</v>
      </c>
      <c r="C1" s="2">
        <v>60.0</v>
      </c>
      <c r="D1" s="2">
        <v>100.0</v>
      </c>
      <c r="E1" s="2">
        <v>140.0</v>
      </c>
      <c r="F1" s="2">
        <v>180.0</v>
      </c>
    </row>
    <row r="2">
      <c r="A2" s="2">
        <v>159.0</v>
      </c>
      <c r="B2" s="1">
        <f t="shared" ref="B2:B8" si="2">A2+B$1</f>
        <v>179</v>
      </c>
      <c r="C2" s="1">
        <f t="shared" ref="C2:F2" si="1">$A2+C$1</f>
        <v>219</v>
      </c>
      <c r="D2" s="1">
        <f t="shared" si="1"/>
        <v>259</v>
      </c>
      <c r="E2" s="1">
        <f t="shared" si="1"/>
        <v>299</v>
      </c>
      <c r="F2" s="1">
        <f t="shared" si="1"/>
        <v>339</v>
      </c>
    </row>
    <row r="3">
      <c r="A3" s="2">
        <v>162.0</v>
      </c>
      <c r="B3" s="1">
        <f t="shared" si="2"/>
        <v>182</v>
      </c>
      <c r="C3" s="1">
        <f t="shared" ref="C3:F3" si="3">$A3+C$1</f>
        <v>222</v>
      </c>
      <c r="D3" s="1">
        <f t="shared" si="3"/>
        <v>262</v>
      </c>
      <c r="E3" s="1">
        <f t="shared" si="3"/>
        <v>302</v>
      </c>
      <c r="F3" s="1">
        <f t="shared" si="3"/>
        <v>342</v>
      </c>
    </row>
    <row r="4">
      <c r="A4" s="2">
        <v>163.0</v>
      </c>
      <c r="B4" s="1">
        <f t="shared" si="2"/>
        <v>183</v>
      </c>
      <c r="C4" s="1">
        <f t="shared" ref="C4:F4" si="4">$A4+C$1</f>
        <v>223</v>
      </c>
      <c r="D4" s="1">
        <f t="shared" si="4"/>
        <v>263</v>
      </c>
      <c r="E4" s="1">
        <f t="shared" si="4"/>
        <v>303</v>
      </c>
      <c r="F4" s="1">
        <f t="shared" si="4"/>
        <v>343</v>
      </c>
    </row>
    <row r="5">
      <c r="A5" s="2">
        <v>165.0</v>
      </c>
      <c r="B5" s="1">
        <f t="shared" si="2"/>
        <v>185</v>
      </c>
      <c r="C5" s="1">
        <f t="shared" ref="C5:F5" si="5">$A5+C$1</f>
        <v>225</v>
      </c>
      <c r="D5" s="1">
        <f t="shared" si="5"/>
        <v>265</v>
      </c>
      <c r="E5" s="1">
        <f t="shared" si="5"/>
        <v>305</v>
      </c>
      <c r="F5" s="1">
        <f t="shared" si="5"/>
        <v>345</v>
      </c>
    </row>
    <row r="6">
      <c r="A6" s="2">
        <v>166.0</v>
      </c>
      <c r="B6" s="1">
        <f t="shared" si="2"/>
        <v>186</v>
      </c>
      <c r="C6" s="1">
        <f t="shared" ref="C6:F6" si="6">$A6+C$1</f>
        <v>226</v>
      </c>
      <c r="D6" s="1">
        <f t="shared" si="6"/>
        <v>266</v>
      </c>
      <c r="E6" s="1">
        <f t="shared" si="6"/>
        <v>306</v>
      </c>
      <c r="F6" s="1">
        <f t="shared" si="6"/>
        <v>346</v>
      </c>
    </row>
    <row r="7">
      <c r="A7" s="2">
        <v>168.0</v>
      </c>
      <c r="B7" s="1">
        <f t="shared" si="2"/>
        <v>188</v>
      </c>
      <c r="C7" s="1">
        <f t="shared" ref="C7:F7" si="7">$A7+C$1</f>
        <v>228</v>
      </c>
      <c r="D7" s="1">
        <f t="shared" si="7"/>
        <v>268</v>
      </c>
      <c r="E7" s="1">
        <f t="shared" si="7"/>
        <v>308</v>
      </c>
      <c r="F7" s="1">
        <f t="shared" si="7"/>
        <v>348</v>
      </c>
    </row>
    <row r="8">
      <c r="A8" s="2">
        <v>169.0</v>
      </c>
      <c r="B8" s="1">
        <f t="shared" si="2"/>
        <v>189</v>
      </c>
      <c r="C8" s="1">
        <f t="shared" ref="C8:F8" si="8">$A8+C$1</f>
        <v>229</v>
      </c>
      <c r="D8" s="1">
        <f t="shared" si="8"/>
        <v>269</v>
      </c>
      <c r="E8" s="1">
        <f t="shared" si="8"/>
        <v>309</v>
      </c>
      <c r="F8" s="1">
        <f t="shared" si="8"/>
        <v>349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2.0</v>
      </c>
    </row>
    <row r="2">
      <c r="A2" s="2">
        <v>3.0</v>
      </c>
    </row>
    <row r="3">
      <c r="A3" s="2">
        <v>4.0</v>
      </c>
    </row>
    <row r="4">
      <c r="A4" s="2">
        <v>5.0</v>
      </c>
    </row>
    <row r="5">
      <c r="A5" s="2">
        <v>6.0</v>
      </c>
    </row>
    <row r="6">
      <c r="A6" s="2">
        <v>7.0</v>
      </c>
    </row>
    <row r="7">
      <c r="A7" s="2">
        <v>8.0</v>
      </c>
    </row>
    <row r="8">
      <c r="A8" s="2">
        <v>9.0</v>
      </c>
    </row>
    <row r="9">
      <c r="A9" s="2">
        <v>10.0</v>
      </c>
    </row>
    <row r="10">
      <c r="A10" s="2">
        <v>11.0</v>
      </c>
    </row>
    <row r="11">
      <c r="A11" s="2">
        <v>12.0</v>
      </c>
    </row>
    <row r="12">
      <c r="A12" s="2">
        <v>13.0</v>
      </c>
    </row>
    <row r="13">
      <c r="A13" s="2">
        <v>14.0</v>
      </c>
    </row>
    <row r="14">
      <c r="A14" s="2">
        <v>15.0</v>
      </c>
    </row>
    <row r="15">
      <c r="A15" s="2">
        <v>16.0</v>
      </c>
    </row>
    <row r="16">
      <c r="A16" s="2">
        <v>17.0</v>
      </c>
    </row>
    <row r="17">
      <c r="A17" s="2">
        <v>18.0</v>
      </c>
    </row>
    <row r="18">
      <c r="A18" s="2">
        <v>19.0</v>
      </c>
    </row>
    <row r="19">
      <c r="A19" s="2">
        <v>20.0</v>
      </c>
    </row>
    <row r="20">
      <c r="A20" s="2">
        <v>21.0</v>
      </c>
    </row>
    <row r="21">
      <c r="A21" s="2">
        <v>22.0</v>
      </c>
    </row>
    <row r="22">
      <c r="A22" s="2">
        <v>23.0</v>
      </c>
    </row>
    <row r="23">
      <c r="A23" s="2">
        <v>24.0</v>
      </c>
    </row>
    <row r="24">
      <c r="A24" s="2">
        <v>25.0</v>
      </c>
    </row>
    <row r="25">
      <c r="A25" s="2">
        <v>26.0</v>
      </c>
    </row>
    <row r="26">
      <c r="A26" s="2">
        <v>27.0</v>
      </c>
    </row>
    <row r="27">
      <c r="A27" s="2">
        <v>28.0</v>
      </c>
    </row>
    <row r="28">
      <c r="A28" s="2">
        <v>29.0</v>
      </c>
    </row>
    <row r="29">
      <c r="A29" s="2">
        <v>30.0</v>
      </c>
    </row>
    <row r="30">
      <c r="A30" s="2">
        <v>31.0</v>
      </c>
    </row>
    <row r="31">
      <c r="A31" s="2">
        <v>32.0</v>
      </c>
    </row>
    <row r="32">
      <c r="A32" s="2">
        <v>33.0</v>
      </c>
    </row>
    <row r="33">
      <c r="A33" s="2">
        <v>34.0</v>
      </c>
    </row>
    <row r="34">
      <c r="A34" s="2">
        <v>35.0</v>
      </c>
    </row>
    <row r="35">
      <c r="A35" s="2">
        <v>36.0</v>
      </c>
    </row>
    <row r="36">
      <c r="A36" s="2">
        <v>37.0</v>
      </c>
    </row>
    <row r="37">
      <c r="A37" s="2">
        <v>38.0</v>
      </c>
    </row>
    <row r="38">
      <c r="A38" s="2">
        <v>39.0</v>
      </c>
    </row>
    <row r="39">
      <c r="A39" s="2">
        <v>40.0</v>
      </c>
    </row>
    <row r="40">
      <c r="A40" s="2">
        <v>41.0</v>
      </c>
    </row>
    <row r="41">
      <c r="A41" s="2">
        <v>42.0</v>
      </c>
    </row>
    <row r="42">
      <c r="A42" s="2">
        <v>43.0</v>
      </c>
    </row>
    <row r="43">
      <c r="A43" s="2">
        <v>44.0</v>
      </c>
    </row>
    <row r="44">
      <c r="A44" s="2">
        <v>45.0</v>
      </c>
    </row>
    <row r="45">
      <c r="A45" s="2">
        <v>46.0</v>
      </c>
    </row>
    <row r="46">
      <c r="A46" s="2">
        <v>47.0</v>
      </c>
    </row>
    <row r="47">
      <c r="A47" s="2">
        <v>48.0</v>
      </c>
    </row>
    <row r="48">
      <c r="A48" s="2">
        <v>49.0</v>
      </c>
    </row>
    <row r="49">
      <c r="A49" s="2">
        <v>50.0</v>
      </c>
    </row>
    <row r="50">
      <c r="A50" s="2">
        <v>51.0</v>
      </c>
    </row>
    <row r="51">
      <c r="A51" s="2">
        <v>52.0</v>
      </c>
    </row>
    <row r="52">
      <c r="A52" s="2">
        <v>53.0</v>
      </c>
    </row>
    <row r="53">
      <c r="A53" s="2">
        <v>54.0</v>
      </c>
    </row>
    <row r="54">
      <c r="A54" s="2">
        <v>55.0</v>
      </c>
    </row>
    <row r="55">
      <c r="A55" s="2">
        <v>56.0</v>
      </c>
    </row>
    <row r="56">
      <c r="A56" s="2">
        <v>57.0</v>
      </c>
    </row>
    <row r="57">
      <c r="A57" s="2">
        <v>58.0</v>
      </c>
    </row>
    <row r="58">
      <c r="A58" s="2">
        <v>59.0</v>
      </c>
    </row>
    <row r="59">
      <c r="A59" s="2">
        <v>60.0</v>
      </c>
    </row>
    <row r="60">
      <c r="A60" s="2">
        <v>61.0</v>
      </c>
    </row>
    <row r="61">
      <c r="A61" s="2">
        <v>62.0</v>
      </c>
    </row>
    <row r="62">
      <c r="A62" s="2">
        <v>63.0</v>
      </c>
    </row>
    <row r="63">
      <c r="A63" s="2">
        <v>64.0</v>
      </c>
    </row>
    <row r="64">
      <c r="A64" s="2">
        <v>65.0</v>
      </c>
    </row>
    <row r="65">
      <c r="A65" s="2">
        <v>66.0</v>
      </c>
    </row>
    <row r="66">
      <c r="A66" s="2">
        <v>67.0</v>
      </c>
    </row>
    <row r="67">
      <c r="A67" s="2">
        <v>68.0</v>
      </c>
    </row>
    <row r="68">
      <c r="A68" s="2">
        <v>69.0</v>
      </c>
    </row>
    <row r="69">
      <c r="A69" s="2">
        <v>70.0</v>
      </c>
    </row>
    <row r="70">
      <c r="A70" s="2">
        <v>71.0</v>
      </c>
    </row>
    <row r="71">
      <c r="A71" s="2">
        <v>72.0</v>
      </c>
    </row>
    <row r="72">
      <c r="A72" s="2">
        <v>73.0</v>
      </c>
    </row>
    <row r="73">
      <c r="A73" s="2">
        <v>74.0</v>
      </c>
    </row>
    <row r="74">
      <c r="A74" s="2">
        <v>75.0</v>
      </c>
    </row>
    <row r="75">
      <c r="A75" s="2">
        <v>76.0</v>
      </c>
    </row>
    <row r="76">
      <c r="A76" s="2">
        <v>77.0</v>
      </c>
    </row>
    <row r="77">
      <c r="A77" s="2">
        <v>78.0</v>
      </c>
    </row>
    <row r="78">
      <c r="A78" s="2">
        <v>79.0</v>
      </c>
    </row>
    <row r="79">
      <c r="A79" s="2">
        <v>80.0</v>
      </c>
    </row>
    <row r="80">
      <c r="A80" s="2">
        <v>81.0</v>
      </c>
    </row>
    <row r="81">
      <c r="A81" s="2">
        <v>82.0</v>
      </c>
    </row>
    <row r="82">
      <c r="A82" s="2">
        <v>83.0</v>
      </c>
    </row>
    <row r="83">
      <c r="A83" s="2">
        <v>84.0</v>
      </c>
    </row>
    <row r="84">
      <c r="A84" s="2">
        <v>85.0</v>
      </c>
    </row>
    <row r="85">
      <c r="A85" s="2">
        <v>86.0</v>
      </c>
    </row>
    <row r="86">
      <c r="A86" s="2">
        <v>87.0</v>
      </c>
    </row>
    <row r="87">
      <c r="A87" s="2">
        <v>88.0</v>
      </c>
    </row>
    <row r="88">
      <c r="A88" s="2">
        <v>89.0</v>
      </c>
    </row>
    <row r="89">
      <c r="A89" s="2">
        <v>90.0</v>
      </c>
    </row>
    <row r="90">
      <c r="A90" s="2">
        <v>91.0</v>
      </c>
    </row>
    <row r="91">
      <c r="A91" s="2">
        <v>92.0</v>
      </c>
    </row>
    <row r="92">
      <c r="A92" s="2">
        <v>93.0</v>
      </c>
    </row>
    <row r="93">
      <c r="A93" s="2">
        <v>94.0</v>
      </c>
    </row>
    <row r="94">
      <c r="A94" s="2">
        <v>95.0</v>
      </c>
    </row>
    <row r="95">
      <c r="A95" s="2">
        <v>96.0</v>
      </c>
    </row>
    <row r="96">
      <c r="A96" s="2">
        <v>97.0</v>
      </c>
    </row>
    <row r="97">
      <c r="A97" s="2">
        <v>98.0</v>
      </c>
    </row>
    <row r="98">
      <c r="A98" s="2">
        <v>99.0</v>
      </c>
    </row>
    <row r="99">
      <c r="A99" s="2">
        <v>100.0</v>
      </c>
    </row>
    <row r="100">
      <c r="A100" s="2">
        <v>101.0</v>
      </c>
    </row>
    <row r="101">
      <c r="A101" s="2">
        <v>102.0</v>
      </c>
    </row>
    <row r="102">
      <c r="A102" s="2">
        <v>103.0</v>
      </c>
    </row>
    <row r="103">
      <c r="A103" s="2">
        <v>104.0</v>
      </c>
    </row>
    <row r="104">
      <c r="A104" s="2">
        <v>105.0</v>
      </c>
    </row>
    <row r="105">
      <c r="A105" s="2">
        <v>106.0</v>
      </c>
    </row>
    <row r="106">
      <c r="A106" s="2">
        <v>107.0</v>
      </c>
    </row>
    <row r="107">
      <c r="A107" s="2">
        <v>108.0</v>
      </c>
    </row>
    <row r="108">
      <c r="A108" s="2">
        <v>109.0</v>
      </c>
    </row>
    <row r="109">
      <c r="A109" s="2">
        <v>110.0</v>
      </c>
    </row>
    <row r="110">
      <c r="A110" s="2">
        <v>111.0</v>
      </c>
    </row>
    <row r="111">
      <c r="A111" s="2">
        <v>112.0</v>
      </c>
    </row>
    <row r="112">
      <c r="A112" s="2">
        <v>113.0</v>
      </c>
    </row>
    <row r="113">
      <c r="A113" s="2">
        <v>114.0</v>
      </c>
    </row>
    <row r="114">
      <c r="A114" s="2">
        <v>115.0</v>
      </c>
    </row>
    <row r="115">
      <c r="A115" s="2">
        <v>116.0</v>
      </c>
    </row>
    <row r="116">
      <c r="A116" s="2">
        <v>117.0</v>
      </c>
    </row>
    <row r="117">
      <c r="A117" s="2">
        <v>118.0</v>
      </c>
    </row>
    <row r="118">
      <c r="A118" s="2">
        <v>119.0</v>
      </c>
    </row>
    <row r="119">
      <c r="A119" s="2">
        <v>120.0</v>
      </c>
    </row>
    <row r="120">
      <c r="A120" s="2">
        <v>121.0</v>
      </c>
    </row>
    <row r="121">
      <c r="A121" s="2">
        <v>122.0</v>
      </c>
    </row>
    <row r="122">
      <c r="A122" s="2">
        <v>123.0</v>
      </c>
    </row>
    <row r="123">
      <c r="A123" s="2">
        <v>124.0</v>
      </c>
    </row>
    <row r="124">
      <c r="A124" s="2">
        <v>125.0</v>
      </c>
    </row>
    <row r="125">
      <c r="A125" s="2">
        <v>126.0</v>
      </c>
    </row>
    <row r="126">
      <c r="A126" s="2">
        <v>127.0</v>
      </c>
    </row>
    <row r="127">
      <c r="A127" s="2">
        <v>128.0</v>
      </c>
    </row>
    <row r="128">
      <c r="A128" s="2">
        <v>129.0</v>
      </c>
    </row>
    <row r="129">
      <c r="A129" s="2">
        <v>130.0</v>
      </c>
    </row>
    <row r="130">
      <c r="A130" s="2">
        <v>131.0</v>
      </c>
    </row>
    <row r="131">
      <c r="A131" s="2">
        <v>132.0</v>
      </c>
    </row>
    <row r="132">
      <c r="A132" s="2">
        <v>133.0</v>
      </c>
    </row>
    <row r="133">
      <c r="A133" s="2">
        <v>134.0</v>
      </c>
    </row>
    <row r="134">
      <c r="A134" s="2">
        <v>135.0</v>
      </c>
    </row>
    <row r="135">
      <c r="A135" s="2">
        <v>136.0</v>
      </c>
    </row>
    <row r="136">
      <c r="A136" s="2">
        <v>137.0</v>
      </c>
    </row>
    <row r="137">
      <c r="A137" s="2">
        <v>138.0</v>
      </c>
    </row>
    <row r="138">
      <c r="A138" s="2">
        <v>139.0</v>
      </c>
    </row>
    <row r="139">
      <c r="A139" s="2">
        <v>140.0</v>
      </c>
    </row>
    <row r="140">
      <c r="A140" s="2">
        <v>141.0</v>
      </c>
    </row>
    <row r="141">
      <c r="A141" s="2">
        <v>142.0</v>
      </c>
    </row>
    <row r="142">
      <c r="A142" s="2">
        <v>143.0</v>
      </c>
    </row>
    <row r="143">
      <c r="A143" s="2">
        <v>144.0</v>
      </c>
    </row>
    <row r="144">
      <c r="A144" s="2">
        <v>145.0</v>
      </c>
    </row>
    <row r="145">
      <c r="A145" s="2">
        <v>146.0</v>
      </c>
    </row>
    <row r="146">
      <c r="A146" s="2">
        <v>147.0</v>
      </c>
    </row>
    <row r="147">
      <c r="A147" s="2">
        <v>148.0</v>
      </c>
    </row>
    <row r="148">
      <c r="A148" s="2">
        <v>149.0</v>
      </c>
    </row>
    <row r="149">
      <c r="A149" s="2">
        <v>150.0</v>
      </c>
    </row>
    <row r="150">
      <c r="A150" s="2">
        <v>151.0</v>
      </c>
    </row>
    <row r="151">
      <c r="A151" s="2">
        <v>152.0</v>
      </c>
    </row>
    <row r="152">
      <c r="A152" s="2">
        <v>153.0</v>
      </c>
    </row>
    <row r="153">
      <c r="A153" s="2">
        <v>154.0</v>
      </c>
    </row>
    <row r="154">
      <c r="A154" s="2">
        <v>155.0</v>
      </c>
    </row>
    <row r="155">
      <c r="A155" s="2">
        <v>156.0</v>
      </c>
    </row>
    <row r="156">
      <c r="A156" s="2">
        <v>157.0</v>
      </c>
    </row>
    <row r="157">
      <c r="A157" s="2">
        <v>158.0</v>
      </c>
    </row>
    <row r="158">
      <c r="A158" s="2">
        <v>159.0</v>
      </c>
    </row>
    <row r="159">
      <c r="A159" s="2">
        <v>160.0</v>
      </c>
    </row>
    <row r="160">
      <c r="A160" s="2">
        <v>161.0</v>
      </c>
    </row>
    <row r="161">
      <c r="A161" s="2">
        <v>162.0</v>
      </c>
    </row>
    <row r="162">
      <c r="A162" s="9">
        <v>163.0</v>
      </c>
    </row>
    <row r="163">
      <c r="A163" s="2">
        <v>164.0</v>
      </c>
    </row>
    <row r="164">
      <c r="A164" s="2">
        <v>165.0</v>
      </c>
    </row>
    <row r="165">
      <c r="A165" s="2">
        <v>166.0</v>
      </c>
    </row>
    <row r="166">
      <c r="A166" s="2">
        <v>167.0</v>
      </c>
    </row>
    <row r="167">
      <c r="A167" s="2">
        <v>168.0</v>
      </c>
    </row>
    <row r="168">
      <c r="A168" s="9">
        <v>169.0</v>
      </c>
    </row>
    <row r="169">
      <c r="A169" s="2">
        <v>170.0</v>
      </c>
    </row>
    <row r="170">
      <c r="A170" s="2">
        <v>171.0</v>
      </c>
    </row>
    <row r="171">
      <c r="A171" s="9">
        <v>172.0</v>
      </c>
    </row>
    <row r="172">
      <c r="A172" s="9">
        <v>173.0</v>
      </c>
    </row>
    <row r="173">
      <c r="A173" s="2">
        <v>174.0</v>
      </c>
    </row>
    <row r="174">
      <c r="A174" s="9">
        <v>175.0</v>
      </c>
    </row>
    <row r="175">
      <c r="A175" s="9">
        <v>176.0</v>
      </c>
    </row>
    <row r="176">
      <c r="A176" s="2">
        <v>177.0</v>
      </c>
    </row>
    <row r="177">
      <c r="A177" s="2">
        <v>178.0</v>
      </c>
    </row>
    <row r="178">
      <c r="A178" s="9">
        <v>179.0</v>
      </c>
    </row>
    <row r="179">
      <c r="A179" s="2">
        <v>180.0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4.86"/>
    <col customWidth="1" min="3" max="3" width="4.29"/>
    <col customWidth="1" min="4" max="5" width="4.86"/>
    <col customWidth="1" min="6" max="21" width="4.29"/>
    <col customWidth="1" min="23" max="23" width="7.43"/>
    <col customWidth="1" min="24" max="24" width="6.14"/>
    <col customWidth="1" min="25" max="25" width="5.29"/>
  </cols>
  <sheetData>
    <row r="1">
      <c r="A1" s="2"/>
      <c r="B1" s="10" t="s">
        <v>52</v>
      </c>
      <c r="D1" s="2"/>
      <c r="E1" s="10" t="s">
        <v>53</v>
      </c>
      <c r="G1" s="2"/>
      <c r="H1" s="10" t="s">
        <v>54</v>
      </c>
      <c r="J1" s="2"/>
      <c r="K1" s="10" t="s">
        <v>55</v>
      </c>
      <c r="M1" s="2"/>
      <c r="N1" s="10" t="s">
        <v>56</v>
      </c>
      <c r="P1" s="2"/>
      <c r="Q1" s="2" t="s">
        <v>57</v>
      </c>
      <c r="S1" s="2"/>
      <c r="T1" s="2" t="s">
        <v>58</v>
      </c>
      <c r="W1" s="2">
        <v>501.0</v>
      </c>
      <c r="Z1" s="2">
        <v>501.0</v>
      </c>
    </row>
    <row r="2">
      <c r="B2" s="10">
        <v>99.0</v>
      </c>
      <c r="C2" s="1">
        <f t="shared" ref="C2:C8" si="3">B2+20</f>
        <v>119</v>
      </c>
      <c r="D2" s="2">
        <v>139.0</v>
      </c>
      <c r="E2" s="11">
        <f t="shared" ref="E2:E8" si="4">B2+60</f>
        <v>159</v>
      </c>
      <c r="F2" s="1">
        <f t="shared" ref="F2:G2" si="1">E2+20</f>
        <v>179</v>
      </c>
      <c r="G2" s="2">
        <f t="shared" si="1"/>
        <v>199</v>
      </c>
      <c r="H2" s="11">
        <f t="shared" ref="H2:H8" si="6">E2+60</f>
        <v>219</v>
      </c>
      <c r="I2" s="1">
        <f t="shared" ref="I2:I8" si="7">H2+20</f>
        <v>239</v>
      </c>
      <c r="J2" s="2">
        <v>259.0</v>
      </c>
      <c r="K2" s="11">
        <f t="shared" ref="K2:K8" si="8">H2+60</f>
        <v>279</v>
      </c>
      <c r="L2" s="1">
        <f t="shared" ref="L2:L8" si="9">K2+20</f>
        <v>299</v>
      </c>
      <c r="M2" s="2">
        <v>319.0</v>
      </c>
      <c r="N2" s="11">
        <f t="shared" ref="N2:N8" si="10">K2+60</f>
        <v>339</v>
      </c>
      <c r="O2" s="1">
        <f t="shared" ref="O2:P2" si="2">N2+20</f>
        <v>359</v>
      </c>
      <c r="P2" s="1">
        <f t="shared" si="2"/>
        <v>379</v>
      </c>
      <c r="Q2" s="1">
        <f t="shared" ref="Q2:Q8" si="12">N2+60</f>
        <v>399</v>
      </c>
      <c r="R2" s="1">
        <f t="shared" ref="R2:R8" si="13">Q2+20</f>
        <v>419</v>
      </c>
      <c r="S2" s="2">
        <v>439.0</v>
      </c>
      <c r="T2" s="1">
        <f t="shared" ref="T2:T8" si="14">Q2+60</f>
        <v>459</v>
      </c>
      <c r="U2" s="5">
        <f t="shared" ref="U2:U8" si="15">T2+20</f>
        <v>479</v>
      </c>
      <c r="W2" s="12">
        <f t="shared" ref="W2:W8" si="16">$W$1-U2</f>
        <v>22</v>
      </c>
      <c r="X2" s="1">
        <f t="shared" ref="X2:X8" si="17">$W$1-T2</f>
        <v>42</v>
      </c>
      <c r="Y2" s="1">
        <f t="shared" ref="Y2:Y8" si="18">$W$1-S2</f>
        <v>62</v>
      </c>
      <c r="Z2" s="2">
        <v>20.0</v>
      </c>
      <c r="AA2" s="1">
        <f>Z1-Z2</f>
        <v>481</v>
      </c>
    </row>
    <row r="3">
      <c r="B3" s="10">
        <v>102.0</v>
      </c>
      <c r="C3" s="1">
        <f t="shared" si="3"/>
        <v>122</v>
      </c>
      <c r="D3" s="13">
        <v>142.0</v>
      </c>
      <c r="E3" s="11">
        <f t="shared" si="4"/>
        <v>162</v>
      </c>
      <c r="F3" s="1">
        <f t="shared" ref="F3:G3" si="5">E3+20</f>
        <v>182</v>
      </c>
      <c r="G3" s="2">
        <f t="shared" si="5"/>
        <v>202</v>
      </c>
      <c r="H3" s="11">
        <f t="shared" si="6"/>
        <v>222</v>
      </c>
      <c r="I3" s="1">
        <f t="shared" si="7"/>
        <v>242</v>
      </c>
      <c r="J3" s="2">
        <v>262.0</v>
      </c>
      <c r="K3" s="11">
        <f t="shared" si="8"/>
        <v>282</v>
      </c>
      <c r="L3" s="14">
        <f t="shared" si="9"/>
        <v>302</v>
      </c>
      <c r="M3" s="2">
        <v>322.0</v>
      </c>
      <c r="N3" s="11">
        <f t="shared" si="10"/>
        <v>342</v>
      </c>
      <c r="O3" s="1">
        <f t="shared" ref="O3:P3" si="11">N3+20</f>
        <v>362</v>
      </c>
      <c r="P3" s="1">
        <f t="shared" si="11"/>
        <v>382</v>
      </c>
      <c r="Q3" s="1">
        <f t="shared" si="12"/>
        <v>402</v>
      </c>
      <c r="R3" s="1">
        <f t="shared" si="13"/>
        <v>422</v>
      </c>
      <c r="S3" s="15">
        <v>442.0</v>
      </c>
      <c r="T3" s="1">
        <f t="shared" si="14"/>
        <v>462</v>
      </c>
      <c r="U3" s="1">
        <f t="shared" si="15"/>
        <v>482</v>
      </c>
      <c r="W3" s="1">
        <f t="shared" si="16"/>
        <v>19</v>
      </c>
      <c r="X3" s="1">
        <f t="shared" si="17"/>
        <v>39</v>
      </c>
      <c r="Y3" s="12">
        <f t="shared" si="18"/>
        <v>59</v>
      </c>
      <c r="Z3" s="2">
        <v>20.0</v>
      </c>
      <c r="AA3" s="1">
        <f t="shared" ref="AA3:AA4" si="21">AA2-Z3</f>
        <v>461</v>
      </c>
    </row>
    <row r="4">
      <c r="B4" s="10">
        <v>103.0</v>
      </c>
      <c r="C4" s="1">
        <f t="shared" si="3"/>
        <v>123</v>
      </c>
      <c r="D4" s="13">
        <v>143.0</v>
      </c>
      <c r="E4" s="11">
        <f t="shared" si="4"/>
        <v>163</v>
      </c>
      <c r="F4" s="1">
        <f t="shared" ref="F4:G4" si="19">E4+20</f>
        <v>183</v>
      </c>
      <c r="G4" s="2">
        <f t="shared" si="19"/>
        <v>203</v>
      </c>
      <c r="H4" s="11">
        <f t="shared" si="6"/>
        <v>223</v>
      </c>
      <c r="I4" s="1">
        <f t="shared" si="7"/>
        <v>243</v>
      </c>
      <c r="J4" s="2">
        <v>263.0</v>
      </c>
      <c r="K4" s="11">
        <f t="shared" si="8"/>
        <v>283</v>
      </c>
      <c r="L4" s="14">
        <f t="shared" si="9"/>
        <v>303</v>
      </c>
      <c r="M4" s="2">
        <v>323.0</v>
      </c>
      <c r="N4" s="11">
        <f t="shared" si="10"/>
        <v>343</v>
      </c>
      <c r="O4" s="1">
        <f t="shared" ref="O4:P4" si="20">N4+20</f>
        <v>363</v>
      </c>
      <c r="P4" s="1">
        <f t="shared" si="20"/>
        <v>383</v>
      </c>
      <c r="Q4" s="1">
        <f t="shared" si="12"/>
        <v>403</v>
      </c>
      <c r="R4" s="1">
        <f t="shared" si="13"/>
        <v>423</v>
      </c>
      <c r="S4" s="15">
        <v>443.0</v>
      </c>
      <c r="T4" s="1">
        <f t="shared" si="14"/>
        <v>463</v>
      </c>
      <c r="U4" s="1">
        <f t="shared" si="15"/>
        <v>483</v>
      </c>
      <c r="W4" s="1">
        <f t="shared" si="16"/>
        <v>18</v>
      </c>
      <c r="X4" s="1">
        <f t="shared" si="17"/>
        <v>38</v>
      </c>
      <c r="Y4" s="12">
        <f t="shared" si="18"/>
        <v>58</v>
      </c>
      <c r="Z4" s="16">
        <v>17.0</v>
      </c>
      <c r="AA4" s="1">
        <f t="shared" si="21"/>
        <v>444</v>
      </c>
    </row>
    <row r="5">
      <c r="B5" s="10">
        <v>105.0</v>
      </c>
      <c r="C5" s="1">
        <f t="shared" si="3"/>
        <v>125</v>
      </c>
      <c r="D5" s="13">
        <v>145.0</v>
      </c>
      <c r="E5" s="11">
        <f t="shared" si="4"/>
        <v>165</v>
      </c>
      <c r="F5" s="1">
        <f t="shared" ref="F5:G5" si="22">E5+20</f>
        <v>185</v>
      </c>
      <c r="G5" s="2">
        <f t="shared" si="22"/>
        <v>205</v>
      </c>
      <c r="H5" s="11">
        <f t="shared" si="6"/>
        <v>225</v>
      </c>
      <c r="I5" s="1">
        <f t="shared" si="7"/>
        <v>245</v>
      </c>
      <c r="J5" s="2">
        <v>265.0</v>
      </c>
      <c r="K5" s="11">
        <f t="shared" si="8"/>
        <v>285</v>
      </c>
      <c r="L5" s="14">
        <f t="shared" si="9"/>
        <v>305</v>
      </c>
      <c r="M5" s="2">
        <v>325.0</v>
      </c>
      <c r="N5" s="11">
        <f t="shared" si="10"/>
        <v>345</v>
      </c>
      <c r="O5" s="1">
        <f t="shared" ref="O5:P5" si="23">N5+20</f>
        <v>365</v>
      </c>
      <c r="P5" s="1">
        <f t="shared" si="23"/>
        <v>385</v>
      </c>
      <c r="Q5" s="5">
        <f t="shared" si="12"/>
        <v>405</v>
      </c>
      <c r="R5" s="1">
        <f t="shared" si="13"/>
        <v>425</v>
      </c>
      <c r="S5" s="15">
        <v>445.0</v>
      </c>
      <c r="T5" s="1">
        <f t="shared" si="14"/>
        <v>465</v>
      </c>
      <c r="U5" s="1">
        <f t="shared" si="15"/>
        <v>485</v>
      </c>
      <c r="W5" s="1">
        <f t="shared" si="16"/>
        <v>16</v>
      </c>
      <c r="X5" s="1">
        <f t="shared" si="17"/>
        <v>36</v>
      </c>
      <c r="Y5" s="12">
        <f t="shared" si="18"/>
        <v>56</v>
      </c>
      <c r="Z5" s="1">
        <f>Z1-sum(Z2:Z4)</f>
        <v>444</v>
      </c>
    </row>
    <row r="6">
      <c r="B6" s="10">
        <v>106.0</v>
      </c>
      <c r="C6" s="1">
        <f t="shared" si="3"/>
        <v>126</v>
      </c>
      <c r="D6" s="13">
        <v>146.0</v>
      </c>
      <c r="E6" s="11">
        <f t="shared" si="4"/>
        <v>166</v>
      </c>
      <c r="F6" s="1">
        <f t="shared" ref="F6:G6" si="24">E6+20</f>
        <v>186</v>
      </c>
      <c r="G6" s="2">
        <f t="shared" si="24"/>
        <v>206</v>
      </c>
      <c r="H6" s="11">
        <f t="shared" si="6"/>
        <v>226</v>
      </c>
      <c r="I6" s="1">
        <f t="shared" si="7"/>
        <v>246</v>
      </c>
      <c r="J6" s="2">
        <v>266.0</v>
      </c>
      <c r="K6" s="11">
        <f t="shared" si="8"/>
        <v>286</v>
      </c>
      <c r="L6" s="14">
        <f t="shared" si="9"/>
        <v>306</v>
      </c>
      <c r="M6" s="2">
        <v>326.0</v>
      </c>
      <c r="N6" s="11">
        <f t="shared" si="10"/>
        <v>346</v>
      </c>
      <c r="O6" s="1">
        <f t="shared" ref="O6:P6" si="25">N6+20</f>
        <v>366</v>
      </c>
      <c r="P6" s="1">
        <f t="shared" si="25"/>
        <v>386</v>
      </c>
      <c r="Q6" s="5">
        <f t="shared" si="12"/>
        <v>406</v>
      </c>
      <c r="R6" s="1">
        <f t="shared" si="13"/>
        <v>426</v>
      </c>
      <c r="S6" s="15">
        <v>446.0</v>
      </c>
      <c r="T6" s="1">
        <f t="shared" si="14"/>
        <v>466</v>
      </c>
      <c r="U6" s="5">
        <f t="shared" si="15"/>
        <v>486</v>
      </c>
      <c r="V6" s="17"/>
      <c r="W6" s="12">
        <f t="shared" si="16"/>
        <v>15</v>
      </c>
      <c r="X6" s="1">
        <f t="shared" si="17"/>
        <v>35</v>
      </c>
      <c r="Y6" s="12">
        <f t="shared" si="18"/>
        <v>55</v>
      </c>
      <c r="Z6" s="2">
        <v>60.0</v>
      </c>
    </row>
    <row r="7">
      <c r="B7" s="10">
        <v>108.0</v>
      </c>
      <c r="C7" s="1">
        <f t="shared" si="3"/>
        <v>128</v>
      </c>
      <c r="D7" s="13">
        <v>148.0</v>
      </c>
      <c r="E7" s="11">
        <f t="shared" si="4"/>
        <v>168</v>
      </c>
      <c r="F7" s="1">
        <f t="shared" ref="F7:G7" si="26">E7+20</f>
        <v>188</v>
      </c>
      <c r="G7" s="2">
        <f t="shared" si="26"/>
        <v>208</v>
      </c>
      <c r="H7" s="11">
        <f t="shared" si="6"/>
        <v>228</v>
      </c>
      <c r="I7" s="1">
        <f t="shared" si="7"/>
        <v>248</v>
      </c>
      <c r="J7" s="2">
        <v>268.0</v>
      </c>
      <c r="K7" s="11">
        <f t="shared" si="8"/>
        <v>288</v>
      </c>
      <c r="L7" s="14">
        <f t="shared" si="9"/>
        <v>308</v>
      </c>
      <c r="M7" s="2">
        <v>328.0</v>
      </c>
      <c r="N7" s="11">
        <f t="shared" si="10"/>
        <v>348</v>
      </c>
      <c r="O7" s="1">
        <f t="shared" ref="O7:P7" si="27">N7+20</f>
        <v>368</v>
      </c>
      <c r="P7" s="1">
        <f t="shared" si="27"/>
        <v>388</v>
      </c>
      <c r="Q7" s="1">
        <f t="shared" si="12"/>
        <v>408</v>
      </c>
      <c r="R7" s="1">
        <f t="shared" si="13"/>
        <v>428</v>
      </c>
      <c r="S7" s="2">
        <v>448.0</v>
      </c>
      <c r="T7" s="1">
        <f t="shared" si="14"/>
        <v>468</v>
      </c>
      <c r="U7" s="1">
        <f t="shared" si="15"/>
        <v>488</v>
      </c>
      <c r="W7" s="1">
        <f t="shared" si="16"/>
        <v>13</v>
      </c>
      <c r="X7" s="1">
        <f t="shared" si="17"/>
        <v>33</v>
      </c>
      <c r="Y7" s="1">
        <f t="shared" si="18"/>
        <v>53</v>
      </c>
      <c r="Z7" s="2">
        <v>60.0</v>
      </c>
    </row>
    <row r="8">
      <c r="B8" s="10">
        <v>109.0</v>
      </c>
      <c r="C8" s="1">
        <f t="shared" si="3"/>
        <v>129</v>
      </c>
      <c r="D8" s="13">
        <v>149.0</v>
      </c>
      <c r="E8" s="11">
        <f t="shared" si="4"/>
        <v>169</v>
      </c>
      <c r="F8" s="1">
        <f t="shared" ref="F8:G8" si="28">E8+20</f>
        <v>189</v>
      </c>
      <c r="G8" s="2">
        <f t="shared" si="28"/>
        <v>209</v>
      </c>
      <c r="H8" s="11">
        <f t="shared" si="6"/>
        <v>229</v>
      </c>
      <c r="I8" s="1">
        <f t="shared" si="7"/>
        <v>249</v>
      </c>
      <c r="J8" s="2">
        <v>269.0</v>
      </c>
      <c r="K8" s="11">
        <f t="shared" si="8"/>
        <v>289</v>
      </c>
      <c r="L8" s="14">
        <f t="shared" si="9"/>
        <v>309</v>
      </c>
      <c r="M8" s="2">
        <v>329.0</v>
      </c>
      <c r="N8" s="11">
        <f t="shared" si="10"/>
        <v>349</v>
      </c>
      <c r="O8" s="1">
        <f t="shared" ref="O8:P8" si="29">N8+20</f>
        <v>369</v>
      </c>
      <c r="P8" s="1">
        <f t="shared" si="29"/>
        <v>389</v>
      </c>
      <c r="Q8" s="1">
        <f t="shared" si="12"/>
        <v>409</v>
      </c>
      <c r="R8" s="1">
        <f t="shared" si="13"/>
        <v>429</v>
      </c>
      <c r="S8" s="2">
        <v>449.0</v>
      </c>
      <c r="T8" s="1">
        <f t="shared" si="14"/>
        <v>469</v>
      </c>
      <c r="U8" s="1">
        <f t="shared" si="15"/>
        <v>489</v>
      </c>
      <c r="W8" s="1">
        <f t="shared" si="16"/>
        <v>12</v>
      </c>
      <c r="X8" s="1">
        <f t="shared" si="17"/>
        <v>32</v>
      </c>
      <c r="Y8" s="1">
        <f t="shared" si="18"/>
        <v>52</v>
      </c>
      <c r="Z8" s="16">
        <v>60.0</v>
      </c>
    </row>
    <row r="9">
      <c r="B9" s="2">
        <v>110.0</v>
      </c>
      <c r="C9" s="2">
        <v>130.0</v>
      </c>
      <c r="D9" s="2">
        <v>150.0</v>
      </c>
      <c r="E9" s="2">
        <v>170.0</v>
      </c>
      <c r="F9" s="2">
        <v>190.0</v>
      </c>
      <c r="G9" s="2">
        <f>F9+20</f>
        <v>210</v>
      </c>
      <c r="H9" s="2">
        <v>230.0</v>
      </c>
      <c r="I9" s="2">
        <v>250.0</v>
      </c>
      <c r="J9" s="2">
        <v>270.0</v>
      </c>
      <c r="K9" s="2">
        <v>290.0</v>
      </c>
      <c r="L9" s="2">
        <v>310.0</v>
      </c>
      <c r="M9" s="2">
        <v>330.0</v>
      </c>
      <c r="N9" s="2">
        <v>350.0</v>
      </c>
      <c r="O9" s="2">
        <v>370.0</v>
      </c>
      <c r="P9" s="1">
        <f>O9+20</f>
        <v>390</v>
      </c>
      <c r="Q9" s="2">
        <v>410.0</v>
      </c>
      <c r="R9" s="2">
        <v>430.0</v>
      </c>
      <c r="S9" s="2">
        <v>450.0</v>
      </c>
      <c r="T9" s="2">
        <v>470.0</v>
      </c>
      <c r="U9" s="2">
        <v>490.0</v>
      </c>
      <c r="Z9" s="2">
        <f>Z5-sum(Z6:Z8)</f>
        <v>264</v>
      </c>
    </row>
    <row r="10">
      <c r="A10" s="2" t="s">
        <v>59</v>
      </c>
      <c r="C10" s="2">
        <v>20.0</v>
      </c>
      <c r="E10" s="2">
        <v>60.0</v>
      </c>
      <c r="G10" s="2">
        <v>100.0</v>
      </c>
      <c r="H10" s="2">
        <v>60.0</v>
      </c>
      <c r="I10" s="2">
        <v>60.0</v>
      </c>
      <c r="J10" s="2">
        <v>100.0</v>
      </c>
      <c r="K10" s="2">
        <v>60.0</v>
      </c>
      <c r="L10" s="2">
        <v>140.0</v>
      </c>
      <c r="N10" s="2">
        <v>60.0</v>
      </c>
      <c r="V10" s="2">
        <v>131.0</v>
      </c>
      <c r="Z10" s="2">
        <v>60.0</v>
      </c>
    </row>
    <row r="11">
      <c r="A11" s="2" t="s">
        <v>60</v>
      </c>
      <c r="B11" s="2">
        <v>1.0</v>
      </c>
      <c r="C11" s="2">
        <v>1.0</v>
      </c>
      <c r="D11" s="2">
        <v>1.0</v>
      </c>
      <c r="E11" s="2">
        <v>2.0</v>
      </c>
      <c r="F11" s="2">
        <v>2.0</v>
      </c>
      <c r="G11" s="2">
        <v>2.0</v>
      </c>
      <c r="H11" s="2">
        <v>2.0</v>
      </c>
      <c r="I11" s="2">
        <v>2.0</v>
      </c>
      <c r="J11" s="2">
        <v>2.0</v>
      </c>
      <c r="K11" s="2">
        <v>2.0</v>
      </c>
      <c r="L11" s="2">
        <v>2.0</v>
      </c>
      <c r="M11" s="2">
        <v>2.0</v>
      </c>
      <c r="N11" s="2">
        <v>3.0</v>
      </c>
      <c r="O11" s="2">
        <v>3.0</v>
      </c>
      <c r="P11" s="2">
        <v>3.0</v>
      </c>
      <c r="Q11" s="2">
        <v>3.0</v>
      </c>
      <c r="R11" s="2">
        <v>3.0</v>
      </c>
      <c r="S11" s="2">
        <v>3.0</v>
      </c>
      <c r="T11" s="2">
        <v>4.0</v>
      </c>
      <c r="Z11" s="2">
        <v>60.0</v>
      </c>
    </row>
    <row r="12">
      <c r="A12" s="2" t="s">
        <v>61</v>
      </c>
      <c r="B12" s="2">
        <v>3.0</v>
      </c>
      <c r="C12" s="2">
        <v>3.0</v>
      </c>
      <c r="D12" s="2">
        <v>3.0</v>
      </c>
      <c r="E12" s="2">
        <v>4.0</v>
      </c>
      <c r="F12" s="2">
        <v>4.0</v>
      </c>
      <c r="G12" s="2">
        <v>4.0</v>
      </c>
      <c r="H12" s="2">
        <v>5.0</v>
      </c>
      <c r="I12" s="2">
        <v>5.0</v>
      </c>
      <c r="J12" s="2">
        <v>5.0</v>
      </c>
      <c r="K12" s="2">
        <v>6.0</v>
      </c>
      <c r="L12" s="2">
        <v>6.0</v>
      </c>
      <c r="M12" s="2">
        <v>6.0</v>
      </c>
      <c r="N12" s="2">
        <v>7.0</v>
      </c>
      <c r="O12" s="2">
        <v>7.0</v>
      </c>
      <c r="P12" s="2">
        <v>7.0</v>
      </c>
      <c r="Q12" s="2">
        <v>8.0</v>
      </c>
      <c r="R12" s="2">
        <v>8.0</v>
      </c>
      <c r="S12" s="2">
        <v>8.0</v>
      </c>
      <c r="T12" s="2">
        <v>9.0</v>
      </c>
      <c r="V12" s="2">
        <v>35.0</v>
      </c>
      <c r="W12" s="1">
        <f t="shared" ref="W12:W22" si="30">501-V12</f>
        <v>466</v>
      </c>
      <c r="Z12" s="16">
        <v>60.0</v>
      </c>
    </row>
    <row r="13">
      <c r="T13" s="2">
        <v>360.0</v>
      </c>
      <c r="V13" s="2">
        <v>40.0</v>
      </c>
      <c r="W13" s="1">
        <f t="shared" si="30"/>
        <v>461</v>
      </c>
      <c r="Z13" s="1">
        <f>Z9-sum(Z10:Z12)</f>
        <v>84</v>
      </c>
    </row>
    <row r="14">
      <c r="G14" s="7">
        <v>100.0</v>
      </c>
      <c r="H14" s="2">
        <v>60.0</v>
      </c>
      <c r="J14" s="2">
        <v>100.0</v>
      </c>
      <c r="L14" s="2">
        <v>140.0</v>
      </c>
      <c r="M14" s="2"/>
      <c r="N14" s="2">
        <v>6.0</v>
      </c>
      <c r="T14" s="2" t="s">
        <v>62</v>
      </c>
      <c r="V14" s="2">
        <v>41.0</v>
      </c>
      <c r="W14" s="1">
        <f t="shared" si="30"/>
        <v>460</v>
      </c>
    </row>
    <row r="15">
      <c r="C15" s="2">
        <v>20.0</v>
      </c>
      <c r="D15" s="2">
        <v>40.0</v>
      </c>
      <c r="E15" s="2">
        <v>60.0</v>
      </c>
      <c r="F15" s="2">
        <v>80.0</v>
      </c>
      <c r="G15" s="2">
        <v>100.0</v>
      </c>
      <c r="H15" s="2">
        <v>120.0</v>
      </c>
      <c r="I15" s="2">
        <v>140.0</v>
      </c>
      <c r="J15" s="2">
        <v>160.0</v>
      </c>
      <c r="K15" s="2">
        <v>180.0</v>
      </c>
      <c r="L15" s="2">
        <v>200.0</v>
      </c>
      <c r="M15" s="2">
        <v>220.0</v>
      </c>
      <c r="N15" s="2">
        <v>240.0</v>
      </c>
      <c r="O15" s="2">
        <v>260.0</v>
      </c>
      <c r="P15" s="2">
        <v>280.0</v>
      </c>
      <c r="Q15" s="2">
        <v>300.0</v>
      </c>
      <c r="R15" s="2">
        <v>320.0</v>
      </c>
      <c r="S15" s="2">
        <v>340.0</v>
      </c>
      <c r="T15" s="2">
        <v>360.0</v>
      </c>
      <c r="V15" s="2">
        <v>43.0</v>
      </c>
      <c r="W15" s="1">
        <f t="shared" si="30"/>
        <v>458</v>
      </c>
    </row>
    <row r="16">
      <c r="V16" s="2">
        <v>45.0</v>
      </c>
      <c r="W16" s="1">
        <f t="shared" si="30"/>
        <v>456</v>
      </c>
    </row>
    <row r="17">
      <c r="V17" s="2">
        <v>60.0</v>
      </c>
      <c r="W17" s="1">
        <f t="shared" si="30"/>
        <v>441</v>
      </c>
    </row>
    <row r="18">
      <c r="V18" s="2">
        <v>81.0</v>
      </c>
      <c r="W18" s="1">
        <f t="shared" si="30"/>
        <v>420</v>
      </c>
    </row>
    <row r="19">
      <c r="V19" s="2">
        <v>85.0</v>
      </c>
      <c r="W19" s="1">
        <f t="shared" si="30"/>
        <v>416</v>
      </c>
    </row>
    <row r="20">
      <c r="V20" s="2">
        <v>95.0</v>
      </c>
      <c r="W20" s="1">
        <f t="shared" si="30"/>
        <v>406</v>
      </c>
    </row>
    <row r="21">
      <c r="V21" s="2">
        <v>96.0</v>
      </c>
      <c r="W21" s="1">
        <f t="shared" si="30"/>
        <v>405</v>
      </c>
    </row>
    <row r="22">
      <c r="V22" s="2">
        <v>90.0</v>
      </c>
      <c r="W22" s="1">
        <f t="shared" si="30"/>
        <v>411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.29"/>
    <col customWidth="1" min="3" max="3" width="4.29"/>
    <col customWidth="1" min="4" max="4" width="3.29"/>
    <col customWidth="1" min="5" max="5" width="4.29"/>
    <col customWidth="1" min="6" max="6" width="3.29"/>
    <col customWidth="1" min="7" max="7" width="4.29"/>
  </cols>
  <sheetData>
    <row r="3">
      <c r="F3" s="2">
        <v>60.0</v>
      </c>
      <c r="G3" s="2">
        <v>82.0</v>
      </c>
    </row>
    <row r="4">
      <c r="D4" s="2">
        <v>60.0</v>
      </c>
      <c r="E4" s="2">
        <v>142.0</v>
      </c>
    </row>
    <row r="5">
      <c r="F5" s="2">
        <v>20.0</v>
      </c>
      <c r="G5" s="2">
        <v>122.0</v>
      </c>
    </row>
    <row r="6">
      <c r="B6" s="2">
        <v>60.0</v>
      </c>
      <c r="C6" s="2">
        <v>202.0</v>
      </c>
    </row>
    <row r="7">
      <c r="F7" s="2">
        <v>50.0</v>
      </c>
      <c r="G7" s="2">
        <v>132.0</v>
      </c>
    </row>
    <row r="8">
      <c r="D8" s="2">
        <v>20.0</v>
      </c>
      <c r="E8" s="2">
        <v>182.0</v>
      </c>
    </row>
    <row r="9">
      <c r="F9" s="2">
        <v>25.0</v>
      </c>
      <c r="G9" s="2">
        <v>157.0</v>
      </c>
    </row>
    <row r="10">
      <c r="A10" s="2">
        <v>262.0</v>
      </c>
    </row>
    <row r="11">
      <c r="F11" s="2">
        <v>54.0</v>
      </c>
      <c r="G11" s="2">
        <v>134.0</v>
      </c>
    </row>
    <row r="12">
      <c r="D12" s="2">
        <v>54.0</v>
      </c>
      <c r="E12" s="2">
        <v>188.0</v>
      </c>
    </row>
    <row r="13">
      <c r="F13" s="2">
        <v>18.0</v>
      </c>
      <c r="G13" s="2">
        <v>170.0</v>
      </c>
    </row>
    <row r="14">
      <c r="B14" s="2">
        <v>20.0</v>
      </c>
      <c r="C14" s="2">
        <v>242.0</v>
      </c>
    </row>
    <row r="15">
      <c r="F15" s="2">
        <v>54.0</v>
      </c>
      <c r="G15" s="2">
        <v>170.0</v>
      </c>
    </row>
    <row r="16">
      <c r="D16" s="2">
        <v>18.0</v>
      </c>
      <c r="E16" s="2">
        <v>224.0</v>
      </c>
    </row>
    <row r="17">
      <c r="F17" s="2">
        <v>18.0</v>
      </c>
      <c r="G17" s="2">
        <v>206.0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3.71"/>
    <col customWidth="1" min="3" max="3" width="13.43"/>
    <col customWidth="1" min="4" max="4" width="6.57"/>
    <col customWidth="1" min="5" max="5" width="3.29"/>
    <col customWidth="1" min="6" max="6" width="8.43"/>
    <col customWidth="1" min="7" max="7" width="3.29"/>
    <col customWidth="1" min="8" max="8" width="8.43"/>
  </cols>
  <sheetData>
    <row r="1">
      <c r="A1" s="2" t="s">
        <v>63</v>
      </c>
      <c r="B1" s="2" t="s">
        <v>64</v>
      </c>
      <c r="C1" s="2">
        <v>401.0</v>
      </c>
      <c r="K1" s="2" t="s">
        <v>65</v>
      </c>
      <c r="L1" s="1" t="b">
        <f>ISBLANK(start)</f>
        <v>0</v>
      </c>
    </row>
    <row r="2">
      <c r="A2" s="2" t="s">
        <v>66</v>
      </c>
      <c r="B2" s="2" t="s">
        <v>67</v>
      </c>
      <c r="C2" s="2">
        <v>20.0</v>
      </c>
    </row>
    <row r="3">
      <c r="A3" s="2" t="s">
        <v>68</v>
      </c>
      <c r="B3" s="2" t="s">
        <v>69</v>
      </c>
      <c r="C3" s="2">
        <v>19.0</v>
      </c>
      <c r="K3" s="2" t="s">
        <v>70</v>
      </c>
    </row>
    <row r="4">
      <c r="A4" s="2" t="s">
        <v>71</v>
      </c>
      <c r="B4" s="2" t="s">
        <v>72</v>
      </c>
      <c r="C4" s="2">
        <v>20.0</v>
      </c>
    </row>
    <row r="5">
      <c r="A5" s="2" t="s">
        <v>73</v>
      </c>
      <c r="B5" s="2" t="s">
        <v>74</v>
      </c>
      <c r="C5" s="2">
        <v>18.0</v>
      </c>
      <c r="G5" s="2"/>
      <c r="H5" s="2"/>
      <c r="K5" s="2" t="s">
        <v>75</v>
      </c>
    </row>
    <row r="6">
      <c r="A6" s="2" t="s">
        <v>76</v>
      </c>
      <c r="B6" s="2" t="s">
        <v>77</v>
      </c>
      <c r="C6" s="2">
        <v>19.0</v>
      </c>
    </row>
    <row r="7">
      <c r="A7" s="2"/>
      <c r="B7" s="2"/>
      <c r="C7" s="2"/>
      <c r="G7" s="2">
        <f>G9*3</f>
        <v>54</v>
      </c>
      <c r="H7" s="2">
        <f>F8-G7</f>
        <v>230</v>
      </c>
    </row>
    <row r="8">
      <c r="E8" s="2">
        <f>Pijl2_na_treffer*3</f>
        <v>57</v>
      </c>
      <c r="F8" s="2">
        <f>D10-E8</f>
        <v>284</v>
      </c>
    </row>
    <row r="9">
      <c r="G9" s="2">
        <f>pijl3natreffer</f>
        <v>18</v>
      </c>
      <c r="H9" s="2">
        <f>F8-G9</f>
        <v>266</v>
      </c>
    </row>
    <row r="10">
      <c r="C10" s="18">
        <f>IF((ISBLANK(start)),"?",pijl1*3)</f>
        <v>60</v>
      </c>
      <c r="D10" s="18">
        <f>IF((ISBLANK(start)),"",start-(pijl1*3))</f>
        <v>341</v>
      </c>
      <c r="J10" s="1">
        <f>IF(pijl1=25,50,pijl1*3)</f>
        <v>60</v>
      </c>
    </row>
    <row r="11">
      <c r="G11" s="2">
        <f>G13*3</f>
        <v>57</v>
      </c>
      <c r="H11" s="2">
        <f>F12-G11</f>
        <v>265</v>
      </c>
    </row>
    <row r="12">
      <c r="E12" s="2">
        <f>Pijl2_na_treffer</f>
        <v>19</v>
      </c>
      <c r="F12" s="2">
        <f>D10-E12</f>
        <v>322</v>
      </c>
      <c r="K12" s="2">
        <v>25.0</v>
      </c>
    </row>
    <row r="13">
      <c r="G13" s="1">
        <f>pijl3_na_misser</f>
        <v>19</v>
      </c>
      <c r="H13" s="2">
        <f>F12-G13</f>
        <v>303</v>
      </c>
    </row>
    <row r="14">
      <c r="A14" s="2"/>
      <c r="B14" s="19">
        <f>IF(ISBLANK(start),"Vul Start In",start)</f>
        <v>401</v>
      </c>
    </row>
    <row r="15">
      <c r="G15" s="18">
        <f>IF(G17=25,G17*2,G17*3)</f>
        <v>54</v>
      </c>
      <c r="H15" s="2">
        <f>F16-G15</f>
        <v>267</v>
      </c>
    </row>
    <row r="16">
      <c r="E16" s="2">
        <f>pijl2namisser*3</f>
        <v>60</v>
      </c>
      <c r="F16" s="2">
        <f>D18-E16</f>
        <v>321</v>
      </c>
    </row>
    <row r="17">
      <c r="G17" s="2">
        <f>pijl3natreffer</f>
        <v>18</v>
      </c>
      <c r="H17" s="2">
        <f>F16-G17</f>
        <v>303</v>
      </c>
    </row>
    <row r="18">
      <c r="C18" s="18">
        <f>IF((ISBLANK(start)),"?",pijl1)</f>
        <v>20</v>
      </c>
      <c r="D18" s="18">
        <f>IF((ISBLANK(start)),"",start-pijl1)</f>
        <v>381</v>
      </c>
    </row>
    <row r="19">
      <c r="G19" s="20">
        <f>IF(G21=25,G21*2,G21*3)</f>
        <v>57</v>
      </c>
      <c r="H19" s="2">
        <f>F20-G19</f>
        <v>304</v>
      </c>
    </row>
    <row r="20">
      <c r="E20" s="18">
        <f>IF((ISBLANK(start)),"?",pijl2namisser)</f>
        <v>20</v>
      </c>
      <c r="F20" s="18">
        <f>IF((ISBLANK(start)),"?",restscore_na_single_pijl_1-pijl2namisser)</f>
        <v>361</v>
      </c>
    </row>
    <row r="21">
      <c r="G21" s="2">
        <f>pijl3_na_misser</f>
        <v>19</v>
      </c>
      <c r="H21" s="2">
        <f>F20-G21</f>
        <v>342</v>
      </c>
    </row>
  </sheetData>
  <conditionalFormatting sqref="H6:H21">
    <cfRule type="cellIs" dxfId="0" priority="1" operator="greaterThan">
      <formula>170</formula>
    </cfRule>
  </conditionalFormatting>
  <conditionalFormatting sqref="H6:H21">
    <cfRule type="cellIs" dxfId="0" priority="2" operator="equal">
      <formula>159</formula>
    </cfRule>
  </conditionalFormatting>
  <conditionalFormatting sqref="H6:H21">
    <cfRule type="cellIs" dxfId="0" priority="3" operator="equal">
      <formula>162</formula>
    </cfRule>
  </conditionalFormatting>
  <conditionalFormatting sqref="H6:H21">
    <cfRule type="cellIs" dxfId="0" priority="4" operator="equal">
      <formula>163</formula>
    </cfRule>
  </conditionalFormatting>
  <conditionalFormatting sqref="H17:H19">
    <cfRule type="cellIs" dxfId="0" priority="5" operator="equal">
      <formula>165</formula>
    </cfRule>
  </conditionalFormatting>
  <conditionalFormatting sqref="H17:H19">
    <cfRule type="cellIs" dxfId="0" priority="6" operator="equal">
      <formula>166</formula>
    </cfRule>
  </conditionalFormatting>
  <conditionalFormatting sqref="H17:H19">
    <cfRule type="cellIs" dxfId="0" priority="7" operator="equal">
      <formula>169</formula>
    </cfRule>
  </conditionalFormatting>
  <conditionalFormatting sqref="H17:H19">
    <cfRule type="cellIs" dxfId="0" priority="8" operator="equal">
      <formula>168</formula>
    </cfRule>
  </conditionalFormatting>
  <conditionalFormatting sqref="H11">
    <cfRule type="cellIs" dxfId="0" priority="9" operator="equal">
      <formula>166</formula>
    </cfRule>
  </conditionalFormatting>
  <conditionalFormatting sqref="H6:H7 H9 H11 H13 H15 H17 H19 H21">
    <cfRule type="cellIs" dxfId="0" priority="10" operator="equal">
      <formula>165</formula>
    </cfRule>
  </conditionalFormatting>
  <conditionalFormatting sqref="H6:H7 H9 H11 H13 H15 H17 H19 H21">
    <cfRule type="cellIs" dxfId="0" priority="11" operator="equal">
      <formula>166</formula>
    </cfRule>
  </conditionalFormatting>
  <conditionalFormatting sqref="H6:H7 H9 H11 H13 H15 H17 H19 H21">
    <cfRule type="cellIs" dxfId="0" priority="12" operator="equal">
      <formula>168</formula>
    </cfRule>
  </conditionalFormatting>
  <conditionalFormatting sqref="H6:H7 H9 H11 H13 H15 H17 H19 H21">
    <cfRule type="cellIs" dxfId="0" priority="13" operator="equal">
      <formula>169</formula>
    </cfRule>
  </conditionalFormatting>
  <conditionalFormatting sqref="H7 H9 H11 H13 H15 H17 H19 H21">
    <cfRule type="cellIs" dxfId="0" priority="14" operator="lessThanOrEqual">
      <formula>0</formula>
    </cfRule>
  </conditionalFormatting>
  <dataValidations>
    <dataValidation type="list" allowBlank="1" showErrorMessage="1" sqref="C2:C6 K12">
      <formula1>bereikenen!$A$1:$A$21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57"/>
  </cols>
  <sheetData>
    <row r="1">
      <c r="A1" s="2" t="s">
        <v>2</v>
      </c>
      <c r="B1" s="2" t="s">
        <v>78</v>
      </c>
      <c r="C1" s="2" t="s">
        <v>79</v>
      </c>
    </row>
    <row r="2">
      <c r="A2" s="2">
        <v>2.0</v>
      </c>
      <c r="B2" s="2" t="s">
        <v>80</v>
      </c>
      <c r="C2" s="2" t="s">
        <v>81</v>
      </c>
    </row>
    <row r="3">
      <c r="A3" s="2">
        <v>3.0</v>
      </c>
      <c r="B3" s="2" t="s">
        <v>82</v>
      </c>
    </row>
    <row r="4">
      <c r="A4" s="2">
        <v>99.0</v>
      </c>
      <c r="B4" s="2" t="s">
        <v>83</v>
      </c>
    </row>
    <row r="6">
      <c r="A6" s="2">
        <v>102.0</v>
      </c>
      <c r="B6" s="2" t="s">
        <v>84</v>
      </c>
    </row>
    <row r="7">
      <c r="A7" s="2">
        <v>103.0</v>
      </c>
      <c r="B7" s="21" t="s">
        <v>84</v>
      </c>
    </row>
    <row r="8">
      <c r="A8" s="2">
        <v>105.0</v>
      </c>
      <c r="B8" s="21" t="s">
        <v>84</v>
      </c>
    </row>
    <row r="9">
      <c r="A9" s="2">
        <v>106.0</v>
      </c>
      <c r="B9" s="21" t="s">
        <v>84</v>
      </c>
    </row>
    <row r="10">
      <c r="A10" s="2">
        <v>108.0</v>
      </c>
      <c r="B10" s="21" t="s">
        <v>84</v>
      </c>
    </row>
    <row r="11">
      <c r="A11" s="2">
        <v>109.0</v>
      </c>
      <c r="B11" s="21" t="s">
        <v>84</v>
      </c>
    </row>
    <row r="12">
      <c r="A12" s="1">
        <v>159.0</v>
      </c>
      <c r="B12" s="2" t="s">
        <v>85</v>
      </c>
    </row>
    <row r="13">
      <c r="A13" s="1">
        <v>162.0</v>
      </c>
      <c r="B13" s="2" t="s">
        <v>85</v>
      </c>
    </row>
    <row r="14">
      <c r="A14" s="1">
        <v>163.0</v>
      </c>
      <c r="B14" s="2" t="s">
        <v>85</v>
      </c>
    </row>
    <row r="15">
      <c r="A15" s="1">
        <v>165.0</v>
      </c>
      <c r="B15" s="2" t="s">
        <v>85</v>
      </c>
    </row>
    <row r="16">
      <c r="A16" s="1">
        <v>166.0</v>
      </c>
      <c r="B16" s="2" t="s">
        <v>85</v>
      </c>
    </row>
    <row r="17">
      <c r="A17" s="1">
        <v>168.0</v>
      </c>
      <c r="B17" s="2" t="s">
        <v>85</v>
      </c>
    </row>
    <row r="18">
      <c r="A18" s="1">
        <v>169.0</v>
      </c>
      <c r="B18" s="2" t="s">
        <v>85</v>
      </c>
    </row>
    <row r="22">
      <c r="E22" s="2">
        <v>5.0</v>
      </c>
      <c r="F22" s="2">
        <v>20.0</v>
      </c>
      <c r="G22" s="2">
        <v>1.0</v>
      </c>
    </row>
    <row r="23">
      <c r="C23" s="2" t="s">
        <v>86</v>
      </c>
      <c r="D23" s="2">
        <v>3.0</v>
      </c>
      <c r="E23" s="1">
        <f t="shared" ref="E23:E31" si="1">$E$22*D23</f>
        <v>15</v>
      </c>
      <c r="F23" s="1">
        <f t="shared" ref="F23:F31" si="2">$F$22*D23</f>
        <v>60</v>
      </c>
      <c r="G23" s="1">
        <f t="shared" ref="G23:G31" si="3">$G$22*D23</f>
        <v>3</v>
      </c>
    </row>
    <row r="24">
      <c r="C24" s="2" t="s">
        <v>87</v>
      </c>
      <c r="D24" s="2">
        <v>4.0</v>
      </c>
      <c r="E24" s="1">
        <f t="shared" si="1"/>
        <v>20</v>
      </c>
      <c r="F24" s="1">
        <f t="shared" si="2"/>
        <v>80</v>
      </c>
      <c r="G24" s="1">
        <f t="shared" si="3"/>
        <v>4</v>
      </c>
    </row>
    <row r="25">
      <c r="C25" s="2" t="s">
        <v>88</v>
      </c>
      <c r="D25" s="2">
        <v>5.0</v>
      </c>
      <c r="E25" s="1">
        <f t="shared" si="1"/>
        <v>25</v>
      </c>
      <c r="F25" s="1">
        <f t="shared" si="2"/>
        <v>100</v>
      </c>
      <c r="G25" s="1">
        <f t="shared" si="3"/>
        <v>5</v>
      </c>
    </row>
    <row r="26">
      <c r="C26" s="2" t="s">
        <v>89</v>
      </c>
      <c r="D26" s="2">
        <v>7.0</v>
      </c>
      <c r="E26" s="1">
        <f t="shared" si="1"/>
        <v>35</v>
      </c>
      <c r="F26" s="1">
        <f t="shared" si="2"/>
        <v>140</v>
      </c>
      <c r="G26" s="1">
        <f t="shared" si="3"/>
        <v>7</v>
      </c>
    </row>
    <row r="27">
      <c r="C27" s="2" t="s">
        <v>90</v>
      </c>
      <c r="D27" s="2">
        <v>8.0</v>
      </c>
      <c r="E27" s="1">
        <f t="shared" si="1"/>
        <v>40</v>
      </c>
      <c r="F27" s="1">
        <f t="shared" si="2"/>
        <v>160</v>
      </c>
      <c r="G27" s="1">
        <f t="shared" si="3"/>
        <v>8</v>
      </c>
    </row>
    <row r="28">
      <c r="C28" s="2" t="s">
        <v>91</v>
      </c>
      <c r="D28" s="2">
        <v>9.0</v>
      </c>
      <c r="E28" s="1">
        <f t="shared" si="1"/>
        <v>45</v>
      </c>
      <c r="F28" s="1">
        <f t="shared" si="2"/>
        <v>180</v>
      </c>
      <c r="G28" s="1">
        <f t="shared" si="3"/>
        <v>9</v>
      </c>
    </row>
    <row r="29">
      <c r="C29" s="2" t="s">
        <v>92</v>
      </c>
      <c r="D29" s="2">
        <v>6.0</v>
      </c>
      <c r="E29" s="1">
        <f t="shared" si="1"/>
        <v>30</v>
      </c>
      <c r="F29" s="1">
        <f t="shared" si="2"/>
        <v>120</v>
      </c>
      <c r="G29" s="1">
        <f t="shared" si="3"/>
        <v>6</v>
      </c>
    </row>
    <row r="30">
      <c r="C30" s="2" t="s">
        <v>93</v>
      </c>
      <c r="D30" s="2">
        <v>5.0</v>
      </c>
      <c r="E30" s="1">
        <f t="shared" si="1"/>
        <v>25</v>
      </c>
      <c r="F30" s="1">
        <f t="shared" si="2"/>
        <v>100</v>
      </c>
      <c r="G30" s="1">
        <f t="shared" si="3"/>
        <v>5</v>
      </c>
    </row>
    <row r="31">
      <c r="C31" s="2" t="s">
        <v>94</v>
      </c>
      <c r="D31" s="2">
        <v>7.0</v>
      </c>
      <c r="E31" s="1">
        <f t="shared" si="1"/>
        <v>35</v>
      </c>
      <c r="F31" s="1">
        <f t="shared" si="2"/>
        <v>140</v>
      </c>
      <c r="G31" s="1">
        <f t="shared" si="3"/>
        <v>7</v>
      </c>
    </row>
    <row r="32">
      <c r="E32" s="1">
        <f t="shared" ref="E32:G32" si="4">SUM(E22:E31)</f>
        <v>275</v>
      </c>
      <c r="F32" s="1">
        <f t="shared" si="4"/>
        <v>1100</v>
      </c>
      <c r="G32" s="1">
        <f t="shared" si="4"/>
        <v>55</v>
      </c>
      <c r="H32" s="1">
        <f>SUM(D32:G32)</f>
        <v>1430</v>
      </c>
      <c r="I32" s="1">
        <f>H32/27</f>
        <v>52.96296296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1.0</v>
      </c>
      <c r="B1" s="2">
        <v>2.0</v>
      </c>
    </row>
    <row r="2">
      <c r="A2" s="2" t="s">
        <v>95</v>
      </c>
      <c r="B2" s="2">
        <v>4.0</v>
      </c>
    </row>
    <row r="3">
      <c r="A3" s="2" t="s">
        <v>96</v>
      </c>
      <c r="B3" s="2">
        <v>6.0</v>
      </c>
    </row>
    <row r="4">
      <c r="A4" s="2" t="s">
        <v>97</v>
      </c>
      <c r="B4" s="2">
        <v>8.0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3.0"/>
    <col customWidth="1" min="14" max="42" width="8.71"/>
  </cols>
  <sheetData>
    <row r="1">
      <c r="A1" s="1">
        <v>2.0</v>
      </c>
      <c r="B1" s="1">
        <v>3.0</v>
      </c>
      <c r="C1" s="1">
        <v>4.0</v>
      </c>
      <c r="D1" s="1">
        <v>5.0</v>
      </c>
      <c r="E1" s="1">
        <v>6.0</v>
      </c>
      <c r="F1" s="1">
        <v>7.0</v>
      </c>
      <c r="G1" s="1">
        <v>8.0</v>
      </c>
      <c r="H1" s="1">
        <v>9.0</v>
      </c>
      <c r="I1" s="1">
        <v>10.0</v>
      </c>
      <c r="J1" s="1">
        <v>11.0</v>
      </c>
      <c r="K1" s="1">
        <v>12.0</v>
      </c>
      <c r="L1" s="1">
        <v>13.0</v>
      </c>
      <c r="M1" s="1">
        <v>14.0</v>
      </c>
      <c r="N1" s="1">
        <v>15.0</v>
      </c>
      <c r="O1" s="1">
        <v>16.0</v>
      </c>
      <c r="P1" s="1">
        <v>17.0</v>
      </c>
      <c r="Q1" s="1">
        <v>18.0</v>
      </c>
      <c r="R1" s="1">
        <v>19.0</v>
      </c>
      <c r="S1" s="1">
        <v>20.0</v>
      </c>
      <c r="T1" s="1">
        <v>21.0</v>
      </c>
      <c r="U1" s="1">
        <v>22.0</v>
      </c>
      <c r="V1" s="1">
        <v>23.0</v>
      </c>
      <c r="W1" s="1">
        <v>25.0</v>
      </c>
      <c r="X1" s="1">
        <v>26.0</v>
      </c>
      <c r="Y1" s="1">
        <v>27.0</v>
      </c>
      <c r="Z1" s="1">
        <v>28.0</v>
      </c>
      <c r="AA1" s="1">
        <v>29.0</v>
      </c>
      <c r="AB1" s="1">
        <v>31.0</v>
      </c>
      <c r="AC1" s="1">
        <v>33.0</v>
      </c>
      <c r="AD1" s="1">
        <v>34.0</v>
      </c>
      <c r="AE1" s="1">
        <v>35.0</v>
      </c>
      <c r="AF1" s="1">
        <v>37.0</v>
      </c>
      <c r="AG1" s="1">
        <v>39.0</v>
      </c>
      <c r="AH1" s="1">
        <v>40.0</v>
      </c>
      <c r="AI1" s="1">
        <v>41.0</v>
      </c>
      <c r="AJ1" s="1">
        <v>43.0</v>
      </c>
      <c r="AK1" s="1">
        <v>46.0</v>
      </c>
      <c r="AL1" s="1">
        <v>49.0</v>
      </c>
      <c r="AM1" s="1">
        <v>51.0</v>
      </c>
      <c r="AN1" s="1">
        <v>52.0</v>
      </c>
      <c r="AO1" s="1">
        <v>55.0</v>
      </c>
      <c r="AP1" s="1">
        <v>61.0</v>
      </c>
    </row>
    <row r="2">
      <c r="A2" s="1">
        <v>3.0</v>
      </c>
      <c r="B2" s="1">
        <v>4.0</v>
      </c>
      <c r="C2" s="1">
        <v>5.0</v>
      </c>
      <c r="D2" s="1">
        <v>6.0</v>
      </c>
      <c r="E2" s="1">
        <v>7.0</v>
      </c>
      <c r="F2" s="1">
        <v>8.0</v>
      </c>
      <c r="G2" s="1">
        <v>9.0</v>
      </c>
      <c r="H2" s="1">
        <v>10.0</v>
      </c>
      <c r="I2" s="1">
        <v>11.0</v>
      </c>
      <c r="J2" s="1">
        <v>12.0</v>
      </c>
      <c r="K2" s="1">
        <v>13.0</v>
      </c>
      <c r="L2" s="1">
        <v>14.0</v>
      </c>
      <c r="M2" s="1">
        <v>15.0</v>
      </c>
      <c r="N2" s="1">
        <v>16.0</v>
      </c>
      <c r="O2" s="1">
        <v>17.0</v>
      </c>
      <c r="P2" s="1">
        <v>18.0</v>
      </c>
      <c r="Q2" s="1">
        <v>19.0</v>
      </c>
      <c r="R2" s="1">
        <v>20.0</v>
      </c>
      <c r="S2" s="1">
        <v>21.0</v>
      </c>
      <c r="T2" s="1">
        <v>22.0</v>
      </c>
      <c r="U2" s="1">
        <v>23.0</v>
      </c>
      <c r="V2" s="1">
        <v>24.0</v>
      </c>
      <c r="W2" s="1">
        <v>26.0</v>
      </c>
      <c r="X2" s="1">
        <v>27.0</v>
      </c>
      <c r="Y2" s="1">
        <v>28.0</v>
      </c>
      <c r="Z2" s="1">
        <v>29.0</v>
      </c>
      <c r="AA2" s="1">
        <v>30.0</v>
      </c>
      <c r="AB2" s="1">
        <v>32.0</v>
      </c>
      <c r="AC2" s="1">
        <v>34.0</v>
      </c>
      <c r="AD2" s="1">
        <v>35.0</v>
      </c>
      <c r="AE2" s="1">
        <v>36.0</v>
      </c>
      <c r="AF2" s="1">
        <v>38.0</v>
      </c>
      <c r="AG2" s="1">
        <v>40.0</v>
      </c>
      <c r="AH2" s="1">
        <v>41.0</v>
      </c>
      <c r="AI2" s="1">
        <v>42.0</v>
      </c>
      <c r="AJ2" s="1">
        <v>44.0</v>
      </c>
      <c r="AK2" s="1">
        <v>47.0</v>
      </c>
      <c r="AL2" s="1">
        <v>50.0</v>
      </c>
      <c r="AM2" s="1">
        <v>52.0</v>
      </c>
      <c r="AN2" s="1">
        <v>53.0</v>
      </c>
      <c r="AO2" s="1">
        <v>56.0</v>
      </c>
      <c r="AP2" s="1">
        <v>62.0</v>
      </c>
    </row>
    <row r="3">
      <c r="A3" s="1">
        <v>4.0</v>
      </c>
      <c r="B3" s="1">
        <v>5.0</v>
      </c>
      <c r="C3" s="1">
        <v>6.0</v>
      </c>
      <c r="D3" s="1">
        <v>7.0</v>
      </c>
      <c r="E3" s="1">
        <v>8.0</v>
      </c>
      <c r="F3" s="1">
        <v>9.0</v>
      </c>
      <c r="G3" s="1">
        <v>10.0</v>
      </c>
      <c r="H3" s="1">
        <v>11.0</v>
      </c>
      <c r="I3" s="1">
        <v>12.0</v>
      </c>
      <c r="J3" s="1">
        <v>13.0</v>
      </c>
      <c r="K3" s="1">
        <v>14.0</v>
      </c>
      <c r="L3" s="1">
        <v>15.0</v>
      </c>
      <c r="M3" s="1">
        <v>16.0</v>
      </c>
      <c r="N3" s="1">
        <v>17.0</v>
      </c>
      <c r="O3" s="1">
        <v>18.0</v>
      </c>
      <c r="P3" s="1">
        <v>19.0</v>
      </c>
      <c r="Q3" s="1">
        <v>20.0</v>
      </c>
      <c r="R3" s="1">
        <v>21.0</v>
      </c>
      <c r="S3" s="1">
        <v>22.0</v>
      </c>
      <c r="T3" s="1">
        <v>23.0</v>
      </c>
      <c r="U3" s="1">
        <v>24.0</v>
      </c>
      <c r="V3" s="1">
        <v>25.0</v>
      </c>
      <c r="W3" s="1">
        <v>27.0</v>
      </c>
      <c r="X3" s="1">
        <v>28.0</v>
      </c>
      <c r="Y3" s="1">
        <v>29.0</v>
      </c>
      <c r="Z3" s="1">
        <v>30.0</v>
      </c>
      <c r="AA3" s="1">
        <v>31.0</v>
      </c>
      <c r="AB3" s="1">
        <v>33.0</v>
      </c>
      <c r="AC3" s="1">
        <v>35.0</v>
      </c>
      <c r="AD3" s="1">
        <v>36.0</v>
      </c>
      <c r="AE3" s="1">
        <v>37.0</v>
      </c>
      <c r="AF3" s="1">
        <v>39.0</v>
      </c>
      <c r="AG3" s="1">
        <v>41.0</v>
      </c>
      <c r="AH3" s="1">
        <v>42.0</v>
      </c>
      <c r="AI3" s="1">
        <v>43.0</v>
      </c>
      <c r="AJ3" s="1">
        <v>45.0</v>
      </c>
      <c r="AK3" s="1">
        <v>48.0</v>
      </c>
      <c r="AL3" s="1">
        <v>51.0</v>
      </c>
      <c r="AM3" s="1">
        <v>53.0</v>
      </c>
      <c r="AN3" s="1">
        <v>54.0</v>
      </c>
      <c r="AO3" s="1">
        <v>57.0</v>
      </c>
      <c r="AP3" s="1">
        <v>63.0</v>
      </c>
    </row>
    <row r="4">
      <c r="A4" s="1">
        <v>5.0</v>
      </c>
      <c r="B4" s="1">
        <v>6.0</v>
      </c>
      <c r="C4" s="1">
        <v>7.0</v>
      </c>
      <c r="D4" s="1">
        <v>8.0</v>
      </c>
      <c r="E4" s="1">
        <v>9.0</v>
      </c>
      <c r="F4" s="1">
        <v>10.0</v>
      </c>
      <c r="G4" s="1">
        <v>11.0</v>
      </c>
      <c r="H4" s="1">
        <v>12.0</v>
      </c>
      <c r="I4" s="1">
        <v>13.0</v>
      </c>
      <c r="J4" s="1">
        <v>14.0</v>
      </c>
      <c r="K4" s="1">
        <v>15.0</v>
      </c>
      <c r="L4" s="1">
        <v>16.0</v>
      </c>
      <c r="M4" s="1">
        <v>17.0</v>
      </c>
      <c r="N4" s="1">
        <v>18.0</v>
      </c>
      <c r="O4" s="1">
        <v>19.0</v>
      </c>
      <c r="P4" s="1">
        <v>20.0</v>
      </c>
      <c r="Q4" s="1">
        <v>21.0</v>
      </c>
      <c r="R4" s="1">
        <v>22.0</v>
      </c>
      <c r="S4" s="1">
        <v>23.0</v>
      </c>
      <c r="T4" s="1">
        <v>24.0</v>
      </c>
      <c r="U4" s="1">
        <v>25.0</v>
      </c>
      <c r="V4" s="1">
        <v>26.0</v>
      </c>
      <c r="W4" s="1">
        <v>28.0</v>
      </c>
      <c r="X4" s="1">
        <v>29.0</v>
      </c>
      <c r="Y4" s="1">
        <v>30.0</v>
      </c>
      <c r="Z4" s="1">
        <v>31.0</v>
      </c>
      <c r="AA4" s="1">
        <v>32.0</v>
      </c>
      <c r="AB4" s="1">
        <v>34.0</v>
      </c>
      <c r="AC4" s="1">
        <v>36.0</v>
      </c>
      <c r="AD4" s="1">
        <v>37.0</v>
      </c>
      <c r="AE4" s="1">
        <v>38.0</v>
      </c>
      <c r="AF4" s="1">
        <v>40.0</v>
      </c>
      <c r="AG4" s="1">
        <v>42.0</v>
      </c>
      <c r="AH4" s="1">
        <v>43.0</v>
      </c>
      <c r="AI4" s="1">
        <v>44.0</v>
      </c>
      <c r="AJ4" s="1">
        <v>46.0</v>
      </c>
      <c r="AK4" s="1">
        <v>49.0</v>
      </c>
      <c r="AL4" s="1">
        <v>52.0</v>
      </c>
      <c r="AM4" s="1">
        <v>54.0</v>
      </c>
      <c r="AN4" s="1">
        <v>55.0</v>
      </c>
      <c r="AO4" s="1">
        <v>58.0</v>
      </c>
      <c r="AP4" s="1">
        <v>64.0</v>
      </c>
    </row>
    <row r="5">
      <c r="A5" s="1">
        <v>6.0</v>
      </c>
      <c r="B5" s="1">
        <v>7.0</v>
      </c>
      <c r="C5" s="1">
        <v>8.0</v>
      </c>
      <c r="D5" s="1">
        <v>9.0</v>
      </c>
      <c r="E5" s="1">
        <v>10.0</v>
      </c>
      <c r="F5" s="1">
        <v>11.0</v>
      </c>
      <c r="G5" s="1">
        <v>12.0</v>
      </c>
      <c r="H5" s="1">
        <v>13.0</v>
      </c>
      <c r="I5" s="1">
        <v>14.0</v>
      </c>
      <c r="J5" s="1">
        <v>15.0</v>
      </c>
      <c r="K5" s="1">
        <v>16.0</v>
      </c>
      <c r="L5" s="1">
        <v>17.0</v>
      </c>
      <c r="M5" s="1">
        <v>18.0</v>
      </c>
      <c r="N5" s="1">
        <v>19.0</v>
      </c>
      <c r="O5" s="1">
        <v>20.0</v>
      </c>
      <c r="P5" s="1">
        <v>21.0</v>
      </c>
      <c r="Q5" s="1">
        <v>22.0</v>
      </c>
      <c r="R5" s="1">
        <v>23.0</v>
      </c>
      <c r="S5" s="1">
        <v>24.0</v>
      </c>
      <c r="T5" s="1">
        <v>25.0</v>
      </c>
      <c r="U5" s="1">
        <v>26.0</v>
      </c>
      <c r="V5" s="1">
        <v>27.0</v>
      </c>
      <c r="W5" s="1">
        <v>29.0</v>
      </c>
      <c r="X5" s="1">
        <v>30.0</v>
      </c>
      <c r="Y5" s="1">
        <v>31.0</v>
      </c>
      <c r="Z5" s="1">
        <v>32.0</v>
      </c>
      <c r="AA5" s="1">
        <v>33.0</v>
      </c>
      <c r="AB5" s="1">
        <v>35.0</v>
      </c>
      <c r="AC5" s="1">
        <v>37.0</v>
      </c>
      <c r="AD5" s="1">
        <v>38.0</v>
      </c>
      <c r="AE5" s="1">
        <v>39.0</v>
      </c>
      <c r="AF5" s="1">
        <v>41.0</v>
      </c>
      <c r="AG5" s="1">
        <v>43.0</v>
      </c>
      <c r="AH5" s="1">
        <v>44.0</v>
      </c>
      <c r="AI5" s="1">
        <v>45.0</v>
      </c>
      <c r="AJ5" s="1">
        <v>47.0</v>
      </c>
      <c r="AK5" s="1">
        <v>50.0</v>
      </c>
      <c r="AL5" s="1">
        <v>53.0</v>
      </c>
      <c r="AM5" s="1">
        <v>55.0</v>
      </c>
      <c r="AN5" s="1">
        <v>56.0</v>
      </c>
      <c r="AO5" s="1">
        <v>59.0</v>
      </c>
      <c r="AP5" s="1">
        <v>65.0</v>
      </c>
    </row>
    <row r="6">
      <c r="A6" s="1">
        <v>7.0</v>
      </c>
      <c r="B6" s="1">
        <v>8.0</v>
      </c>
      <c r="C6" s="1">
        <v>9.0</v>
      </c>
      <c r="D6" s="1">
        <v>10.0</v>
      </c>
      <c r="E6" s="1">
        <v>11.0</v>
      </c>
      <c r="F6" s="1">
        <v>12.0</v>
      </c>
      <c r="G6" s="1">
        <v>13.0</v>
      </c>
      <c r="H6" s="1">
        <v>14.0</v>
      </c>
      <c r="I6" s="1">
        <v>15.0</v>
      </c>
      <c r="J6" s="1">
        <v>16.0</v>
      </c>
      <c r="K6" s="1">
        <v>17.0</v>
      </c>
      <c r="L6" s="1">
        <v>18.0</v>
      </c>
      <c r="M6" s="1">
        <v>19.0</v>
      </c>
      <c r="N6" s="1">
        <v>20.0</v>
      </c>
      <c r="O6" s="1">
        <v>21.0</v>
      </c>
      <c r="P6" s="1">
        <v>22.0</v>
      </c>
      <c r="Q6" s="1">
        <v>23.0</v>
      </c>
      <c r="R6" s="1">
        <v>24.0</v>
      </c>
      <c r="S6" s="1">
        <v>25.0</v>
      </c>
      <c r="T6" s="1">
        <v>26.0</v>
      </c>
      <c r="U6" s="1">
        <v>27.0</v>
      </c>
      <c r="V6" s="1">
        <v>28.0</v>
      </c>
      <c r="W6" s="1">
        <v>30.0</v>
      </c>
      <c r="X6" s="1">
        <v>31.0</v>
      </c>
      <c r="Y6" s="1">
        <v>32.0</v>
      </c>
      <c r="Z6" s="1">
        <v>33.0</v>
      </c>
      <c r="AA6" s="1">
        <v>34.0</v>
      </c>
      <c r="AB6" s="1">
        <v>36.0</v>
      </c>
      <c r="AC6" s="1">
        <v>38.0</v>
      </c>
      <c r="AD6" s="1">
        <v>39.0</v>
      </c>
      <c r="AE6" s="1">
        <v>40.0</v>
      </c>
      <c r="AF6" s="1">
        <v>42.0</v>
      </c>
      <c r="AG6" s="1">
        <v>44.0</v>
      </c>
      <c r="AH6" s="1">
        <v>45.0</v>
      </c>
      <c r="AI6" s="1">
        <v>46.0</v>
      </c>
      <c r="AJ6" s="1">
        <v>48.0</v>
      </c>
      <c r="AK6" s="1">
        <v>51.0</v>
      </c>
      <c r="AL6" s="1">
        <v>54.0</v>
      </c>
      <c r="AM6" s="1">
        <v>56.0</v>
      </c>
      <c r="AN6" s="1">
        <v>57.0</v>
      </c>
      <c r="AO6" s="1">
        <v>60.0</v>
      </c>
      <c r="AP6" s="1">
        <v>66.0</v>
      </c>
    </row>
    <row r="7">
      <c r="A7" s="1">
        <v>8.0</v>
      </c>
      <c r="B7" s="1">
        <v>9.0</v>
      </c>
      <c r="C7" s="1">
        <v>10.0</v>
      </c>
      <c r="D7" s="1">
        <v>11.0</v>
      </c>
      <c r="E7" s="1">
        <v>12.0</v>
      </c>
      <c r="F7" s="1">
        <v>13.0</v>
      </c>
      <c r="G7" s="1">
        <v>14.0</v>
      </c>
      <c r="H7" s="1">
        <v>15.0</v>
      </c>
      <c r="I7" s="1">
        <v>16.0</v>
      </c>
      <c r="J7" s="1">
        <v>17.0</v>
      </c>
      <c r="K7" s="1">
        <v>18.0</v>
      </c>
      <c r="L7" s="1">
        <v>19.0</v>
      </c>
      <c r="M7" s="1">
        <v>20.0</v>
      </c>
      <c r="N7" s="1">
        <v>21.0</v>
      </c>
      <c r="O7" s="1">
        <v>22.0</v>
      </c>
      <c r="P7" s="1">
        <v>23.0</v>
      </c>
      <c r="Q7" s="1">
        <v>24.0</v>
      </c>
      <c r="R7" s="1">
        <v>25.0</v>
      </c>
      <c r="S7" s="1">
        <v>26.0</v>
      </c>
      <c r="T7" s="1">
        <v>27.0</v>
      </c>
      <c r="U7" s="1">
        <v>28.0</v>
      </c>
      <c r="V7" s="1">
        <v>29.0</v>
      </c>
      <c r="W7" s="1">
        <v>31.0</v>
      </c>
      <c r="X7" s="1">
        <v>32.0</v>
      </c>
      <c r="Y7" s="1">
        <v>33.0</v>
      </c>
      <c r="Z7" s="1">
        <v>34.0</v>
      </c>
      <c r="AA7" s="1">
        <v>35.0</v>
      </c>
      <c r="AB7" s="1">
        <v>37.0</v>
      </c>
      <c r="AC7" s="1">
        <v>39.0</v>
      </c>
      <c r="AD7" s="1">
        <v>40.0</v>
      </c>
      <c r="AE7" s="1">
        <v>41.0</v>
      </c>
      <c r="AF7" s="1">
        <v>43.0</v>
      </c>
      <c r="AG7" s="1">
        <v>45.0</v>
      </c>
      <c r="AH7" s="1">
        <v>46.0</v>
      </c>
      <c r="AI7" s="1">
        <v>47.0</v>
      </c>
      <c r="AJ7" s="1">
        <v>49.0</v>
      </c>
      <c r="AK7" s="1">
        <v>52.0</v>
      </c>
      <c r="AL7" s="1">
        <v>55.0</v>
      </c>
      <c r="AM7" s="1">
        <v>57.0</v>
      </c>
      <c r="AN7" s="1">
        <v>58.0</v>
      </c>
      <c r="AO7" s="1">
        <v>61.0</v>
      </c>
      <c r="AP7" s="1">
        <v>67.0</v>
      </c>
    </row>
    <row r="8">
      <c r="A8" s="1">
        <v>9.0</v>
      </c>
      <c r="B8" s="1">
        <v>10.0</v>
      </c>
      <c r="C8" s="1">
        <v>11.0</v>
      </c>
      <c r="D8" s="1">
        <v>12.0</v>
      </c>
      <c r="E8" s="1">
        <v>13.0</v>
      </c>
      <c r="F8" s="1">
        <v>14.0</v>
      </c>
      <c r="G8" s="1">
        <v>15.0</v>
      </c>
      <c r="H8" s="1">
        <v>16.0</v>
      </c>
      <c r="I8" s="1">
        <v>17.0</v>
      </c>
      <c r="J8" s="1">
        <v>18.0</v>
      </c>
      <c r="K8" s="1">
        <v>19.0</v>
      </c>
      <c r="L8" s="1">
        <v>20.0</v>
      </c>
      <c r="M8" s="1">
        <v>21.0</v>
      </c>
      <c r="N8" s="1">
        <v>22.0</v>
      </c>
      <c r="O8" s="1">
        <v>23.0</v>
      </c>
      <c r="P8" s="1">
        <v>24.0</v>
      </c>
      <c r="Q8" s="1">
        <v>25.0</v>
      </c>
      <c r="R8" s="1">
        <v>26.0</v>
      </c>
      <c r="S8" s="1">
        <v>27.0</v>
      </c>
      <c r="T8" s="1">
        <v>28.0</v>
      </c>
      <c r="U8" s="1">
        <v>29.0</v>
      </c>
      <c r="V8" s="1">
        <v>30.0</v>
      </c>
      <c r="W8" s="1">
        <v>32.0</v>
      </c>
      <c r="X8" s="1">
        <v>33.0</v>
      </c>
      <c r="Y8" s="1">
        <v>34.0</v>
      </c>
      <c r="Z8" s="1">
        <v>35.0</v>
      </c>
      <c r="AA8" s="1">
        <v>36.0</v>
      </c>
      <c r="AB8" s="1">
        <v>38.0</v>
      </c>
      <c r="AC8" s="1">
        <v>40.0</v>
      </c>
      <c r="AD8" s="1">
        <v>41.0</v>
      </c>
      <c r="AE8" s="1">
        <v>42.0</v>
      </c>
      <c r="AF8" s="1">
        <v>44.0</v>
      </c>
      <c r="AG8" s="1">
        <v>46.0</v>
      </c>
      <c r="AH8" s="1">
        <v>47.0</v>
      </c>
      <c r="AI8" s="1">
        <v>48.0</v>
      </c>
      <c r="AJ8" s="1">
        <v>50.0</v>
      </c>
      <c r="AK8" s="1">
        <v>53.0</v>
      </c>
      <c r="AL8" s="1">
        <v>56.0</v>
      </c>
      <c r="AM8" s="1">
        <v>58.0</v>
      </c>
      <c r="AN8" s="1">
        <v>59.0</v>
      </c>
      <c r="AO8" s="1">
        <v>62.0</v>
      </c>
      <c r="AP8" s="1">
        <v>68.0</v>
      </c>
    </row>
    <row r="9">
      <c r="A9" s="1">
        <v>10.0</v>
      </c>
      <c r="B9" s="1">
        <v>11.0</v>
      </c>
      <c r="C9" s="1">
        <v>12.0</v>
      </c>
      <c r="D9" s="1">
        <v>13.0</v>
      </c>
      <c r="E9" s="1">
        <v>14.0</v>
      </c>
      <c r="F9" s="1">
        <v>15.0</v>
      </c>
      <c r="G9" s="1">
        <v>16.0</v>
      </c>
      <c r="H9" s="1">
        <v>17.0</v>
      </c>
      <c r="I9" s="1">
        <v>18.0</v>
      </c>
      <c r="J9" s="1">
        <v>19.0</v>
      </c>
      <c r="K9" s="1">
        <v>20.0</v>
      </c>
      <c r="L9" s="1">
        <v>21.0</v>
      </c>
      <c r="M9" s="1">
        <v>22.0</v>
      </c>
      <c r="N9" s="1">
        <v>23.0</v>
      </c>
      <c r="O9" s="1">
        <v>24.0</v>
      </c>
      <c r="P9" s="1">
        <v>25.0</v>
      </c>
      <c r="Q9" s="1">
        <v>26.0</v>
      </c>
      <c r="R9" s="1">
        <v>27.0</v>
      </c>
      <c r="S9" s="1">
        <v>28.0</v>
      </c>
      <c r="T9" s="1">
        <v>29.0</v>
      </c>
      <c r="U9" s="1">
        <v>30.0</v>
      </c>
      <c r="V9" s="1">
        <v>31.0</v>
      </c>
      <c r="W9" s="1">
        <v>33.0</v>
      </c>
      <c r="X9" s="1">
        <v>34.0</v>
      </c>
      <c r="Y9" s="1">
        <v>35.0</v>
      </c>
      <c r="Z9" s="1">
        <v>36.0</v>
      </c>
      <c r="AA9" s="1">
        <v>37.0</v>
      </c>
      <c r="AB9" s="1">
        <v>39.0</v>
      </c>
      <c r="AC9" s="1">
        <v>41.0</v>
      </c>
      <c r="AD9" s="1">
        <v>42.0</v>
      </c>
      <c r="AE9" s="1">
        <v>43.0</v>
      </c>
      <c r="AF9" s="1">
        <v>45.0</v>
      </c>
      <c r="AG9" s="1">
        <v>47.0</v>
      </c>
      <c r="AH9" s="1">
        <v>48.0</v>
      </c>
      <c r="AI9" s="1">
        <v>49.0</v>
      </c>
      <c r="AJ9" s="1">
        <v>51.0</v>
      </c>
      <c r="AK9" s="1">
        <v>54.0</v>
      </c>
      <c r="AL9" s="1">
        <v>57.0</v>
      </c>
      <c r="AM9" s="1">
        <v>59.0</v>
      </c>
      <c r="AN9" s="1">
        <v>60.0</v>
      </c>
      <c r="AO9" s="1">
        <v>63.0</v>
      </c>
      <c r="AP9" s="1">
        <v>69.0</v>
      </c>
    </row>
    <row r="10">
      <c r="A10" s="1">
        <v>11.0</v>
      </c>
      <c r="B10" s="1">
        <v>12.0</v>
      </c>
      <c r="C10" s="1">
        <v>13.0</v>
      </c>
      <c r="D10" s="1">
        <v>14.0</v>
      </c>
      <c r="E10" s="1">
        <v>15.0</v>
      </c>
      <c r="F10" s="1">
        <v>16.0</v>
      </c>
      <c r="G10" s="1">
        <v>17.0</v>
      </c>
      <c r="H10" s="1">
        <v>18.0</v>
      </c>
      <c r="I10" s="1">
        <v>19.0</v>
      </c>
      <c r="J10" s="1">
        <v>20.0</v>
      </c>
      <c r="K10" s="1">
        <v>21.0</v>
      </c>
      <c r="L10" s="1">
        <v>22.0</v>
      </c>
      <c r="M10" s="1">
        <v>23.0</v>
      </c>
      <c r="N10" s="1">
        <v>24.0</v>
      </c>
      <c r="O10" s="1">
        <v>25.0</v>
      </c>
      <c r="P10" s="1">
        <v>26.0</v>
      </c>
      <c r="Q10" s="1">
        <v>27.0</v>
      </c>
      <c r="R10" s="1">
        <v>28.0</v>
      </c>
      <c r="S10" s="1">
        <v>29.0</v>
      </c>
      <c r="T10" s="1">
        <v>30.0</v>
      </c>
      <c r="U10" s="1">
        <v>31.0</v>
      </c>
      <c r="V10" s="1">
        <v>32.0</v>
      </c>
      <c r="W10" s="1">
        <v>34.0</v>
      </c>
      <c r="X10" s="1">
        <v>35.0</v>
      </c>
      <c r="Y10" s="1">
        <v>36.0</v>
      </c>
      <c r="Z10" s="1">
        <v>37.0</v>
      </c>
      <c r="AA10" s="1">
        <v>38.0</v>
      </c>
      <c r="AB10" s="1">
        <v>40.0</v>
      </c>
      <c r="AC10" s="1">
        <v>42.0</v>
      </c>
      <c r="AD10" s="1">
        <v>43.0</v>
      </c>
      <c r="AE10" s="1">
        <v>44.0</v>
      </c>
      <c r="AF10" s="1">
        <v>46.0</v>
      </c>
      <c r="AG10" s="1">
        <v>48.0</v>
      </c>
      <c r="AH10" s="1">
        <v>49.0</v>
      </c>
      <c r="AI10" s="1">
        <v>50.0</v>
      </c>
      <c r="AJ10" s="1">
        <v>52.0</v>
      </c>
      <c r="AK10" s="1">
        <v>55.0</v>
      </c>
      <c r="AL10" s="1">
        <v>58.0</v>
      </c>
      <c r="AM10" s="1">
        <v>60.0</v>
      </c>
      <c r="AN10" s="1">
        <v>61.0</v>
      </c>
      <c r="AO10" s="1">
        <v>64.0</v>
      </c>
      <c r="AP10" s="1">
        <v>70.0</v>
      </c>
    </row>
    <row r="11">
      <c r="A11" s="1">
        <v>12.0</v>
      </c>
      <c r="B11" s="1">
        <v>13.0</v>
      </c>
      <c r="C11" s="1">
        <v>14.0</v>
      </c>
      <c r="D11" s="1">
        <v>15.0</v>
      </c>
      <c r="E11" s="1">
        <v>16.0</v>
      </c>
      <c r="F11" s="1">
        <v>17.0</v>
      </c>
      <c r="G11" s="1">
        <v>18.0</v>
      </c>
      <c r="H11" s="1">
        <v>19.0</v>
      </c>
      <c r="I11" s="1">
        <v>20.0</v>
      </c>
      <c r="J11" s="1">
        <v>21.0</v>
      </c>
      <c r="K11" s="1">
        <v>22.0</v>
      </c>
      <c r="L11" s="1">
        <v>23.0</v>
      </c>
      <c r="M11" s="1">
        <v>24.0</v>
      </c>
      <c r="N11" s="1">
        <v>25.0</v>
      </c>
      <c r="O11" s="1">
        <v>26.0</v>
      </c>
      <c r="P11" s="1">
        <v>27.0</v>
      </c>
      <c r="Q11" s="1">
        <v>28.0</v>
      </c>
      <c r="R11" s="1">
        <v>29.0</v>
      </c>
      <c r="S11" s="1">
        <v>30.0</v>
      </c>
      <c r="T11" s="1">
        <v>31.0</v>
      </c>
      <c r="U11" s="1">
        <v>32.0</v>
      </c>
      <c r="V11" s="1">
        <v>33.0</v>
      </c>
      <c r="W11" s="1">
        <v>35.0</v>
      </c>
      <c r="X11" s="1">
        <v>36.0</v>
      </c>
      <c r="Y11" s="1">
        <v>37.0</v>
      </c>
      <c r="Z11" s="1">
        <v>38.0</v>
      </c>
      <c r="AA11" s="1">
        <v>39.0</v>
      </c>
      <c r="AB11" s="1">
        <v>41.0</v>
      </c>
      <c r="AC11" s="1">
        <v>43.0</v>
      </c>
      <c r="AD11" s="1">
        <v>44.0</v>
      </c>
      <c r="AE11" s="1">
        <v>45.0</v>
      </c>
      <c r="AF11" s="1">
        <v>47.0</v>
      </c>
      <c r="AG11" s="1">
        <v>49.0</v>
      </c>
      <c r="AH11" s="1">
        <v>50.0</v>
      </c>
      <c r="AI11" s="1">
        <v>51.0</v>
      </c>
      <c r="AJ11" s="1">
        <v>53.0</v>
      </c>
      <c r="AK11" s="1">
        <v>56.0</v>
      </c>
      <c r="AL11" s="1">
        <v>59.0</v>
      </c>
      <c r="AM11" s="1">
        <v>61.0</v>
      </c>
      <c r="AN11" s="1">
        <v>62.0</v>
      </c>
      <c r="AO11" s="1">
        <v>65.0</v>
      </c>
      <c r="AP11" s="1">
        <v>71.0</v>
      </c>
    </row>
    <row r="12">
      <c r="A12" s="1">
        <v>13.0</v>
      </c>
      <c r="B12" s="1">
        <v>14.0</v>
      </c>
      <c r="C12" s="1">
        <v>15.0</v>
      </c>
      <c r="D12" s="1">
        <v>16.0</v>
      </c>
      <c r="E12" s="1">
        <v>17.0</v>
      </c>
      <c r="F12" s="1">
        <v>18.0</v>
      </c>
      <c r="G12" s="1">
        <v>19.0</v>
      </c>
      <c r="H12" s="1">
        <v>20.0</v>
      </c>
      <c r="I12" s="1">
        <v>21.0</v>
      </c>
      <c r="J12" s="1">
        <v>22.0</v>
      </c>
      <c r="K12" s="1">
        <v>23.0</v>
      </c>
      <c r="L12" s="1">
        <v>24.0</v>
      </c>
      <c r="M12" s="1">
        <v>25.0</v>
      </c>
      <c r="N12" s="1">
        <v>26.0</v>
      </c>
      <c r="O12" s="1">
        <v>27.0</v>
      </c>
      <c r="P12" s="1">
        <v>28.0</v>
      </c>
      <c r="Q12" s="1">
        <v>29.0</v>
      </c>
      <c r="R12" s="1">
        <v>30.0</v>
      </c>
      <c r="S12" s="1">
        <v>31.0</v>
      </c>
      <c r="T12" s="1">
        <v>32.0</v>
      </c>
      <c r="U12" s="1">
        <v>33.0</v>
      </c>
      <c r="V12" s="1">
        <v>34.0</v>
      </c>
      <c r="W12" s="1">
        <v>36.0</v>
      </c>
      <c r="X12" s="1">
        <v>37.0</v>
      </c>
      <c r="Y12" s="1">
        <v>38.0</v>
      </c>
      <c r="Z12" s="1">
        <v>39.0</v>
      </c>
      <c r="AA12" s="1">
        <v>40.0</v>
      </c>
      <c r="AB12" s="1">
        <v>42.0</v>
      </c>
      <c r="AC12" s="1">
        <v>44.0</v>
      </c>
      <c r="AD12" s="1">
        <v>45.0</v>
      </c>
      <c r="AE12" s="1">
        <v>46.0</v>
      </c>
      <c r="AF12" s="1">
        <v>48.0</v>
      </c>
      <c r="AG12" s="1">
        <v>50.0</v>
      </c>
      <c r="AH12" s="1">
        <v>51.0</v>
      </c>
      <c r="AI12" s="1">
        <v>52.0</v>
      </c>
      <c r="AJ12" s="1">
        <v>54.0</v>
      </c>
      <c r="AK12" s="1">
        <v>57.0</v>
      </c>
      <c r="AL12" s="1">
        <v>60.0</v>
      </c>
      <c r="AM12" s="1">
        <v>62.0</v>
      </c>
      <c r="AN12" s="1">
        <v>63.0</v>
      </c>
      <c r="AO12" s="1">
        <v>66.0</v>
      </c>
      <c r="AP12" s="1">
        <v>72.0</v>
      </c>
    </row>
    <row r="13">
      <c r="A13" s="1">
        <v>14.0</v>
      </c>
      <c r="B13" s="1">
        <v>15.0</v>
      </c>
      <c r="C13" s="1">
        <v>16.0</v>
      </c>
      <c r="D13" s="1">
        <v>17.0</v>
      </c>
      <c r="E13" s="1">
        <v>18.0</v>
      </c>
      <c r="F13" s="1">
        <v>19.0</v>
      </c>
      <c r="G13" s="1">
        <v>20.0</v>
      </c>
      <c r="H13" s="1">
        <v>21.0</v>
      </c>
      <c r="I13" s="1">
        <v>22.0</v>
      </c>
      <c r="J13" s="1">
        <v>23.0</v>
      </c>
      <c r="K13" s="1">
        <v>24.0</v>
      </c>
      <c r="L13" s="1">
        <v>25.0</v>
      </c>
      <c r="M13" s="1">
        <v>26.0</v>
      </c>
      <c r="N13" s="1">
        <v>27.0</v>
      </c>
      <c r="O13" s="1">
        <v>28.0</v>
      </c>
      <c r="P13" s="1">
        <v>29.0</v>
      </c>
      <c r="Q13" s="1">
        <v>30.0</v>
      </c>
      <c r="R13" s="1">
        <v>31.0</v>
      </c>
      <c r="S13" s="1">
        <v>32.0</v>
      </c>
      <c r="T13" s="1">
        <v>33.0</v>
      </c>
      <c r="U13" s="1">
        <v>34.0</v>
      </c>
      <c r="V13" s="1">
        <v>35.0</v>
      </c>
      <c r="W13" s="1">
        <v>37.0</v>
      </c>
      <c r="X13" s="1">
        <v>38.0</v>
      </c>
      <c r="Y13" s="1">
        <v>39.0</v>
      </c>
      <c r="Z13" s="1">
        <v>40.0</v>
      </c>
      <c r="AA13" s="1">
        <v>41.0</v>
      </c>
      <c r="AB13" s="1">
        <v>43.0</v>
      </c>
      <c r="AC13" s="1">
        <v>45.0</v>
      </c>
      <c r="AD13" s="1">
        <v>46.0</v>
      </c>
      <c r="AE13" s="1">
        <v>47.0</v>
      </c>
      <c r="AF13" s="1">
        <v>49.0</v>
      </c>
      <c r="AG13" s="1">
        <v>51.0</v>
      </c>
      <c r="AH13" s="1">
        <v>52.0</v>
      </c>
      <c r="AI13" s="1">
        <v>53.0</v>
      </c>
      <c r="AJ13" s="1">
        <v>55.0</v>
      </c>
      <c r="AK13" s="1">
        <v>58.0</v>
      </c>
      <c r="AL13" s="1">
        <v>61.0</v>
      </c>
      <c r="AM13" s="1">
        <v>63.0</v>
      </c>
      <c r="AN13" s="1">
        <v>64.0</v>
      </c>
      <c r="AO13" s="1">
        <v>67.0</v>
      </c>
      <c r="AP13" s="1">
        <v>73.0</v>
      </c>
    </row>
    <row r="14">
      <c r="A14" s="1">
        <v>15.0</v>
      </c>
      <c r="B14" s="1">
        <v>16.0</v>
      </c>
      <c r="C14" s="1">
        <v>17.0</v>
      </c>
      <c r="D14" s="1">
        <v>18.0</v>
      </c>
      <c r="E14" s="1">
        <v>19.0</v>
      </c>
      <c r="F14" s="1">
        <v>20.0</v>
      </c>
      <c r="G14" s="1">
        <v>21.0</v>
      </c>
      <c r="H14" s="1">
        <v>22.0</v>
      </c>
      <c r="I14" s="1">
        <v>23.0</v>
      </c>
      <c r="J14" s="1">
        <v>24.0</v>
      </c>
      <c r="K14" s="1">
        <v>25.0</v>
      </c>
      <c r="L14" s="1">
        <v>26.0</v>
      </c>
      <c r="M14" s="1">
        <v>27.0</v>
      </c>
      <c r="N14" s="1">
        <v>28.0</v>
      </c>
      <c r="O14" s="1">
        <v>29.0</v>
      </c>
      <c r="P14" s="1">
        <v>30.0</v>
      </c>
      <c r="Q14" s="1">
        <v>31.0</v>
      </c>
      <c r="R14" s="1">
        <v>32.0</v>
      </c>
      <c r="S14" s="1">
        <v>33.0</v>
      </c>
      <c r="T14" s="1">
        <v>34.0</v>
      </c>
      <c r="U14" s="1">
        <v>35.0</v>
      </c>
      <c r="V14" s="1">
        <v>36.0</v>
      </c>
      <c r="W14" s="1">
        <v>38.0</v>
      </c>
      <c r="X14" s="1">
        <v>39.0</v>
      </c>
      <c r="Y14" s="1">
        <v>40.0</v>
      </c>
      <c r="Z14" s="1">
        <v>41.0</v>
      </c>
      <c r="AA14" s="1">
        <v>42.0</v>
      </c>
      <c r="AB14" s="1">
        <v>44.0</v>
      </c>
      <c r="AC14" s="1">
        <v>46.0</v>
      </c>
      <c r="AD14" s="1">
        <v>47.0</v>
      </c>
      <c r="AE14" s="1">
        <v>48.0</v>
      </c>
      <c r="AF14" s="1">
        <v>50.0</v>
      </c>
      <c r="AG14" s="1">
        <v>52.0</v>
      </c>
      <c r="AH14" s="1">
        <v>53.0</v>
      </c>
      <c r="AI14" s="1">
        <v>54.0</v>
      </c>
      <c r="AJ14" s="1">
        <v>56.0</v>
      </c>
      <c r="AK14" s="1">
        <v>59.0</v>
      </c>
      <c r="AL14" s="1">
        <v>62.0</v>
      </c>
      <c r="AM14" s="1">
        <v>64.0</v>
      </c>
      <c r="AN14" s="1">
        <v>65.0</v>
      </c>
      <c r="AO14" s="1">
        <v>68.0</v>
      </c>
      <c r="AP14" s="1">
        <v>74.0</v>
      </c>
    </row>
    <row r="15">
      <c r="A15" s="1">
        <v>16.0</v>
      </c>
      <c r="B15" s="1">
        <v>17.0</v>
      </c>
      <c r="C15" s="1">
        <v>18.0</v>
      </c>
      <c r="D15" s="1">
        <v>19.0</v>
      </c>
      <c r="E15" s="1">
        <v>20.0</v>
      </c>
      <c r="F15" s="1">
        <v>21.0</v>
      </c>
      <c r="G15" s="1">
        <v>22.0</v>
      </c>
      <c r="H15" s="1">
        <v>23.0</v>
      </c>
      <c r="I15" s="1">
        <v>24.0</v>
      </c>
      <c r="J15" s="1">
        <v>25.0</v>
      </c>
      <c r="K15" s="1">
        <v>26.0</v>
      </c>
      <c r="L15" s="1">
        <v>27.0</v>
      </c>
      <c r="M15" s="1">
        <v>28.0</v>
      </c>
      <c r="N15" s="1">
        <v>29.0</v>
      </c>
      <c r="O15" s="1">
        <v>30.0</v>
      </c>
      <c r="P15" s="1">
        <v>31.0</v>
      </c>
      <c r="Q15" s="1">
        <v>32.0</v>
      </c>
      <c r="R15" s="1">
        <v>33.0</v>
      </c>
      <c r="S15" s="1">
        <v>34.0</v>
      </c>
      <c r="T15" s="1">
        <v>35.0</v>
      </c>
      <c r="U15" s="1">
        <v>36.0</v>
      </c>
      <c r="V15" s="1">
        <v>37.0</v>
      </c>
      <c r="W15" s="1">
        <v>39.0</v>
      </c>
      <c r="X15" s="1">
        <v>40.0</v>
      </c>
      <c r="Y15" s="1">
        <v>41.0</v>
      </c>
      <c r="Z15" s="1">
        <v>42.0</v>
      </c>
      <c r="AA15" s="1">
        <v>43.0</v>
      </c>
      <c r="AB15" s="1">
        <v>45.0</v>
      </c>
      <c r="AC15" s="1">
        <v>47.0</v>
      </c>
      <c r="AD15" s="1">
        <v>48.0</v>
      </c>
      <c r="AE15" s="1">
        <v>49.0</v>
      </c>
      <c r="AF15" s="1">
        <v>51.0</v>
      </c>
      <c r="AG15" s="1">
        <v>53.0</v>
      </c>
      <c r="AH15" s="1">
        <v>54.0</v>
      </c>
      <c r="AI15" s="1">
        <v>55.0</v>
      </c>
      <c r="AJ15" s="1">
        <v>57.0</v>
      </c>
      <c r="AK15" s="1">
        <v>60.0</v>
      </c>
      <c r="AL15" s="1">
        <v>63.0</v>
      </c>
      <c r="AM15" s="1">
        <v>65.0</v>
      </c>
      <c r="AN15" s="1">
        <v>66.0</v>
      </c>
      <c r="AO15" s="1">
        <v>69.0</v>
      </c>
      <c r="AP15" s="1">
        <v>75.0</v>
      </c>
    </row>
    <row r="16">
      <c r="A16" s="1">
        <v>17.0</v>
      </c>
      <c r="B16" s="1">
        <v>18.0</v>
      </c>
      <c r="C16" s="1">
        <v>19.0</v>
      </c>
      <c r="D16" s="1">
        <v>20.0</v>
      </c>
      <c r="E16" s="1">
        <v>21.0</v>
      </c>
      <c r="F16" s="1">
        <v>22.0</v>
      </c>
      <c r="G16" s="1">
        <v>23.0</v>
      </c>
      <c r="H16" s="1">
        <v>24.0</v>
      </c>
      <c r="I16" s="1">
        <v>25.0</v>
      </c>
      <c r="J16" s="1">
        <v>26.0</v>
      </c>
      <c r="K16" s="1">
        <v>27.0</v>
      </c>
      <c r="L16" s="1">
        <v>28.0</v>
      </c>
      <c r="M16" s="1">
        <v>29.0</v>
      </c>
      <c r="N16" s="1">
        <v>30.0</v>
      </c>
      <c r="O16" s="1">
        <v>31.0</v>
      </c>
      <c r="P16" s="1">
        <v>32.0</v>
      </c>
      <c r="Q16" s="1">
        <v>33.0</v>
      </c>
      <c r="R16" s="1">
        <v>34.0</v>
      </c>
      <c r="S16" s="1">
        <v>35.0</v>
      </c>
      <c r="T16" s="1">
        <v>36.0</v>
      </c>
      <c r="U16" s="1">
        <v>37.0</v>
      </c>
      <c r="V16" s="1">
        <v>38.0</v>
      </c>
      <c r="W16" s="1">
        <v>40.0</v>
      </c>
      <c r="X16" s="1">
        <v>41.0</v>
      </c>
      <c r="Y16" s="1">
        <v>42.0</v>
      </c>
      <c r="Z16" s="1">
        <v>43.0</v>
      </c>
      <c r="AA16" s="1">
        <v>44.0</v>
      </c>
      <c r="AB16" s="1">
        <v>46.0</v>
      </c>
      <c r="AC16" s="1">
        <v>48.0</v>
      </c>
      <c r="AD16" s="1">
        <v>49.0</v>
      </c>
      <c r="AE16" s="1">
        <v>50.0</v>
      </c>
      <c r="AF16" s="1">
        <v>52.0</v>
      </c>
      <c r="AG16" s="1">
        <v>54.0</v>
      </c>
      <c r="AH16" s="1">
        <v>55.0</v>
      </c>
      <c r="AI16" s="1">
        <v>56.0</v>
      </c>
      <c r="AJ16" s="1">
        <v>58.0</v>
      </c>
      <c r="AK16" s="1">
        <v>61.0</v>
      </c>
      <c r="AL16" s="1">
        <v>64.0</v>
      </c>
      <c r="AM16" s="1">
        <v>66.0</v>
      </c>
      <c r="AN16" s="1">
        <v>67.0</v>
      </c>
      <c r="AO16" s="1">
        <v>70.0</v>
      </c>
      <c r="AP16" s="1">
        <v>76.0</v>
      </c>
    </row>
    <row r="17">
      <c r="A17" s="1">
        <v>18.0</v>
      </c>
      <c r="B17" s="1">
        <v>19.0</v>
      </c>
      <c r="C17" s="1">
        <v>20.0</v>
      </c>
      <c r="D17" s="1">
        <v>21.0</v>
      </c>
      <c r="E17" s="1">
        <v>22.0</v>
      </c>
      <c r="F17" s="1">
        <v>23.0</v>
      </c>
      <c r="G17" s="1">
        <v>24.0</v>
      </c>
      <c r="H17" s="1">
        <v>25.0</v>
      </c>
      <c r="I17" s="1">
        <v>26.0</v>
      </c>
      <c r="J17" s="1">
        <v>27.0</v>
      </c>
      <c r="K17" s="1">
        <v>28.0</v>
      </c>
      <c r="L17" s="1">
        <v>29.0</v>
      </c>
      <c r="M17" s="1">
        <v>30.0</v>
      </c>
      <c r="N17" s="1">
        <v>31.0</v>
      </c>
      <c r="O17" s="1">
        <v>32.0</v>
      </c>
      <c r="P17" s="1">
        <v>33.0</v>
      </c>
      <c r="Q17" s="1">
        <v>34.0</v>
      </c>
      <c r="R17" s="1">
        <v>35.0</v>
      </c>
      <c r="S17" s="1">
        <v>36.0</v>
      </c>
      <c r="T17" s="1">
        <v>37.0</v>
      </c>
      <c r="U17" s="1">
        <v>38.0</v>
      </c>
      <c r="V17" s="1">
        <v>39.0</v>
      </c>
      <c r="W17" s="1">
        <v>41.0</v>
      </c>
      <c r="X17" s="1">
        <v>42.0</v>
      </c>
      <c r="Y17" s="1">
        <v>43.0</v>
      </c>
      <c r="Z17" s="1">
        <v>44.0</v>
      </c>
      <c r="AA17" s="1">
        <v>45.0</v>
      </c>
      <c r="AB17" s="1">
        <v>47.0</v>
      </c>
      <c r="AC17" s="1">
        <v>49.0</v>
      </c>
      <c r="AD17" s="1">
        <v>50.0</v>
      </c>
      <c r="AE17" s="1">
        <v>51.0</v>
      </c>
      <c r="AF17" s="1">
        <v>53.0</v>
      </c>
      <c r="AG17" s="1">
        <v>55.0</v>
      </c>
      <c r="AH17" s="1">
        <v>56.0</v>
      </c>
      <c r="AI17" s="1">
        <v>57.0</v>
      </c>
      <c r="AJ17" s="1">
        <v>59.0</v>
      </c>
      <c r="AK17" s="1">
        <v>62.0</v>
      </c>
      <c r="AL17" s="1">
        <v>65.0</v>
      </c>
      <c r="AM17" s="1">
        <v>67.0</v>
      </c>
      <c r="AN17" s="1">
        <v>68.0</v>
      </c>
      <c r="AO17" s="1">
        <v>71.0</v>
      </c>
      <c r="AP17" s="1">
        <v>77.0</v>
      </c>
    </row>
    <row r="18">
      <c r="A18" s="1">
        <v>19.0</v>
      </c>
      <c r="B18" s="1">
        <v>20.0</v>
      </c>
      <c r="C18" s="1">
        <v>21.0</v>
      </c>
      <c r="D18" s="1">
        <v>22.0</v>
      </c>
      <c r="E18" s="1">
        <v>23.0</v>
      </c>
      <c r="F18" s="1">
        <v>24.0</v>
      </c>
      <c r="G18" s="1">
        <v>25.0</v>
      </c>
      <c r="H18" s="1">
        <v>26.0</v>
      </c>
      <c r="I18" s="1">
        <v>27.0</v>
      </c>
      <c r="J18" s="1">
        <v>28.0</v>
      </c>
      <c r="K18" s="1">
        <v>29.0</v>
      </c>
      <c r="L18" s="1">
        <v>30.0</v>
      </c>
      <c r="M18" s="1">
        <v>31.0</v>
      </c>
      <c r="N18" s="1">
        <v>32.0</v>
      </c>
      <c r="O18" s="1">
        <v>33.0</v>
      </c>
      <c r="P18" s="1">
        <v>34.0</v>
      </c>
      <c r="Q18" s="1">
        <v>35.0</v>
      </c>
      <c r="R18" s="1">
        <v>36.0</v>
      </c>
      <c r="S18" s="1">
        <v>37.0</v>
      </c>
      <c r="T18" s="1">
        <v>38.0</v>
      </c>
      <c r="U18" s="1">
        <v>39.0</v>
      </c>
      <c r="V18" s="1">
        <v>40.0</v>
      </c>
      <c r="W18" s="1">
        <v>42.0</v>
      </c>
      <c r="X18" s="1">
        <v>43.0</v>
      </c>
      <c r="Y18" s="1">
        <v>44.0</v>
      </c>
      <c r="Z18" s="1">
        <v>45.0</v>
      </c>
      <c r="AA18" s="1">
        <v>46.0</v>
      </c>
      <c r="AB18" s="1">
        <v>48.0</v>
      </c>
      <c r="AC18" s="1">
        <v>50.0</v>
      </c>
      <c r="AD18" s="1">
        <v>51.0</v>
      </c>
      <c r="AE18" s="1">
        <v>52.0</v>
      </c>
      <c r="AF18" s="1">
        <v>54.0</v>
      </c>
      <c r="AG18" s="1">
        <v>56.0</v>
      </c>
      <c r="AH18" s="1">
        <v>57.0</v>
      </c>
      <c r="AI18" s="1">
        <v>58.0</v>
      </c>
      <c r="AJ18" s="1">
        <v>60.0</v>
      </c>
      <c r="AK18" s="1">
        <v>63.0</v>
      </c>
      <c r="AL18" s="1">
        <v>66.0</v>
      </c>
      <c r="AM18" s="1">
        <v>68.0</v>
      </c>
      <c r="AN18" s="1">
        <v>69.0</v>
      </c>
      <c r="AO18" s="1">
        <v>72.0</v>
      </c>
      <c r="AP18" s="1">
        <v>78.0</v>
      </c>
    </row>
    <row r="19">
      <c r="A19" s="1">
        <v>20.0</v>
      </c>
      <c r="B19" s="1">
        <v>21.0</v>
      </c>
      <c r="C19" s="1">
        <v>22.0</v>
      </c>
      <c r="D19" s="1">
        <v>23.0</v>
      </c>
      <c r="E19" s="1">
        <v>24.0</v>
      </c>
      <c r="F19" s="1">
        <v>25.0</v>
      </c>
      <c r="G19" s="1">
        <v>26.0</v>
      </c>
      <c r="H19" s="1">
        <v>27.0</v>
      </c>
      <c r="I19" s="1">
        <v>28.0</v>
      </c>
      <c r="J19" s="1">
        <v>29.0</v>
      </c>
      <c r="K19" s="1">
        <v>30.0</v>
      </c>
      <c r="L19" s="1">
        <v>31.0</v>
      </c>
      <c r="M19" s="1">
        <v>32.0</v>
      </c>
      <c r="N19" s="1">
        <v>33.0</v>
      </c>
      <c r="O19" s="1">
        <v>34.0</v>
      </c>
      <c r="P19" s="1">
        <v>35.0</v>
      </c>
      <c r="Q19" s="1">
        <v>36.0</v>
      </c>
      <c r="R19" s="1">
        <v>37.0</v>
      </c>
      <c r="S19" s="1">
        <v>38.0</v>
      </c>
      <c r="T19" s="1">
        <v>39.0</v>
      </c>
      <c r="U19" s="1">
        <v>40.0</v>
      </c>
      <c r="V19" s="1">
        <v>41.0</v>
      </c>
      <c r="W19" s="1">
        <v>43.0</v>
      </c>
      <c r="X19" s="1">
        <v>44.0</v>
      </c>
      <c r="Y19" s="1">
        <v>45.0</v>
      </c>
      <c r="Z19" s="1">
        <v>46.0</v>
      </c>
      <c r="AA19" s="1">
        <v>47.0</v>
      </c>
      <c r="AB19" s="1">
        <v>49.0</v>
      </c>
      <c r="AC19" s="1">
        <v>51.0</v>
      </c>
      <c r="AD19" s="1">
        <v>52.0</v>
      </c>
      <c r="AE19" s="1">
        <v>53.0</v>
      </c>
      <c r="AF19" s="1">
        <v>55.0</v>
      </c>
      <c r="AG19" s="1">
        <v>57.0</v>
      </c>
      <c r="AH19" s="1">
        <v>58.0</v>
      </c>
      <c r="AI19" s="1">
        <v>59.0</v>
      </c>
      <c r="AJ19" s="1">
        <v>61.0</v>
      </c>
      <c r="AK19" s="1">
        <v>64.0</v>
      </c>
      <c r="AL19" s="1">
        <v>67.0</v>
      </c>
      <c r="AM19" s="1">
        <v>69.0</v>
      </c>
      <c r="AN19" s="1">
        <v>70.0</v>
      </c>
      <c r="AO19" s="1">
        <v>73.0</v>
      </c>
      <c r="AP19" s="1">
        <v>79.0</v>
      </c>
    </row>
    <row r="20">
      <c r="A20" s="1">
        <v>21.0</v>
      </c>
      <c r="B20" s="1">
        <v>22.0</v>
      </c>
      <c r="C20" s="1">
        <v>23.0</v>
      </c>
      <c r="D20" s="1">
        <v>24.0</v>
      </c>
      <c r="E20" s="1">
        <v>25.0</v>
      </c>
      <c r="F20" s="1">
        <v>26.0</v>
      </c>
      <c r="G20" s="1">
        <v>27.0</v>
      </c>
      <c r="H20" s="1">
        <v>28.0</v>
      </c>
      <c r="I20" s="1">
        <v>29.0</v>
      </c>
      <c r="J20" s="1">
        <v>30.0</v>
      </c>
      <c r="K20" s="1">
        <v>31.0</v>
      </c>
      <c r="L20" s="1">
        <v>32.0</v>
      </c>
      <c r="M20" s="1">
        <v>33.0</v>
      </c>
      <c r="N20" s="1">
        <v>34.0</v>
      </c>
      <c r="O20" s="1">
        <v>35.0</v>
      </c>
      <c r="P20" s="1">
        <v>36.0</v>
      </c>
      <c r="Q20" s="1">
        <v>37.0</v>
      </c>
      <c r="R20" s="1">
        <v>38.0</v>
      </c>
      <c r="S20" s="1">
        <v>39.0</v>
      </c>
      <c r="T20" s="1">
        <v>40.0</v>
      </c>
      <c r="U20" s="1">
        <v>41.0</v>
      </c>
      <c r="V20" s="1">
        <v>42.0</v>
      </c>
      <c r="W20" s="1">
        <v>44.0</v>
      </c>
      <c r="X20" s="1">
        <v>45.0</v>
      </c>
      <c r="Y20" s="1">
        <v>46.0</v>
      </c>
      <c r="Z20" s="1">
        <v>47.0</v>
      </c>
      <c r="AA20" s="1">
        <v>48.0</v>
      </c>
      <c r="AB20" s="1">
        <v>50.0</v>
      </c>
      <c r="AC20" s="1">
        <v>52.0</v>
      </c>
      <c r="AD20" s="1">
        <v>53.0</v>
      </c>
      <c r="AE20" s="1">
        <v>54.0</v>
      </c>
      <c r="AF20" s="1">
        <v>56.0</v>
      </c>
      <c r="AG20" s="1">
        <v>58.0</v>
      </c>
      <c r="AH20" s="1">
        <v>59.0</v>
      </c>
      <c r="AI20" s="1">
        <v>60.0</v>
      </c>
      <c r="AJ20" s="1">
        <v>62.0</v>
      </c>
      <c r="AK20" s="1">
        <v>65.0</v>
      </c>
      <c r="AL20" s="1">
        <v>68.0</v>
      </c>
      <c r="AM20" s="1">
        <v>70.0</v>
      </c>
      <c r="AN20" s="1">
        <v>71.0</v>
      </c>
      <c r="AO20" s="1">
        <v>74.0</v>
      </c>
      <c r="AP20" s="1">
        <v>80.0</v>
      </c>
    </row>
    <row r="21" ht="15.75" customHeight="1">
      <c r="A21" s="1">
        <v>22.0</v>
      </c>
      <c r="B21" s="1">
        <v>23.0</v>
      </c>
      <c r="C21" s="1">
        <v>24.0</v>
      </c>
      <c r="D21" s="1">
        <v>25.0</v>
      </c>
      <c r="E21" s="1">
        <v>26.0</v>
      </c>
      <c r="F21" s="1">
        <v>27.0</v>
      </c>
      <c r="G21" s="1">
        <v>28.0</v>
      </c>
      <c r="H21" s="1">
        <v>29.0</v>
      </c>
      <c r="I21" s="1">
        <v>30.0</v>
      </c>
      <c r="J21" s="1">
        <v>31.0</v>
      </c>
      <c r="K21" s="1">
        <v>32.0</v>
      </c>
      <c r="L21" s="1">
        <v>33.0</v>
      </c>
      <c r="M21" s="1">
        <v>34.0</v>
      </c>
      <c r="N21" s="1">
        <v>35.0</v>
      </c>
      <c r="O21" s="1">
        <v>36.0</v>
      </c>
      <c r="P21" s="1">
        <v>37.0</v>
      </c>
      <c r="Q21" s="1">
        <v>38.0</v>
      </c>
      <c r="R21" s="1">
        <v>39.0</v>
      </c>
      <c r="S21" s="1">
        <v>40.0</v>
      </c>
      <c r="T21" s="1">
        <v>41.0</v>
      </c>
      <c r="U21" s="1">
        <v>42.0</v>
      </c>
      <c r="V21" s="1">
        <v>43.0</v>
      </c>
      <c r="W21" s="1">
        <v>45.0</v>
      </c>
      <c r="X21" s="1">
        <v>46.0</v>
      </c>
      <c r="Y21" s="1">
        <v>47.0</v>
      </c>
      <c r="Z21" s="1">
        <v>48.0</v>
      </c>
      <c r="AA21" s="1">
        <v>49.0</v>
      </c>
      <c r="AB21" s="1">
        <v>51.0</v>
      </c>
      <c r="AC21" s="1">
        <v>53.0</v>
      </c>
      <c r="AD21" s="1">
        <v>54.0</v>
      </c>
      <c r="AE21" s="1">
        <v>55.0</v>
      </c>
      <c r="AF21" s="1">
        <v>57.0</v>
      </c>
      <c r="AG21" s="1">
        <v>59.0</v>
      </c>
      <c r="AH21" s="1">
        <v>60.0</v>
      </c>
      <c r="AI21" s="1">
        <v>61.0</v>
      </c>
      <c r="AJ21" s="1">
        <v>63.0</v>
      </c>
      <c r="AK21" s="1">
        <v>66.0</v>
      </c>
      <c r="AL21" s="1">
        <v>69.0</v>
      </c>
      <c r="AM21" s="1">
        <v>71.0</v>
      </c>
      <c r="AN21" s="1">
        <v>72.0</v>
      </c>
      <c r="AO21" s="1">
        <v>75.0</v>
      </c>
      <c r="AP21" s="1">
        <v>81.0</v>
      </c>
    </row>
    <row r="22" ht="15.75" customHeight="1">
      <c r="A22" s="1">
        <v>23.0</v>
      </c>
      <c r="B22" s="1">
        <v>24.0</v>
      </c>
      <c r="C22" s="1">
        <v>25.0</v>
      </c>
      <c r="D22" s="1">
        <v>26.0</v>
      </c>
      <c r="E22" s="1">
        <v>27.0</v>
      </c>
      <c r="F22" s="1">
        <v>28.0</v>
      </c>
      <c r="G22" s="1">
        <v>29.0</v>
      </c>
      <c r="H22" s="1">
        <v>30.0</v>
      </c>
      <c r="I22" s="1">
        <v>31.0</v>
      </c>
      <c r="J22" s="1">
        <v>32.0</v>
      </c>
      <c r="K22" s="1">
        <v>33.0</v>
      </c>
      <c r="L22" s="1">
        <v>34.0</v>
      </c>
      <c r="M22" s="1">
        <v>35.0</v>
      </c>
      <c r="N22" s="1">
        <v>36.0</v>
      </c>
      <c r="O22" s="1">
        <v>37.0</v>
      </c>
      <c r="P22" s="1">
        <v>38.0</v>
      </c>
      <c r="Q22" s="1">
        <v>39.0</v>
      </c>
      <c r="R22" s="1">
        <v>40.0</v>
      </c>
      <c r="S22" s="1">
        <v>41.0</v>
      </c>
      <c r="T22" s="1">
        <v>42.0</v>
      </c>
      <c r="U22" s="1">
        <v>43.0</v>
      </c>
      <c r="V22" s="1">
        <v>44.0</v>
      </c>
      <c r="W22" s="1">
        <v>46.0</v>
      </c>
      <c r="X22" s="1">
        <v>47.0</v>
      </c>
      <c r="Y22" s="1">
        <v>48.0</v>
      </c>
      <c r="Z22" s="1">
        <v>49.0</v>
      </c>
      <c r="AA22" s="1">
        <v>50.0</v>
      </c>
      <c r="AB22" s="1">
        <v>52.0</v>
      </c>
      <c r="AC22" s="1">
        <v>54.0</v>
      </c>
      <c r="AD22" s="1">
        <v>55.0</v>
      </c>
      <c r="AE22" s="1">
        <v>56.0</v>
      </c>
      <c r="AF22" s="1">
        <v>58.0</v>
      </c>
      <c r="AG22" s="1">
        <v>60.0</v>
      </c>
      <c r="AH22" s="1">
        <v>61.0</v>
      </c>
      <c r="AI22" s="1">
        <v>62.0</v>
      </c>
      <c r="AJ22" s="1">
        <v>64.0</v>
      </c>
      <c r="AK22" s="1">
        <v>67.0</v>
      </c>
      <c r="AL22" s="1">
        <v>70.0</v>
      </c>
      <c r="AM22" s="1">
        <v>72.0</v>
      </c>
      <c r="AN22" s="1">
        <v>73.0</v>
      </c>
      <c r="AO22" s="1">
        <v>76.0</v>
      </c>
      <c r="AP22" s="1">
        <v>82.0</v>
      </c>
    </row>
    <row r="23" ht="15.75" customHeight="1">
      <c r="A23" s="1">
        <v>25.0</v>
      </c>
      <c r="B23" s="1">
        <v>26.0</v>
      </c>
      <c r="C23" s="1">
        <v>27.0</v>
      </c>
      <c r="D23" s="1">
        <v>28.0</v>
      </c>
      <c r="E23" s="1">
        <v>29.0</v>
      </c>
      <c r="F23" s="1">
        <v>30.0</v>
      </c>
      <c r="G23" s="1">
        <v>31.0</v>
      </c>
      <c r="H23" s="1">
        <v>32.0</v>
      </c>
      <c r="I23" s="1">
        <v>33.0</v>
      </c>
      <c r="J23" s="1">
        <v>34.0</v>
      </c>
      <c r="K23" s="1">
        <v>35.0</v>
      </c>
      <c r="L23" s="1">
        <v>36.0</v>
      </c>
      <c r="M23" s="1">
        <v>37.0</v>
      </c>
      <c r="N23" s="1">
        <v>38.0</v>
      </c>
      <c r="O23" s="1">
        <v>39.0</v>
      </c>
      <c r="P23" s="1">
        <v>40.0</v>
      </c>
      <c r="Q23" s="1">
        <v>41.0</v>
      </c>
      <c r="R23" s="1">
        <v>42.0</v>
      </c>
      <c r="S23" s="1">
        <v>43.0</v>
      </c>
      <c r="T23" s="1">
        <v>44.0</v>
      </c>
      <c r="U23" s="1">
        <v>45.0</v>
      </c>
      <c r="V23" s="1">
        <v>46.0</v>
      </c>
      <c r="W23" s="1">
        <v>48.0</v>
      </c>
      <c r="X23" s="1">
        <v>49.0</v>
      </c>
      <c r="Y23" s="1">
        <v>50.0</v>
      </c>
      <c r="Z23" s="1">
        <v>51.0</v>
      </c>
      <c r="AA23" s="1">
        <v>52.0</v>
      </c>
      <c r="AB23" s="1">
        <v>54.0</v>
      </c>
      <c r="AC23" s="1">
        <v>56.0</v>
      </c>
      <c r="AD23" s="1">
        <v>57.0</v>
      </c>
      <c r="AE23" s="1">
        <v>58.0</v>
      </c>
      <c r="AF23" s="1">
        <v>60.0</v>
      </c>
      <c r="AG23" s="1">
        <v>62.0</v>
      </c>
      <c r="AH23" s="1">
        <v>63.0</v>
      </c>
      <c r="AI23" s="1">
        <v>64.0</v>
      </c>
      <c r="AJ23" s="1">
        <v>66.0</v>
      </c>
      <c r="AK23" s="1">
        <v>69.0</v>
      </c>
      <c r="AL23" s="1">
        <v>72.0</v>
      </c>
      <c r="AM23" s="1">
        <v>74.0</v>
      </c>
      <c r="AN23" s="1">
        <v>75.0</v>
      </c>
      <c r="AO23" s="1">
        <v>78.0</v>
      </c>
      <c r="AP23" s="1">
        <v>84.0</v>
      </c>
    </row>
    <row r="24" ht="15.75" customHeight="1">
      <c r="A24" s="1">
        <v>26.0</v>
      </c>
      <c r="B24" s="1">
        <v>27.0</v>
      </c>
      <c r="C24" s="1">
        <v>28.0</v>
      </c>
      <c r="D24" s="1">
        <v>29.0</v>
      </c>
      <c r="E24" s="1">
        <v>30.0</v>
      </c>
      <c r="F24" s="1">
        <v>31.0</v>
      </c>
      <c r="G24" s="1">
        <v>32.0</v>
      </c>
      <c r="H24" s="1">
        <v>33.0</v>
      </c>
      <c r="I24" s="1">
        <v>34.0</v>
      </c>
      <c r="J24" s="1">
        <v>35.0</v>
      </c>
      <c r="K24" s="1">
        <v>36.0</v>
      </c>
      <c r="L24" s="1">
        <v>37.0</v>
      </c>
      <c r="M24" s="1">
        <v>38.0</v>
      </c>
      <c r="N24" s="1">
        <v>39.0</v>
      </c>
      <c r="O24" s="1">
        <v>40.0</v>
      </c>
      <c r="P24" s="1">
        <v>41.0</v>
      </c>
      <c r="Q24" s="1">
        <v>42.0</v>
      </c>
      <c r="R24" s="1">
        <v>43.0</v>
      </c>
      <c r="S24" s="1">
        <v>44.0</v>
      </c>
      <c r="T24" s="1">
        <v>45.0</v>
      </c>
      <c r="U24" s="1">
        <v>46.0</v>
      </c>
      <c r="V24" s="1">
        <v>47.0</v>
      </c>
      <c r="W24" s="1">
        <v>49.0</v>
      </c>
      <c r="X24" s="1">
        <v>50.0</v>
      </c>
      <c r="Y24" s="1">
        <v>51.0</v>
      </c>
      <c r="Z24" s="1">
        <v>52.0</v>
      </c>
      <c r="AA24" s="1">
        <v>53.0</v>
      </c>
      <c r="AB24" s="1">
        <v>55.0</v>
      </c>
      <c r="AC24" s="1">
        <v>57.0</v>
      </c>
      <c r="AD24" s="1">
        <v>58.0</v>
      </c>
      <c r="AE24" s="1">
        <v>59.0</v>
      </c>
      <c r="AF24" s="1">
        <v>61.0</v>
      </c>
      <c r="AG24" s="1">
        <v>63.0</v>
      </c>
      <c r="AH24" s="1">
        <v>64.0</v>
      </c>
      <c r="AI24" s="1">
        <v>65.0</v>
      </c>
      <c r="AJ24" s="1">
        <v>67.0</v>
      </c>
      <c r="AK24" s="1">
        <v>70.0</v>
      </c>
      <c r="AL24" s="1">
        <v>73.0</v>
      </c>
      <c r="AM24" s="1">
        <v>75.0</v>
      </c>
      <c r="AN24" s="1">
        <v>76.0</v>
      </c>
      <c r="AO24" s="1">
        <v>79.0</v>
      </c>
      <c r="AP24" s="1">
        <v>85.0</v>
      </c>
    </row>
    <row r="25" ht="15.75" customHeight="1">
      <c r="A25" s="1">
        <v>27.0</v>
      </c>
      <c r="B25" s="1">
        <v>28.0</v>
      </c>
      <c r="C25" s="1">
        <v>29.0</v>
      </c>
      <c r="D25" s="1">
        <v>30.0</v>
      </c>
      <c r="E25" s="1">
        <v>31.0</v>
      </c>
      <c r="F25" s="1">
        <v>32.0</v>
      </c>
      <c r="G25" s="1">
        <v>33.0</v>
      </c>
      <c r="H25" s="1">
        <v>34.0</v>
      </c>
      <c r="I25" s="1">
        <v>35.0</v>
      </c>
      <c r="J25" s="1">
        <v>36.0</v>
      </c>
      <c r="K25" s="1">
        <v>37.0</v>
      </c>
      <c r="L25" s="1">
        <v>38.0</v>
      </c>
      <c r="M25" s="1">
        <v>39.0</v>
      </c>
      <c r="N25" s="1">
        <v>40.0</v>
      </c>
      <c r="O25" s="1">
        <v>41.0</v>
      </c>
      <c r="P25" s="1">
        <v>42.0</v>
      </c>
      <c r="Q25" s="1">
        <v>43.0</v>
      </c>
      <c r="R25" s="1">
        <v>44.0</v>
      </c>
      <c r="S25" s="1">
        <v>45.0</v>
      </c>
      <c r="T25" s="1">
        <v>46.0</v>
      </c>
      <c r="U25" s="1">
        <v>47.0</v>
      </c>
      <c r="V25" s="1">
        <v>48.0</v>
      </c>
      <c r="W25" s="1">
        <v>50.0</v>
      </c>
      <c r="X25" s="1">
        <v>51.0</v>
      </c>
      <c r="Y25" s="1">
        <v>52.0</v>
      </c>
      <c r="Z25" s="1">
        <v>53.0</v>
      </c>
      <c r="AA25" s="1">
        <v>54.0</v>
      </c>
      <c r="AB25" s="1">
        <v>56.0</v>
      </c>
      <c r="AC25" s="1">
        <v>58.0</v>
      </c>
      <c r="AD25" s="1">
        <v>59.0</v>
      </c>
      <c r="AE25" s="1">
        <v>60.0</v>
      </c>
      <c r="AF25" s="1">
        <v>62.0</v>
      </c>
      <c r="AG25" s="1">
        <v>64.0</v>
      </c>
      <c r="AH25" s="1">
        <v>65.0</v>
      </c>
      <c r="AI25" s="1">
        <v>66.0</v>
      </c>
      <c r="AJ25" s="1">
        <v>68.0</v>
      </c>
      <c r="AK25" s="1">
        <v>71.0</v>
      </c>
      <c r="AL25" s="1">
        <v>74.0</v>
      </c>
      <c r="AM25" s="1">
        <v>76.0</v>
      </c>
      <c r="AN25" s="1">
        <v>77.0</v>
      </c>
      <c r="AO25" s="1">
        <v>80.0</v>
      </c>
      <c r="AP25" s="1">
        <v>86.0</v>
      </c>
    </row>
    <row r="26" ht="15.75" customHeight="1">
      <c r="A26" s="1">
        <v>28.0</v>
      </c>
      <c r="B26" s="1">
        <v>29.0</v>
      </c>
      <c r="C26" s="1">
        <v>30.0</v>
      </c>
      <c r="D26" s="1">
        <v>31.0</v>
      </c>
      <c r="E26" s="1">
        <v>32.0</v>
      </c>
      <c r="F26" s="1">
        <v>33.0</v>
      </c>
      <c r="G26" s="1">
        <v>34.0</v>
      </c>
      <c r="H26" s="1">
        <v>35.0</v>
      </c>
      <c r="I26" s="1">
        <v>36.0</v>
      </c>
      <c r="J26" s="1">
        <v>37.0</v>
      </c>
      <c r="K26" s="1">
        <v>38.0</v>
      </c>
      <c r="L26" s="1">
        <v>39.0</v>
      </c>
      <c r="M26" s="1">
        <v>40.0</v>
      </c>
      <c r="N26" s="1">
        <v>41.0</v>
      </c>
      <c r="O26" s="1">
        <v>42.0</v>
      </c>
      <c r="P26" s="1">
        <v>43.0</v>
      </c>
      <c r="Q26" s="1">
        <v>44.0</v>
      </c>
      <c r="R26" s="1">
        <v>45.0</v>
      </c>
      <c r="S26" s="1">
        <v>46.0</v>
      </c>
      <c r="T26" s="1">
        <v>47.0</v>
      </c>
      <c r="U26" s="1">
        <v>48.0</v>
      </c>
      <c r="V26" s="1">
        <v>49.0</v>
      </c>
      <c r="W26" s="1">
        <v>51.0</v>
      </c>
      <c r="X26" s="1">
        <v>52.0</v>
      </c>
      <c r="Y26" s="1">
        <v>53.0</v>
      </c>
      <c r="Z26" s="1">
        <v>54.0</v>
      </c>
      <c r="AA26" s="1">
        <v>55.0</v>
      </c>
      <c r="AB26" s="1">
        <v>57.0</v>
      </c>
      <c r="AC26" s="1">
        <v>59.0</v>
      </c>
      <c r="AD26" s="1">
        <v>60.0</v>
      </c>
      <c r="AE26" s="1">
        <v>61.0</v>
      </c>
      <c r="AF26" s="1">
        <v>63.0</v>
      </c>
      <c r="AG26" s="1">
        <v>65.0</v>
      </c>
      <c r="AH26" s="1">
        <v>66.0</v>
      </c>
      <c r="AI26" s="1">
        <v>67.0</v>
      </c>
      <c r="AJ26" s="1">
        <v>69.0</v>
      </c>
      <c r="AK26" s="1">
        <v>72.0</v>
      </c>
      <c r="AL26" s="1">
        <v>75.0</v>
      </c>
      <c r="AM26" s="1">
        <v>77.0</v>
      </c>
      <c r="AN26" s="1">
        <v>78.0</v>
      </c>
      <c r="AO26" s="1">
        <v>81.0</v>
      </c>
      <c r="AP26" s="1">
        <v>87.0</v>
      </c>
    </row>
    <row r="27" ht="15.75" customHeight="1">
      <c r="A27" s="1">
        <v>29.0</v>
      </c>
      <c r="B27" s="1">
        <v>30.0</v>
      </c>
      <c r="C27" s="1">
        <v>31.0</v>
      </c>
      <c r="D27" s="1">
        <v>32.0</v>
      </c>
      <c r="E27" s="1">
        <v>33.0</v>
      </c>
      <c r="F27" s="1">
        <v>34.0</v>
      </c>
      <c r="G27" s="1">
        <v>35.0</v>
      </c>
      <c r="H27" s="1">
        <v>36.0</v>
      </c>
      <c r="I27" s="1">
        <v>37.0</v>
      </c>
      <c r="J27" s="1">
        <v>38.0</v>
      </c>
      <c r="K27" s="1">
        <v>39.0</v>
      </c>
      <c r="L27" s="1">
        <v>40.0</v>
      </c>
      <c r="M27" s="1">
        <v>41.0</v>
      </c>
      <c r="N27" s="1">
        <v>42.0</v>
      </c>
      <c r="O27" s="1">
        <v>43.0</v>
      </c>
      <c r="P27" s="1">
        <v>44.0</v>
      </c>
      <c r="Q27" s="1">
        <v>45.0</v>
      </c>
      <c r="R27" s="1">
        <v>46.0</v>
      </c>
      <c r="S27" s="1">
        <v>47.0</v>
      </c>
      <c r="T27" s="1">
        <v>48.0</v>
      </c>
      <c r="U27" s="1">
        <v>49.0</v>
      </c>
      <c r="V27" s="1">
        <v>50.0</v>
      </c>
      <c r="W27" s="1">
        <v>52.0</v>
      </c>
      <c r="X27" s="1">
        <v>53.0</v>
      </c>
      <c r="Y27" s="1">
        <v>54.0</v>
      </c>
      <c r="Z27" s="1">
        <v>55.0</v>
      </c>
      <c r="AA27" s="1">
        <v>56.0</v>
      </c>
      <c r="AB27" s="1">
        <v>58.0</v>
      </c>
      <c r="AC27" s="1">
        <v>60.0</v>
      </c>
      <c r="AD27" s="1">
        <v>61.0</v>
      </c>
      <c r="AE27" s="1">
        <v>62.0</v>
      </c>
      <c r="AF27" s="1">
        <v>64.0</v>
      </c>
      <c r="AG27" s="1">
        <v>66.0</v>
      </c>
      <c r="AH27" s="1">
        <v>67.0</v>
      </c>
      <c r="AI27" s="1">
        <v>68.0</v>
      </c>
      <c r="AJ27" s="1">
        <v>70.0</v>
      </c>
      <c r="AK27" s="1">
        <v>73.0</v>
      </c>
      <c r="AL27" s="1">
        <v>76.0</v>
      </c>
      <c r="AM27" s="1">
        <v>78.0</v>
      </c>
      <c r="AN27" s="1">
        <v>79.0</v>
      </c>
      <c r="AO27" s="1">
        <v>82.0</v>
      </c>
      <c r="AP27" s="1">
        <v>88.0</v>
      </c>
    </row>
    <row r="28" ht="15.75" customHeight="1">
      <c r="A28" s="1">
        <v>31.0</v>
      </c>
      <c r="B28" s="1">
        <v>32.0</v>
      </c>
      <c r="C28" s="1">
        <v>33.0</v>
      </c>
      <c r="D28" s="1">
        <v>34.0</v>
      </c>
      <c r="E28" s="1">
        <v>35.0</v>
      </c>
      <c r="F28" s="1">
        <v>36.0</v>
      </c>
      <c r="G28" s="1">
        <v>37.0</v>
      </c>
      <c r="H28" s="1">
        <v>38.0</v>
      </c>
      <c r="I28" s="1">
        <v>39.0</v>
      </c>
      <c r="J28" s="1">
        <v>40.0</v>
      </c>
      <c r="K28" s="1">
        <v>41.0</v>
      </c>
      <c r="L28" s="1">
        <v>42.0</v>
      </c>
      <c r="M28" s="1">
        <v>43.0</v>
      </c>
      <c r="N28" s="1">
        <v>44.0</v>
      </c>
      <c r="O28" s="1">
        <v>45.0</v>
      </c>
      <c r="P28" s="1">
        <v>46.0</v>
      </c>
      <c r="Q28" s="1">
        <v>47.0</v>
      </c>
      <c r="R28" s="1">
        <v>48.0</v>
      </c>
      <c r="S28" s="1">
        <v>49.0</v>
      </c>
      <c r="T28" s="1">
        <v>50.0</v>
      </c>
      <c r="U28" s="1">
        <v>51.0</v>
      </c>
      <c r="V28" s="1">
        <v>52.0</v>
      </c>
      <c r="W28" s="1">
        <v>54.0</v>
      </c>
      <c r="X28" s="1">
        <v>55.0</v>
      </c>
      <c r="Y28" s="1">
        <v>56.0</v>
      </c>
      <c r="Z28" s="1">
        <v>57.0</v>
      </c>
      <c r="AA28" s="1">
        <v>58.0</v>
      </c>
      <c r="AB28" s="1">
        <v>60.0</v>
      </c>
      <c r="AC28" s="1">
        <v>62.0</v>
      </c>
      <c r="AD28" s="1">
        <v>63.0</v>
      </c>
      <c r="AE28" s="1">
        <v>64.0</v>
      </c>
      <c r="AF28" s="1">
        <v>66.0</v>
      </c>
      <c r="AG28" s="1">
        <v>68.0</v>
      </c>
      <c r="AH28" s="1">
        <v>69.0</v>
      </c>
      <c r="AI28" s="1">
        <v>70.0</v>
      </c>
      <c r="AJ28" s="1">
        <v>72.0</v>
      </c>
      <c r="AK28" s="1">
        <v>75.0</v>
      </c>
      <c r="AL28" s="1">
        <v>78.0</v>
      </c>
      <c r="AM28" s="1">
        <v>80.0</v>
      </c>
      <c r="AN28" s="1">
        <v>81.0</v>
      </c>
      <c r="AO28" s="1">
        <v>84.0</v>
      </c>
      <c r="AP28" s="1">
        <v>90.0</v>
      </c>
    </row>
    <row r="29" ht="15.75" customHeight="1">
      <c r="A29" s="1">
        <v>33.0</v>
      </c>
      <c r="B29" s="1">
        <v>34.0</v>
      </c>
      <c r="C29" s="1">
        <v>35.0</v>
      </c>
      <c r="D29" s="1">
        <v>36.0</v>
      </c>
      <c r="E29" s="1">
        <v>37.0</v>
      </c>
      <c r="F29" s="1">
        <v>38.0</v>
      </c>
      <c r="G29" s="1">
        <v>39.0</v>
      </c>
      <c r="H29" s="1">
        <v>40.0</v>
      </c>
      <c r="I29" s="1">
        <v>41.0</v>
      </c>
      <c r="J29" s="1">
        <v>42.0</v>
      </c>
      <c r="K29" s="1">
        <v>43.0</v>
      </c>
      <c r="L29" s="1">
        <v>44.0</v>
      </c>
      <c r="M29" s="1">
        <v>45.0</v>
      </c>
      <c r="N29" s="1">
        <v>46.0</v>
      </c>
      <c r="O29" s="1">
        <v>47.0</v>
      </c>
      <c r="P29" s="1">
        <v>48.0</v>
      </c>
      <c r="Q29" s="1">
        <v>49.0</v>
      </c>
      <c r="R29" s="1">
        <v>50.0</v>
      </c>
      <c r="S29" s="1">
        <v>51.0</v>
      </c>
      <c r="T29" s="1">
        <v>52.0</v>
      </c>
      <c r="U29" s="1">
        <v>53.0</v>
      </c>
      <c r="V29" s="1">
        <v>54.0</v>
      </c>
      <c r="W29" s="1">
        <v>56.0</v>
      </c>
      <c r="X29" s="1">
        <v>57.0</v>
      </c>
      <c r="Y29" s="1">
        <v>58.0</v>
      </c>
      <c r="Z29" s="1">
        <v>59.0</v>
      </c>
      <c r="AA29" s="1">
        <v>60.0</v>
      </c>
      <c r="AB29" s="1">
        <v>62.0</v>
      </c>
      <c r="AC29" s="1">
        <v>64.0</v>
      </c>
      <c r="AD29" s="1">
        <v>65.0</v>
      </c>
      <c r="AE29" s="1">
        <v>66.0</v>
      </c>
      <c r="AF29" s="1">
        <v>68.0</v>
      </c>
      <c r="AG29" s="1">
        <v>70.0</v>
      </c>
      <c r="AH29" s="1">
        <v>71.0</v>
      </c>
      <c r="AI29" s="1">
        <v>72.0</v>
      </c>
      <c r="AJ29" s="1">
        <v>74.0</v>
      </c>
      <c r="AK29" s="1">
        <v>77.0</v>
      </c>
      <c r="AL29" s="1">
        <v>80.0</v>
      </c>
      <c r="AM29" s="1">
        <v>82.0</v>
      </c>
      <c r="AN29" s="1">
        <v>83.0</v>
      </c>
      <c r="AO29" s="1">
        <v>86.0</v>
      </c>
      <c r="AP29" s="1">
        <v>92.0</v>
      </c>
    </row>
    <row r="30" ht="15.75" customHeight="1">
      <c r="A30" s="1">
        <v>34.0</v>
      </c>
      <c r="B30" s="1">
        <v>35.0</v>
      </c>
      <c r="C30" s="1">
        <v>36.0</v>
      </c>
      <c r="D30" s="1">
        <v>37.0</v>
      </c>
      <c r="E30" s="1">
        <v>38.0</v>
      </c>
      <c r="F30" s="1">
        <v>39.0</v>
      </c>
      <c r="G30" s="1">
        <v>40.0</v>
      </c>
      <c r="H30" s="1">
        <v>41.0</v>
      </c>
      <c r="I30" s="1">
        <v>42.0</v>
      </c>
      <c r="J30" s="1">
        <v>43.0</v>
      </c>
      <c r="K30" s="1">
        <v>44.0</v>
      </c>
      <c r="L30" s="1">
        <v>45.0</v>
      </c>
      <c r="M30" s="1">
        <v>46.0</v>
      </c>
      <c r="N30" s="1">
        <v>47.0</v>
      </c>
      <c r="O30" s="1">
        <v>48.0</v>
      </c>
      <c r="P30" s="1">
        <v>49.0</v>
      </c>
      <c r="Q30" s="1">
        <v>50.0</v>
      </c>
      <c r="R30" s="1">
        <v>51.0</v>
      </c>
      <c r="S30" s="1">
        <v>52.0</v>
      </c>
      <c r="T30" s="1">
        <v>53.0</v>
      </c>
      <c r="U30" s="1">
        <v>54.0</v>
      </c>
      <c r="V30" s="1">
        <v>55.0</v>
      </c>
      <c r="W30" s="1">
        <v>57.0</v>
      </c>
      <c r="X30" s="1">
        <v>58.0</v>
      </c>
      <c r="Y30" s="1">
        <v>59.0</v>
      </c>
      <c r="Z30" s="1">
        <v>60.0</v>
      </c>
      <c r="AA30" s="1">
        <v>61.0</v>
      </c>
      <c r="AB30" s="1">
        <v>63.0</v>
      </c>
      <c r="AC30" s="1">
        <v>65.0</v>
      </c>
      <c r="AD30" s="1">
        <v>66.0</v>
      </c>
      <c r="AE30" s="1">
        <v>67.0</v>
      </c>
      <c r="AF30" s="1">
        <v>69.0</v>
      </c>
      <c r="AG30" s="1">
        <v>71.0</v>
      </c>
      <c r="AH30" s="1">
        <v>72.0</v>
      </c>
      <c r="AI30" s="1">
        <v>73.0</v>
      </c>
      <c r="AJ30" s="1">
        <v>75.0</v>
      </c>
      <c r="AK30" s="1">
        <v>78.0</v>
      </c>
      <c r="AL30" s="1">
        <v>81.0</v>
      </c>
      <c r="AM30" s="1">
        <v>83.0</v>
      </c>
      <c r="AN30" s="1">
        <v>84.0</v>
      </c>
      <c r="AO30" s="1">
        <v>87.0</v>
      </c>
      <c r="AP30" s="1">
        <v>93.0</v>
      </c>
    </row>
    <row r="31" ht="15.75" customHeight="1">
      <c r="A31" s="1">
        <v>35.0</v>
      </c>
      <c r="B31" s="1">
        <v>36.0</v>
      </c>
      <c r="C31" s="1">
        <v>37.0</v>
      </c>
      <c r="D31" s="1">
        <v>38.0</v>
      </c>
      <c r="E31" s="1">
        <v>39.0</v>
      </c>
      <c r="F31" s="1">
        <v>40.0</v>
      </c>
      <c r="G31" s="1">
        <v>41.0</v>
      </c>
      <c r="H31" s="1">
        <v>42.0</v>
      </c>
      <c r="I31" s="1">
        <v>43.0</v>
      </c>
      <c r="J31" s="1">
        <v>44.0</v>
      </c>
      <c r="K31" s="1">
        <v>45.0</v>
      </c>
      <c r="L31" s="1">
        <v>46.0</v>
      </c>
      <c r="M31" s="1">
        <v>47.0</v>
      </c>
      <c r="N31" s="1">
        <v>48.0</v>
      </c>
      <c r="O31" s="1">
        <v>49.0</v>
      </c>
      <c r="P31" s="1">
        <v>50.0</v>
      </c>
      <c r="Q31" s="1">
        <v>51.0</v>
      </c>
      <c r="R31" s="1">
        <v>52.0</v>
      </c>
      <c r="S31" s="1">
        <v>53.0</v>
      </c>
      <c r="T31" s="1">
        <v>54.0</v>
      </c>
      <c r="U31" s="1">
        <v>55.0</v>
      </c>
      <c r="V31" s="1">
        <v>56.0</v>
      </c>
      <c r="W31" s="1">
        <v>58.0</v>
      </c>
      <c r="X31" s="1">
        <v>59.0</v>
      </c>
      <c r="Y31" s="1">
        <v>60.0</v>
      </c>
      <c r="Z31" s="1">
        <v>61.0</v>
      </c>
      <c r="AA31" s="1">
        <v>62.0</v>
      </c>
      <c r="AB31" s="1">
        <v>64.0</v>
      </c>
      <c r="AC31" s="1">
        <v>66.0</v>
      </c>
      <c r="AD31" s="1">
        <v>67.0</v>
      </c>
      <c r="AE31" s="1">
        <v>68.0</v>
      </c>
      <c r="AF31" s="1">
        <v>70.0</v>
      </c>
      <c r="AG31" s="1">
        <v>72.0</v>
      </c>
      <c r="AH31" s="1">
        <v>73.0</v>
      </c>
      <c r="AI31" s="1">
        <v>74.0</v>
      </c>
      <c r="AJ31" s="1">
        <v>76.0</v>
      </c>
      <c r="AK31" s="1">
        <v>79.0</v>
      </c>
      <c r="AL31" s="1">
        <v>82.0</v>
      </c>
      <c r="AM31" s="1">
        <v>84.0</v>
      </c>
      <c r="AN31" s="1">
        <v>85.0</v>
      </c>
      <c r="AO31" s="1">
        <v>88.0</v>
      </c>
      <c r="AP31" s="1">
        <v>94.0</v>
      </c>
    </row>
    <row r="32" ht="15.75" customHeight="1">
      <c r="A32" s="1">
        <v>37.0</v>
      </c>
      <c r="B32" s="1">
        <v>38.0</v>
      </c>
      <c r="C32" s="1">
        <v>39.0</v>
      </c>
      <c r="D32" s="1">
        <v>40.0</v>
      </c>
      <c r="E32" s="1">
        <v>41.0</v>
      </c>
      <c r="F32" s="1">
        <v>42.0</v>
      </c>
      <c r="G32" s="1">
        <v>43.0</v>
      </c>
      <c r="H32" s="1">
        <v>44.0</v>
      </c>
      <c r="I32" s="1">
        <v>45.0</v>
      </c>
      <c r="J32" s="1">
        <v>46.0</v>
      </c>
      <c r="K32" s="1">
        <v>47.0</v>
      </c>
      <c r="L32" s="1">
        <v>48.0</v>
      </c>
      <c r="M32" s="1">
        <v>49.0</v>
      </c>
      <c r="N32" s="1">
        <v>50.0</v>
      </c>
      <c r="O32" s="1">
        <v>51.0</v>
      </c>
      <c r="P32" s="1">
        <v>52.0</v>
      </c>
      <c r="Q32" s="1">
        <v>53.0</v>
      </c>
      <c r="R32" s="1">
        <v>54.0</v>
      </c>
      <c r="S32" s="1">
        <v>55.0</v>
      </c>
      <c r="T32" s="1">
        <v>56.0</v>
      </c>
      <c r="U32" s="1">
        <v>57.0</v>
      </c>
      <c r="V32" s="1">
        <v>58.0</v>
      </c>
      <c r="W32" s="1">
        <v>60.0</v>
      </c>
      <c r="X32" s="1">
        <v>61.0</v>
      </c>
      <c r="Y32" s="1">
        <v>62.0</v>
      </c>
      <c r="Z32" s="1">
        <v>63.0</v>
      </c>
      <c r="AA32" s="1">
        <v>64.0</v>
      </c>
      <c r="AB32" s="1">
        <v>66.0</v>
      </c>
      <c r="AC32" s="1">
        <v>68.0</v>
      </c>
      <c r="AD32" s="1">
        <v>69.0</v>
      </c>
      <c r="AE32" s="1">
        <v>70.0</v>
      </c>
      <c r="AF32" s="1">
        <v>72.0</v>
      </c>
      <c r="AG32" s="1">
        <v>74.0</v>
      </c>
      <c r="AH32" s="1">
        <v>75.0</v>
      </c>
      <c r="AI32" s="1">
        <v>76.0</v>
      </c>
      <c r="AJ32" s="1">
        <v>78.0</v>
      </c>
      <c r="AK32" s="1">
        <v>81.0</v>
      </c>
      <c r="AL32" s="1">
        <v>84.0</v>
      </c>
      <c r="AM32" s="1">
        <v>86.0</v>
      </c>
      <c r="AN32" s="1">
        <v>87.0</v>
      </c>
      <c r="AO32" s="1">
        <v>90.0</v>
      </c>
      <c r="AP32" s="1">
        <v>96.0</v>
      </c>
    </row>
    <row r="33" ht="15.75" customHeight="1">
      <c r="A33" s="1">
        <v>39.0</v>
      </c>
      <c r="B33" s="1">
        <v>40.0</v>
      </c>
      <c r="C33" s="1">
        <v>41.0</v>
      </c>
      <c r="D33" s="1">
        <v>42.0</v>
      </c>
      <c r="E33" s="1">
        <v>43.0</v>
      </c>
      <c r="F33" s="1">
        <v>44.0</v>
      </c>
      <c r="G33" s="1">
        <v>45.0</v>
      </c>
      <c r="H33" s="1">
        <v>46.0</v>
      </c>
      <c r="I33" s="1">
        <v>47.0</v>
      </c>
      <c r="J33" s="1">
        <v>48.0</v>
      </c>
      <c r="K33" s="1">
        <v>49.0</v>
      </c>
      <c r="L33" s="1">
        <v>50.0</v>
      </c>
      <c r="M33" s="1">
        <v>51.0</v>
      </c>
      <c r="N33" s="1">
        <v>52.0</v>
      </c>
      <c r="O33" s="1">
        <v>53.0</v>
      </c>
      <c r="P33" s="1">
        <v>54.0</v>
      </c>
      <c r="Q33" s="1">
        <v>55.0</v>
      </c>
      <c r="R33" s="1">
        <v>56.0</v>
      </c>
      <c r="S33" s="1">
        <v>57.0</v>
      </c>
      <c r="T33" s="1">
        <v>58.0</v>
      </c>
      <c r="U33" s="1">
        <v>59.0</v>
      </c>
      <c r="V33" s="1">
        <v>60.0</v>
      </c>
      <c r="W33" s="1">
        <v>62.0</v>
      </c>
      <c r="X33" s="1">
        <v>63.0</v>
      </c>
      <c r="Y33" s="1">
        <v>64.0</v>
      </c>
      <c r="Z33" s="1">
        <v>65.0</v>
      </c>
      <c r="AA33" s="1">
        <v>66.0</v>
      </c>
      <c r="AB33" s="1">
        <v>68.0</v>
      </c>
      <c r="AC33" s="1">
        <v>70.0</v>
      </c>
      <c r="AD33" s="1">
        <v>71.0</v>
      </c>
      <c r="AE33" s="1">
        <v>72.0</v>
      </c>
      <c r="AF33" s="1">
        <v>74.0</v>
      </c>
      <c r="AG33" s="1">
        <v>76.0</v>
      </c>
      <c r="AH33" s="1">
        <v>77.0</v>
      </c>
      <c r="AI33" s="1">
        <v>78.0</v>
      </c>
      <c r="AJ33" s="1">
        <v>80.0</v>
      </c>
      <c r="AK33" s="1">
        <v>83.0</v>
      </c>
      <c r="AL33" s="1">
        <v>86.0</v>
      </c>
      <c r="AM33" s="1">
        <v>88.0</v>
      </c>
      <c r="AN33" s="1">
        <v>89.0</v>
      </c>
      <c r="AO33" s="1">
        <v>92.0</v>
      </c>
      <c r="AP33" s="1">
        <v>98.0</v>
      </c>
    </row>
    <row r="34" ht="15.75" customHeight="1">
      <c r="A34" s="1">
        <v>40.0</v>
      </c>
      <c r="B34" s="1">
        <v>41.0</v>
      </c>
      <c r="C34" s="1">
        <v>42.0</v>
      </c>
      <c r="D34" s="1">
        <v>43.0</v>
      </c>
      <c r="E34" s="1">
        <v>44.0</v>
      </c>
      <c r="F34" s="1">
        <v>45.0</v>
      </c>
      <c r="G34" s="1">
        <v>46.0</v>
      </c>
      <c r="H34" s="1">
        <v>47.0</v>
      </c>
      <c r="I34" s="1">
        <v>48.0</v>
      </c>
      <c r="J34" s="1">
        <v>49.0</v>
      </c>
      <c r="K34" s="1">
        <v>50.0</v>
      </c>
      <c r="L34" s="1">
        <v>51.0</v>
      </c>
      <c r="M34" s="1">
        <v>52.0</v>
      </c>
      <c r="N34" s="1">
        <v>53.0</v>
      </c>
      <c r="O34" s="1">
        <v>54.0</v>
      </c>
      <c r="P34" s="1">
        <v>55.0</v>
      </c>
      <c r="Q34" s="1">
        <v>56.0</v>
      </c>
      <c r="R34" s="1">
        <v>57.0</v>
      </c>
      <c r="S34" s="1">
        <v>58.0</v>
      </c>
      <c r="T34" s="1">
        <v>59.0</v>
      </c>
      <c r="U34" s="1">
        <v>60.0</v>
      </c>
      <c r="V34" s="1">
        <v>61.0</v>
      </c>
      <c r="W34" s="1">
        <v>63.0</v>
      </c>
      <c r="X34" s="1">
        <v>64.0</v>
      </c>
      <c r="Y34" s="1">
        <v>65.0</v>
      </c>
      <c r="Z34" s="1">
        <v>66.0</v>
      </c>
      <c r="AA34" s="1">
        <v>67.0</v>
      </c>
      <c r="AB34" s="1">
        <v>69.0</v>
      </c>
      <c r="AC34" s="1">
        <v>71.0</v>
      </c>
      <c r="AD34" s="1">
        <v>72.0</v>
      </c>
      <c r="AE34" s="1">
        <v>73.0</v>
      </c>
      <c r="AF34" s="1">
        <v>75.0</v>
      </c>
      <c r="AG34" s="1">
        <v>77.0</v>
      </c>
      <c r="AH34" s="1">
        <v>78.0</v>
      </c>
      <c r="AI34" s="1">
        <v>79.0</v>
      </c>
      <c r="AJ34" s="1">
        <v>81.0</v>
      </c>
      <c r="AK34" s="1">
        <v>84.0</v>
      </c>
      <c r="AL34" s="1">
        <v>87.0</v>
      </c>
      <c r="AM34" s="1">
        <v>89.0</v>
      </c>
      <c r="AN34" s="1">
        <v>90.0</v>
      </c>
      <c r="AO34" s="1">
        <v>93.0</v>
      </c>
      <c r="AP34" s="1">
        <v>99.0</v>
      </c>
    </row>
    <row r="35" ht="15.75" customHeight="1">
      <c r="A35" s="1">
        <v>41.0</v>
      </c>
      <c r="B35" s="1">
        <v>42.0</v>
      </c>
      <c r="C35" s="1">
        <v>43.0</v>
      </c>
      <c r="D35" s="1">
        <v>44.0</v>
      </c>
      <c r="E35" s="1">
        <v>45.0</v>
      </c>
      <c r="F35" s="1">
        <v>46.0</v>
      </c>
      <c r="G35" s="1">
        <v>47.0</v>
      </c>
      <c r="H35" s="1">
        <v>48.0</v>
      </c>
      <c r="I35" s="1">
        <v>49.0</v>
      </c>
      <c r="J35" s="1">
        <v>50.0</v>
      </c>
      <c r="K35" s="1">
        <v>51.0</v>
      </c>
      <c r="L35" s="1">
        <v>52.0</v>
      </c>
      <c r="M35" s="1">
        <v>53.0</v>
      </c>
      <c r="N35" s="1">
        <v>54.0</v>
      </c>
      <c r="O35" s="1">
        <v>55.0</v>
      </c>
      <c r="P35" s="1">
        <v>56.0</v>
      </c>
      <c r="Q35" s="1">
        <v>57.0</v>
      </c>
      <c r="R35" s="1">
        <v>58.0</v>
      </c>
      <c r="S35" s="1">
        <v>59.0</v>
      </c>
      <c r="T35" s="1">
        <v>60.0</v>
      </c>
      <c r="U35" s="1">
        <v>61.0</v>
      </c>
      <c r="V35" s="1">
        <v>62.0</v>
      </c>
      <c r="W35" s="1">
        <v>64.0</v>
      </c>
      <c r="X35" s="1">
        <v>65.0</v>
      </c>
      <c r="Y35" s="1">
        <v>66.0</v>
      </c>
      <c r="Z35" s="1">
        <v>67.0</v>
      </c>
      <c r="AA35" s="1">
        <v>68.0</v>
      </c>
      <c r="AB35" s="1">
        <v>70.0</v>
      </c>
      <c r="AC35" s="1">
        <v>72.0</v>
      </c>
      <c r="AD35" s="1">
        <v>73.0</v>
      </c>
      <c r="AE35" s="1">
        <v>74.0</v>
      </c>
      <c r="AF35" s="1">
        <v>76.0</v>
      </c>
      <c r="AG35" s="1">
        <v>78.0</v>
      </c>
      <c r="AH35" s="1">
        <v>79.0</v>
      </c>
      <c r="AI35" s="1">
        <v>80.0</v>
      </c>
      <c r="AJ35" s="1">
        <v>82.0</v>
      </c>
      <c r="AK35" s="1">
        <v>85.0</v>
      </c>
      <c r="AL35" s="1">
        <v>88.0</v>
      </c>
      <c r="AM35" s="1">
        <v>90.0</v>
      </c>
      <c r="AN35" s="1">
        <v>91.0</v>
      </c>
      <c r="AO35" s="1">
        <v>94.0</v>
      </c>
      <c r="AP35" s="1">
        <v>100.0</v>
      </c>
    </row>
    <row r="36" ht="15.75" customHeight="1">
      <c r="A36" s="1">
        <v>43.0</v>
      </c>
      <c r="B36" s="1">
        <v>44.0</v>
      </c>
      <c r="C36" s="1">
        <v>45.0</v>
      </c>
      <c r="D36" s="1">
        <v>46.0</v>
      </c>
      <c r="E36" s="1">
        <v>47.0</v>
      </c>
      <c r="F36" s="1">
        <v>48.0</v>
      </c>
      <c r="G36" s="1">
        <v>49.0</v>
      </c>
      <c r="H36" s="1">
        <v>50.0</v>
      </c>
      <c r="I36" s="1">
        <v>51.0</v>
      </c>
      <c r="J36" s="1">
        <v>52.0</v>
      </c>
      <c r="K36" s="1">
        <v>53.0</v>
      </c>
      <c r="L36" s="1">
        <v>54.0</v>
      </c>
      <c r="M36" s="1">
        <v>55.0</v>
      </c>
      <c r="N36" s="1">
        <v>56.0</v>
      </c>
      <c r="O36" s="1">
        <v>57.0</v>
      </c>
      <c r="P36" s="1">
        <v>58.0</v>
      </c>
      <c r="Q36" s="1">
        <v>59.0</v>
      </c>
      <c r="R36" s="1">
        <v>60.0</v>
      </c>
      <c r="S36" s="1">
        <v>61.0</v>
      </c>
      <c r="T36" s="1">
        <v>62.0</v>
      </c>
      <c r="U36" s="1">
        <v>63.0</v>
      </c>
      <c r="V36" s="1">
        <v>64.0</v>
      </c>
      <c r="W36" s="1">
        <v>66.0</v>
      </c>
      <c r="X36" s="1">
        <v>67.0</v>
      </c>
      <c r="Y36" s="1">
        <v>68.0</v>
      </c>
      <c r="Z36" s="1">
        <v>69.0</v>
      </c>
      <c r="AA36" s="1">
        <v>70.0</v>
      </c>
      <c r="AB36" s="1">
        <v>72.0</v>
      </c>
      <c r="AC36" s="1">
        <v>74.0</v>
      </c>
      <c r="AD36" s="1">
        <v>75.0</v>
      </c>
      <c r="AE36" s="1">
        <v>76.0</v>
      </c>
      <c r="AF36" s="1">
        <v>78.0</v>
      </c>
      <c r="AG36" s="1">
        <v>80.0</v>
      </c>
      <c r="AH36" s="1">
        <v>81.0</v>
      </c>
      <c r="AI36" s="1">
        <v>82.0</v>
      </c>
      <c r="AJ36" s="1">
        <v>84.0</v>
      </c>
      <c r="AK36" s="1">
        <v>87.0</v>
      </c>
      <c r="AL36" s="1">
        <v>90.0</v>
      </c>
      <c r="AM36" s="1">
        <v>92.0</v>
      </c>
      <c r="AN36" s="1">
        <v>93.0</v>
      </c>
      <c r="AO36" s="1">
        <v>96.0</v>
      </c>
      <c r="AP36" s="1">
        <v>102.0</v>
      </c>
    </row>
    <row r="37" ht="15.75" customHeight="1">
      <c r="A37" s="1">
        <v>46.0</v>
      </c>
      <c r="B37" s="1">
        <v>47.0</v>
      </c>
      <c r="C37" s="1">
        <v>48.0</v>
      </c>
      <c r="D37" s="1">
        <v>49.0</v>
      </c>
      <c r="E37" s="1">
        <v>50.0</v>
      </c>
      <c r="F37" s="1">
        <v>51.0</v>
      </c>
      <c r="G37" s="1">
        <v>52.0</v>
      </c>
      <c r="H37" s="1">
        <v>53.0</v>
      </c>
      <c r="I37" s="1">
        <v>54.0</v>
      </c>
      <c r="J37" s="1">
        <v>55.0</v>
      </c>
      <c r="K37" s="1">
        <v>56.0</v>
      </c>
      <c r="L37" s="1">
        <v>57.0</v>
      </c>
      <c r="M37" s="1">
        <v>58.0</v>
      </c>
      <c r="N37" s="1">
        <v>59.0</v>
      </c>
      <c r="O37" s="1">
        <v>60.0</v>
      </c>
      <c r="P37" s="1">
        <v>61.0</v>
      </c>
      <c r="Q37" s="1">
        <v>62.0</v>
      </c>
      <c r="R37" s="1">
        <v>63.0</v>
      </c>
      <c r="S37" s="1">
        <v>64.0</v>
      </c>
      <c r="T37" s="1">
        <v>65.0</v>
      </c>
      <c r="U37" s="1">
        <v>66.0</v>
      </c>
      <c r="V37" s="1">
        <v>67.0</v>
      </c>
      <c r="W37" s="1">
        <v>69.0</v>
      </c>
      <c r="X37" s="1">
        <v>70.0</v>
      </c>
      <c r="Y37" s="1">
        <v>71.0</v>
      </c>
      <c r="Z37" s="1">
        <v>72.0</v>
      </c>
      <c r="AA37" s="1">
        <v>73.0</v>
      </c>
      <c r="AB37" s="1">
        <v>75.0</v>
      </c>
      <c r="AC37" s="1">
        <v>77.0</v>
      </c>
      <c r="AD37" s="1">
        <v>78.0</v>
      </c>
      <c r="AE37" s="1">
        <v>79.0</v>
      </c>
      <c r="AF37" s="1">
        <v>81.0</v>
      </c>
      <c r="AG37" s="1">
        <v>83.0</v>
      </c>
      <c r="AH37" s="1">
        <v>84.0</v>
      </c>
      <c r="AI37" s="1">
        <v>85.0</v>
      </c>
      <c r="AJ37" s="1">
        <v>87.0</v>
      </c>
      <c r="AK37" s="1">
        <v>90.0</v>
      </c>
      <c r="AL37" s="1">
        <v>93.0</v>
      </c>
      <c r="AM37" s="1">
        <v>95.0</v>
      </c>
      <c r="AN37" s="1">
        <v>96.0</v>
      </c>
      <c r="AO37" s="1">
        <v>99.0</v>
      </c>
      <c r="AP37" s="1">
        <v>105.0</v>
      </c>
    </row>
    <row r="38" ht="15.75" customHeight="1">
      <c r="A38" s="1">
        <v>49.0</v>
      </c>
      <c r="B38" s="1">
        <v>50.0</v>
      </c>
      <c r="C38" s="1">
        <v>51.0</v>
      </c>
      <c r="D38" s="1">
        <v>52.0</v>
      </c>
      <c r="E38" s="1">
        <v>53.0</v>
      </c>
      <c r="F38" s="1">
        <v>54.0</v>
      </c>
      <c r="G38" s="1">
        <v>55.0</v>
      </c>
      <c r="H38" s="1">
        <v>56.0</v>
      </c>
      <c r="I38" s="1">
        <v>57.0</v>
      </c>
      <c r="J38" s="1">
        <v>58.0</v>
      </c>
      <c r="K38" s="1">
        <v>59.0</v>
      </c>
      <c r="L38" s="1">
        <v>60.0</v>
      </c>
      <c r="M38" s="1">
        <v>61.0</v>
      </c>
      <c r="N38" s="1">
        <v>62.0</v>
      </c>
      <c r="O38" s="1">
        <v>63.0</v>
      </c>
      <c r="P38" s="1">
        <v>64.0</v>
      </c>
      <c r="Q38" s="1">
        <v>65.0</v>
      </c>
      <c r="R38" s="1">
        <v>66.0</v>
      </c>
      <c r="S38" s="1">
        <v>67.0</v>
      </c>
      <c r="T38" s="1">
        <v>68.0</v>
      </c>
      <c r="U38" s="1">
        <v>69.0</v>
      </c>
      <c r="V38" s="1">
        <v>70.0</v>
      </c>
      <c r="W38" s="1">
        <v>72.0</v>
      </c>
      <c r="X38" s="1">
        <v>73.0</v>
      </c>
      <c r="Y38" s="1">
        <v>74.0</v>
      </c>
      <c r="Z38" s="1">
        <v>75.0</v>
      </c>
      <c r="AA38" s="1">
        <v>76.0</v>
      </c>
      <c r="AB38" s="1">
        <v>78.0</v>
      </c>
      <c r="AC38" s="1">
        <v>80.0</v>
      </c>
      <c r="AD38" s="1">
        <v>81.0</v>
      </c>
      <c r="AE38" s="1">
        <v>82.0</v>
      </c>
      <c r="AF38" s="1">
        <v>84.0</v>
      </c>
      <c r="AG38" s="1">
        <v>86.0</v>
      </c>
      <c r="AH38" s="1">
        <v>87.0</v>
      </c>
      <c r="AI38" s="1">
        <v>88.0</v>
      </c>
      <c r="AJ38" s="1">
        <v>90.0</v>
      </c>
      <c r="AK38" s="1">
        <v>93.0</v>
      </c>
      <c r="AL38" s="1">
        <v>96.0</v>
      </c>
      <c r="AM38" s="1">
        <v>98.0</v>
      </c>
      <c r="AN38" s="1">
        <v>99.0</v>
      </c>
      <c r="AO38" s="1">
        <v>102.0</v>
      </c>
      <c r="AP38" s="1">
        <v>108.0</v>
      </c>
    </row>
    <row r="39" ht="15.75" customHeight="1">
      <c r="A39" s="1">
        <v>51.0</v>
      </c>
      <c r="B39" s="1">
        <v>52.0</v>
      </c>
      <c r="C39" s="1">
        <v>53.0</v>
      </c>
      <c r="D39" s="1">
        <v>54.0</v>
      </c>
      <c r="E39" s="1">
        <v>55.0</v>
      </c>
      <c r="F39" s="1">
        <v>56.0</v>
      </c>
      <c r="G39" s="1">
        <v>57.0</v>
      </c>
      <c r="H39" s="1">
        <v>58.0</v>
      </c>
      <c r="I39" s="1">
        <v>59.0</v>
      </c>
      <c r="J39" s="1">
        <v>60.0</v>
      </c>
      <c r="K39" s="1">
        <v>61.0</v>
      </c>
      <c r="L39" s="1">
        <v>62.0</v>
      </c>
      <c r="M39" s="1">
        <v>63.0</v>
      </c>
      <c r="N39" s="1">
        <v>64.0</v>
      </c>
      <c r="O39" s="1">
        <v>65.0</v>
      </c>
      <c r="P39" s="1">
        <v>66.0</v>
      </c>
      <c r="Q39" s="1">
        <v>67.0</v>
      </c>
      <c r="R39" s="1">
        <v>68.0</v>
      </c>
      <c r="S39" s="1">
        <v>69.0</v>
      </c>
      <c r="T39" s="1">
        <v>70.0</v>
      </c>
      <c r="U39" s="1">
        <v>71.0</v>
      </c>
      <c r="V39" s="1">
        <v>72.0</v>
      </c>
      <c r="W39" s="1">
        <v>74.0</v>
      </c>
      <c r="X39" s="1">
        <v>75.0</v>
      </c>
      <c r="Y39" s="1">
        <v>76.0</v>
      </c>
      <c r="Z39" s="1">
        <v>77.0</v>
      </c>
      <c r="AA39" s="1">
        <v>78.0</v>
      </c>
      <c r="AB39" s="1">
        <v>80.0</v>
      </c>
      <c r="AC39" s="1">
        <v>82.0</v>
      </c>
      <c r="AD39" s="1">
        <v>83.0</v>
      </c>
      <c r="AE39" s="1">
        <v>84.0</v>
      </c>
      <c r="AF39" s="1">
        <v>86.0</v>
      </c>
      <c r="AG39" s="1">
        <v>88.0</v>
      </c>
      <c r="AH39" s="1">
        <v>89.0</v>
      </c>
      <c r="AI39" s="1">
        <v>90.0</v>
      </c>
      <c r="AJ39" s="1">
        <v>92.0</v>
      </c>
      <c r="AK39" s="1">
        <v>95.0</v>
      </c>
      <c r="AL39" s="1">
        <v>98.0</v>
      </c>
      <c r="AM39" s="1">
        <v>100.0</v>
      </c>
      <c r="AN39" s="1">
        <v>101.0</v>
      </c>
      <c r="AO39" s="1">
        <v>104.0</v>
      </c>
      <c r="AP39" s="1">
        <v>110.0</v>
      </c>
    </row>
    <row r="40" ht="15.75" customHeight="1">
      <c r="A40" s="1">
        <v>52.0</v>
      </c>
      <c r="B40" s="1">
        <v>53.0</v>
      </c>
      <c r="C40" s="1">
        <v>54.0</v>
      </c>
      <c r="D40" s="1">
        <v>55.0</v>
      </c>
      <c r="E40" s="1">
        <v>56.0</v>
      </c>
      <c r="F40" s="1">
        <v>57.0</v>
      </c>
      <c r="G40" s="1">
        <v>58.0</v>
      </c>
      <c r="H40" s="1">
        <v>59.0</v>
      </c>
      <c r="I40" s="1">
        <v>60.0</v>
      </c>
      <c r="J40" s="1">
        <v>61.0</v>
      </c>
      <c r="K40" s="1">
        <v>62.0</v>
      </c>
      <c r="L40" s="1">
        <v>63.0</v>
      </c>
      <c r="M40" s="1">
        <v>64.0</v>
      </c>
      <c r="N40" s="1">
        <v>65.0</v>
      </c>
      <c r="O40" s="1">
        <v>66.0</v>
      </c>
      <c r="P40" s="1">
        <v>67.0</v>
      </c>
      <c r="Q40" s="1">
        <v>68.0</v>
      </c>
      <c r="R40" s="1">
        <v>69.0</v>
      </c>
      <c r="S40" s="1">
        <v>70.0</v>
      </c>
      <c r="T40" s="1">
        <v>71.0</v>
      </c>
      <c r="U40" s="1">
        <v>72.0</v>
      </c>
      <c r="V40" s="1">
        <v>73.0</v>
      </c>
      <c r="W40" s="1">
        <v>75.0</v>
      </c>
      <c r="X40" s="1">
        <v>76.0</v>
      </c>
      <c r="Y40" s="1">
        <v>77.0</v>
      </c>
      <c r="Z40" s="1">
        <v>78.0</v>
      </c>
      <c r="AA40" s="1">
        <v>79.0</v>
      </c>
      <c r="AB40" s="1">
        <v>81.0</v>
      </c>
      <c r="AC40" s="1">
        <v>83.0</v>
      </c>
      <c r="AD40" s="1">
        <v>84.0</v>
      </c>
      <c r="AE40" s="1">
        <v>85.0</v>
      </c>
      <c r="AF40" s="1">
        <v>87.0</v>
      </c>
      <c r="AG40" s="1">
        <v>89.0</v>
      </c>
      <c r="AH40" s="1">
        <v>90.0</v>
      </c>
      <c r="AI40" s="1">
        <v>91.0</v>
      </c>
      <c r="AJ40" s="1">
        <v>93.0</v>
      </c>
      <c r="AK40" s="1">
        <v>96.0</v>
      </c>
      <c r="AL40" s="1">
        <v>99.0</v>
      </c>
      <c r="AM40" s="1">
        <v>101.0</v>
      </c>
      <c r="AN40" s="1">
        <v>102.0</v>
      </c>
      <c r="AO40" s="1">
        <v>105.0</v>
      </c>
      <c r="AP40" s="1">
        <v>111.0</v>
      </c>
    </row>
    <row r="41" ht="15.75" customHeight="1">
      <c r="A41" s="1">
        <v>55.0</v>
      </c>
      <c r="B41" s="1">
        <v>56.0</v>
      </c>
      <c r="C41" s="1">
        <v>57.0</v>
      </c>
      <c r="D41" s="1">
        <v>58.0</v>
      </c>
      <c r="E41" s="1">
        <v>59.0</v>
      </c>
      <c r="F41" s="1">
        <v>60.0</v>
      </c>
      <c r="G41" s="1">
        <v>61.0</v>
      </c>
      <c r="H41" s="1">
        <v>62.0</v>
      </c>
      <c r="I41" s="1">
        <v>63.0</v>
      </c>
      <c r="J41" s="1">
        <v>64.0</v>
      </c>
      <c r="K41" s="1">
        <v>65.0</v>
      </c>
      <c r="L41" s="1">
        <v>66.0</v>
      </c>
      <c r="M41" s="1">
        <v>67.0</v>
      </c>
      <c r="N41" s="1">
        <v>68.0</v>
      </c>
      <c r="O41" s="1">
        <v>69.0</v>
      </c>
      <c r="P41" s="1">
        <v>70.0</v>
      </c>
      <c r="Q41" s="1">
        <v>71.0</v>
      </c>
      <c r="R41" s="1">
        <v>72.0</v>
      </c>
      <c r="S41" s="1">
        <v>73.0</v>
      </c>
      <c r="T41" s="1">
        <v>74.0</v>
      </c>
      <c r="U41" s="1">
        <v>75.0</v>
      </c>
      <c r="V41" s="1">
        <v>76.0</v>
      </c>
      <c r="W41" s="1">
        <v>78.0</v>
      </c>
      <c r="X41" s="1">
        <v>79.0</v>
      </c>
      <c r="Y41" s="1">
        <v>80.0</v>
      </c>
      <c r="Z41" s="1">
        <v>81.0</v>
      </c>
      <c r="AA41" s="1">
        <v>82.0</v>
      </c>
      <c r="AB41" s="1">
        <v>84.0</v>
      </c>
      <c r="AC41" s="1">
        <v>86.0</v>
      </c>
      <c r="AD41" s="1">
        <v>87.0</v>
      </c>
      <c r="AE41" s="1">
        <v>88.0</v>
      </c>
      <c r="AF41" s="1">
        <v>90.0</v>
      </c>
      <c r="AG41" s="1">
        <v>92.0</v>
      </c>
      <c r="AH41" s="1">
        <v>93.0</v>
      </c>
      <c r="AI41" s="1">
        <v>94.0</v>
      </c>
      <c r="AJ41" s="1">
        <v>96.0</v>
      </c>
      <c r="AK41" s="1">
        <v>99.0</v>
      </c>
      <c r="AL41" s="1">
        <v>102.0</v>
      </c>
      <c r="AM41" s="1">
        <v>104.0</v>
      </c>
      <c r="AN41" s="1">
        <v>105.0</v>
      </c>
      <c r="AO41" s="1">
        <v>108.0</v>
      </c>
      <c r="AP41" s="1">
        <v>114.0</v>
      </c>
    </row>
    <row r="42" ht="15.75" customHeight="1">
      <c r="A42" s="1">
        <v>58.0</v>
      </c>
      <c r="B42" s="1">
        <v>59.0</v>
      </c>
      <c r="C42" s="1">
        <v>60.0</v>
      </c>
      <c r="D42" s="1">
        <v>61.0</v>
      </c>
      <c r="E42" s="1">
        <v>62.0</v>
      </c>
      <c r="F42" s="1">
        <v>63.0</v>
      </c>
      <c r="G42" s="1">
        <v>64.0</v>
      </c>
      <c r="H42" s="1">
        <v>65.0</v>
      </c>
      <c r="I42" s="1">
        <v>66.0</v>
      </c>
      <c r="J42" s="1">
        <v>67.0</v>
      </c>
      <c r="K42" s="1">
        <v>68.0</v>
      </c>
      <c r="L42" s="1">
        <v>69.0</v>
      </c>
      <c r="M42" s="1">
        <v>70.0</v>
      </c>
      <c r="N42" s="1">
        <v>71.0</v>
      </c>
      <c r="O42" s="1">
        <v>72.0</v>
      </c>
      <c r="P42" s="1">
        <v>73.0</v>
      </c>
      <c r="Q42" s="1">
        <v>74.0</v>
      </c>
      <c r="R42" s="1">
        <v>75.0</v>
      </c>
      <c r="S42" s="1">
        <v>76.0</v>
      </c>
      <c r="T42" s="1">
        <v>77.0</v>
      </c>
      <c r="U42" s="1">
        <v>78.0</v>
      </c>
      <c r="V42" s="1">
        <v>79.0</v>
      </c>
      <c r="W42" s="1">
        <v>81.0</v>
      </c>
      <c r="X42" s="1">
        <v>82.0</v>
      </c>
      <c r="Y42" s="1">
        <v>83.0</v>
      </c>
      <c r="Z42" s="1">
        <v>84.0</v>
      </c>
      <c r="AA42" s="1">
        <v>85.0</v>
      </c>
      <c r="AB42" s="1">
        <v>87.0</v>
      </c>
      <c r="AC42" s="1">
        <v>89.0</v>
      </c>
      <c r="AD42" s="1">
        <v>90.0</v>
      </c>
      <c r="AE42" s="1">
        <v>91.0</v>
      </c>
      <c r="AF42" s="1">
        <v>93.0</v>
      </c>
      <c r="AG42" s="1">
        <v>95.0</v>
      </c>
      <c r="AH42" s="1">
        <v>96.0</v>
      </c>
      <c r="AI42" s="1">
        <v>97.0</v>
      </c>
      <c r="AJ42" s="1">
        <v>99.0</v>
      </c>
      <c r="AK42" s="1">
        <v>102.0</v>
      </c>
      <c r="AL42" s="1">
        <v>105.0</v>
      </c>
      <c r="AM42" s="1">
        <v>107.0</v>
      </c>
      <c r="AN42" s="1">
        <v>108.0</v>
      </c>
      <c r="AO42" s="1">
        <v>111.0</v>
      </c>
      <c r="AP42" s="1">
        <v>117.0</v>
      </c>
    </row>
    <row r="43" ht="15.75" customHeight="1">
      <c r="A43" s="1">
        <v>61.0</v>
      </c>
      <c r="B43" s="1">
        <v>62.0</v>
      </c>
      <c r="C43" s="1">
        <v>63.0</v>
      </c>
      <c r="D43" s="1">
        <v>64.0</v>
      </c>
      <c r="E43" s="1">
        <v>65.0</v>
      </c>
      <c r="F43" s="1">
        <v>66.0</v>
      </c>
      <c r="G43" s="1">
        <v>67.0</v>
      </c>
      <c r="H43" s="1">
        <v>68.0</v>
      </c>
      <c r="I43" s="1">
        <v>69.0</v>
      </c>
      <c r="J43" s="1">
        <v>70.0</v>
      </c>
      <c r="K43" s="1">
        <v>71.0</v>
      </c>
      <c r="L43" s="1">
        <v>72.0</v>
      </c>
      <c r="M43" s="1">
        <v>73.0</v>
      </c>
      <c r="N43" s="1">
        <v>74.0</v>
      </c>
      <c r="O43" s="1">
        <v>75.0</v>
      </c>
      <c r="P43" s="1">
        <v>76.0</v>
      </c>
      <c r="Q43" s="1">
        <v>77.0</v>
      </c>
      <c r="R43" s="1">
        <v>78.0</v>
      </c>
      <c r="S43" s="1">
        <v>79.0</v>
      </c>
      <c r="T43" s="1">
        <v>80.0</v>
      </c>
      <c r="U43" s="1">
        <v>81.0</v>
      </c>
      <c r="V43" s="1">
        <v>82.0</v>
      </c>
      <c r="W43" s="1">
        <v>84.0</v>
      </c>
      <c r="X43" s="1">
        <v>85.0</v>
      </c>
      <c r="Y43" s="1">
        <v>86.0</v>
      </c>
      <c r="Z43" s="1">
        <v>87.0</v>
      </c>
      <c r="AA43" s="1">
        <v>88.0</v>
      </c>
      <c r="AB43" s="1">
        <v>90.0</v>
      </c>
      <c r="AC43" s="1">
        <v>92.0</v>
      </c>
      <c r="AD43" s="1">
        <v>93.0</v>
      </c>
      <c r="AE43" s="1">
        <v>94.0</v>
      </c>
      <c r="AF43" s="1">
        <v>96.0</v>
      </c>
      <c r="AG43" s="1">
        <v>98.0</v>
      </c>
      <c r="AH43" s="1">
        <v>99.0</v>
      </c>
      <c r="AI43" s="1">
        <v>100.0</v>
      </c>
      <c r="AJ43" s="1">
        <v>102.0</v>
      </c>
      <c r="AK43" s="1">
        <v>105.0</v>
      </c>
      <c r="AL43" s="1">
        <v>108.0</v>
      </c>
      <c r="AM43" s="1">
        <v>110.0</v>
      </c>
      <c r="AN43" s="1">
        <v>111.0</v>
      </c>
      <c r="AO43" s="1">
        <v>114.0</v>
      </c>
      <c r="AP43" s="1">
        <v>120.0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">
      <c r="A2" s="1">
        <v>2.0</v>
      </c>
    </row>
    <row r="3">
      <c r="A3" s="1">
        <v>3.0</v>
      </c>
    </row>
    <row r="4">
      <c r="A4" s="1">
        <v>4.0</v>
      </c>
    </row>
    <row r="5">
      <c r="A5" s="1">
        <v>5.0</v>
      </c>
    </row>
    <row r="6">
      <c r="A6" s="1">
        <v>6.0</v>
      </c>
    </row>
    <row r="7">
      <c r="A7" s="1">
        <v>7.0</v>
      </c>
    </row>
    <row r="8">
      <c r="A8" s="1">
        <v>8.0</v>
      </c>
    </row>
    <row r="9">
      <c r="A9" s="1">
        <v>9.0</v>
      </c>
    </row>
    <row r="10">
      <c r="A10" s="1">
        <v>10.0</v>
      </c>
    </row>
    <row r="11">
      <c r="A11" s="1">
        <v>11.0</v>
      </c>
    </row>
    <row r="12">
      <c r="A12" s="1">
        <v>12.0</v>
      </c>
    </row>
    <row r="13">
      <c r="A13" s="1">
        <v>13.0</v>
      </c>
    </row>
    <row r="14">
      <c r="A14" s="1">
        <v>14.0</v>
      </c>
    </row>
    <row r="15">
      <c r="A15" s="1">
        <v>15.0</v>
      </c>
    </row>
    <row r="16">
      <c r="A16" s="1">
        <v>16.0</v>
      </c>
    </row>
    <row r="17">
      <c r="A17" s="1">
        <v>17.0</v>
      </c>
    </row>
    <row r="18">
      <c r="A18" s="1">
        <v>18.0</v>
      </c>
    </row>
    <row r="19">
      <c r="A19" s="1">
        <v>19.0</v>
      </c>
    </row>
    <row r="20">
      <c r="A20" s="1">
        <v>20.0</v>
      </c>
    </row>
    <row r="21" ht="15.75" customHeight="1">
      <c r="A21" s="1">
        <v>21.0</v>
      </c>
    </row>
    <row r="22" ht="15.75" customHeight="1">
      <c r="A22" s="1">
        <v>22.0</v>
      </c>
    </row>
    <row r="23" ht="15.75" customHeight="1">
      <c r="A23" s="1">
        <v>24.0</v>
      </c>
      <c r="C23" s="2">
        <v>23.0</v>
      </c>
    </row>
    <row r="24" ht="15.75" customHeight="1">
      <c r="A24" s="1">
        <v>25.0</v>
      </c>
    </row>
    <row r="25" ht="15.75" customHeight="1">
      <c r="A25" s="1">
        <v>26.0</v>
      </c>
    </row>
    <row r="26" ht="15.75" customHeight="1">
      <c r="A26" s="1">
        <v>27.0</v>
      </c>
    </row>
    <row r="27" ht="15.75" customHeight="1">
      <c r="A27" s="1">
        <v>28.0</v>
      </c>
      <c r="C27" s="2">
        <v>29.0</v>
      </c>
    </row>
    <row r="28" ht="15.75" customHeight="1">
      <c r="A28" s="1">
        <v>30.0</v>
      </c>
    </row>
    <row r="29" ht="15.75" customHeight="1">
      <c r="A29" s="1">
        <v>32.0</v>
      </c>
      <c r="C29" s="2">
        <v>31.0</v>
      </c>
    </row>
    <row r="30" ht="15.75" customHeight="1">
      <c r="A30" s="1">
        <v>33.0</v>
      </c>
    </row>
    <row r="31" ht="15.75" customHeight="1">
      <c r="A31" s="1">
        <v>34.0</v>
      </c>
    </row>
    <row r="32" ht="15.75" customHeight="1">
      <c r="A32" s="1">
        <v>36.0</v>
      </c>
      <c r="C32" s="2">
        <v>35.0</v>
      </c>
    </row>
    <row r="33" ht="15.75" customHeight="1">
      <c r="A33" s="1">
        <v>38.0</v>
      </c>
    </row>
    <row r="34" ht="15.75" customHeight="1">
      <c r="A34" s="1">
        <v>39.0</v>
      </c>
    </row>
    <row r="35" ht="15.75" customHeight="1">
      <c r="A35" s="1">
        <v>40.0</v>
      </c>
      <c r="C35" s="2">
        <v>41.0</v>
      </c>
    </row>
    <row r="36" ht="15.75" customHeight="1">
      <c r="A36" s="1">
        <v>42.0</v>
      </c>
    </row>
    <row r="37" ht="15.75" customHeight="1">
      <c r="A37" s="1">
        <v>45.0</v>
      </c>
      <c r="C37" s="2">
        <v>43.0</v>
      </c>
    </row>
    <row r="38" ht="15.75" customHeight="1">
      <c r="A38" s="1">
        <v>48.0</v>
      </c>
      <c r="C38" s="2">
        <v>46.0</v>
      </c>
    </row>
    <row r="39" ht="15.75" customHeight="1">
      <c r="A39" s="1">
        <v>50.0</v>
      </c>
      <c r="C39" s="2">
        <v>47.0</v>
      </c>
    </row>
    <row r="40" ht="15.75" customHeight="1">
      <c r="A40" s="1">
        <v>51.0</v>
      </c>
      <c r="C40" s="2">
        <v>49.0</v>
      </c>
    </row>
    <row r="41" ht="15.75" customHeight="1">
      <c r="A41" s="1">
        <v>54.0</v>
      </c>
      <c r="C41" s="2">
        <v>55.0</v>
      </c>
    </row>
    <row r="42" ht="15.75" customHeight="1">
      <c r="A42" s="1">
        <v>57.0</v>
      </c>
      <c r="C42" s="2">
        <v>56.0</v>
      </c>
    </row>
    <row r="43" ht="15.75" customHeight="1">
      <c r="A43" s="1">
        <v>60.0</v>
      </c>
      <c r="C43" s="2">
        <v>58.0</v>
      </c>
    </row>
    <row r="44" ht="15.75" customHeight="1">
      <c r="C44" s="2">
        <v>59.0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2">
        <v>1.0</v>
      </c>
      <c r="C1" s="2">
        <v>3.0</v>
      </c>
      <c r="D1" s="2">
        <v>5.0</v>
      </c>
      <c r="E1" s="2">
        <v>15.0</v>
      </c>
      <c r="F1" s="2">
        <v>20.0</v>
      </c>
      <c r="G1" s="2">
        <v>60.0</v>
      </c>
      <c r="H1" s="2">
        <v>1.0</v>
      </c>
    </row>
    <row r="2">
      <c r="A2" s="2">
        <v>1.0</v>
      </c>
      <c r="B2" s="1">
        <f t="shared" ref="B2:G2" si="1">B$1+$A2</f>
        <v>2</v>
      </c>
      <c r="C2" s="1">
        <f t="shared" si="1"/>
        <v>4</v>
      </c>
      <c r="D2" s="1">
        <f t="shared" si="1"/>
        <v>6</v>
      </c>
      <c r="E2" s="1">
        <f t="shared" si="1"/>
        <v>16</v>
      </c>
      <c r="F2" s="1">
        <f t="shared" si="1"/>
        <v>21</v>
      </c>
      <c r="G2" s="1">
        <f t="shared" si="1"/>
        <v>61</v>
      </c>
      <c r="H2" s="1">
        <v>2.0</v>
      </c>
    </row>
    <row r="3">
      <c r="A3" s="2">
        <v>3.0</v>
      </c>
      <c r="B3" s="1">
        <f t="shared" ref="B3:B7" si="3">B$1+$A3</f>
        <v>4</v>
      </c>
      <c r="C3" s="1">
        <f t="shared" ref="C3:C6" si="4">C$1+A3</f>
        <v>6</v>
      </c>
      <c r="D3" s="1">
        <f t="shared" ref="D3:G3" si="2">D$1+$A3</f>
        <v>8</v>
      </c>
      <c r="E3" s="1">
        <f t="shared" si="2"/>
        <v>18</v>
      </c>
      <c r="F3" s="1">
        <f t="shared" si="2"/>
        <v>23</v>
      </c>
      <c r="G3" s="1">
        <f t="shared" si="2"/>
        <v>63</v>
      </c>
      <c r="H3" s="1">
        <v>4.0</v>
      </c>
    </row>
    <row r="4">
      <c r="A4" s="2">
        <v>5.0</v>
      </c>
      <c r="B4" s="1">
        <f t="shared" si="3"/>
        <v>6</v>
      </c>
      <c r="C4" s="1">
        <f t="shared" si="4"/>
        <v>8</v>
      </c>
      <c r="D4" s="1">
        <f t="shared" ref="D4:G4" si="5">D$1+$A4</f>
        <v>10</v>
      </c>
      <c r="E4" s="1">
        <f t="shared" si="5"/>
        <v>20</v>
      </c>
      <c r="F4" s="1">
        <f t="shared" si="5"/>
        <v>25</v>
      </c>
      <c r="G4" s="1">
        <f t="shared" si="5"/>
        <v>65</v>
      </c>
      <c r="H4" s="1">
        <v>6.0</v>
      </c>
    </row>
    <row r="5">
      <c r="A5" s="2">
        <v>15.0</v>
      </c>
      <c r="B5" s="1">
        <f t="shared" si="3"/>
        <v>16</v>
      </c>
      <c r="C5" s="1">
        <f t="shared" si="4"/>
        <v>18</v>
      </c>
      <c r="D5" s="1">
        <f t="shared" ref="D5:G5" si="6">D$1+$A5</f>
        <v>20</v>
      </c>
      <c r="E5" s="1">
        <f t="shared" si="6"/>
        <v>30</v>
      </c>
      <c r="F5" s="1">
        <f t="shared" si="6"/>
        <v>35</v>
      </c>
      <c r="G5" s="1">
        <f t="shared" si="6"/>
        <v>75</v>
      </c>
      <c r="H5" s="1">
        <v>16.0</v>
      </c>
    </row>
    <row r="6">
      <c r="A6" s="2">
        <v>20.0</v>
      </c>
      <c r="B6" s="1">
        <f t="shared" si="3"/>
        <v>21</v>
      </c>
      <c r="C6" s="1">
        <f t="shared" si="4"/>
        <v>23</v>
      </c>
      <c r="D6" s="1">
        <f t="shared" ref="D6:G6" si="7">D$1+$A6</f>
        <v>25</v>
      </c>
      <c r="E6" s="1">
        <f t="shared" si="7"/>
        <v>35</v>
      </c>
      <c r="F6" s="1">
        <f t="shared" si="7"/>
        <v>40</v>
      </c>
      <c r="G6" s="1">
        <f t="shared" si="7"/>
        <v>80</v>
      </c>
      <c r="H6" s="1">
        <v>21.0</v>
      </c>
    </row>
    <row r="7">
      <c r="A7" s="2">
        <v>60.0</v>
      </c>
      <c r="B7" s="1">
        <f t="shared" si="3"/>
        <v>61</v>
      </c>
      <c r="C7" s="1">
        <f t="shared" ref="C7:G7" si="8">C$1+$A7</f>
        <v>63</v>
      </c>
      <c r="D7" s="1">
        <f t="shared" si="8"/>
        <v>65</v>
      </c>
      <c r="E7" s="1">
        <f t="shared" si="8"/>
        <v>75</v>
      </c>
      <c r="F7" s="1">
        <f t="shared" si="8"/>
        <v>80</v>
      </c>
      <c r="G7" s="1">
        <f t="shared" si="8"/>
        <v>120</v>
      </c>
      <c r="H7" s="1">
        <v>61.0</v>
      </c>
    </row>
    <row r="8">
      <c r="H8" s="2">
        <v>3.0</v>
      </c>
    </row>
    <row r="9">
      <c r="H9" s="1">
        <v>4.0</v>
      </c>
    </row>
    <row r="10">
      <c r="B10" s="2">
        <v>1.0</v>
      </c>
      <c r="H10" s="1">
        <v>6.0</v>
      </c>
    </row>
    <row r="11">
      <c r="B11" s="1">
        <v>2.0</v>
      </c>
      <c r="H11" s="1">
        <v>8.0</v>
      </c>
    </row>
    <row r="12">
      <c r="B12" s="1">
        <v>4.0</v>
      </c>
      <c r="H12" s="1">
        <v>18.0</v>
      </c>
    </row>
    <row r="13">
      <c r="B13" s="1">
        <v>6.0</v>
      </c>
      <c r="H13" s="1">
        <v>23.0</v>
      </c>
    </row>
    <row r="14">
      <c r="B14" s="1">
        <v>16.0</v>
      </c>
      <c r="H14" s="1">
        <v>63.0</v>
      </c>
    </row>
    <row r="15">
      <c r="B15" s="1">
        <v>21.0</v>
      </c>
      <c r="H15" s="2">
        <v>5.0</v>
      </c>
    </row>
    <row r="16">
      <c r="B16" s="1">
        <v>61.0</v>
      </c>
      <c r="H16" s="1">
        <v>6.0</v>
      </c>
    </row>
    <row r="17">
      <c r="B17" s="2">
        <v>3.0</v>
      </c>
      <c r="H17" s="1">
        <v>8.0</v>
      </c>
    </row>
    <row r="18">
      <c r="B18" s="1">
        <v>4.0</v>
      </c>
      <c r="H18" s="1">
        <v>10.0</v>
      </c>
    </row>
    <row r="19">
      <c r="B19" s="1">
        <v>6.0</v>
      </c>
      <c r="H19" s="1">
        <v>20.0</v>
      </c>
    </row>
    <row r="20">
      <c r="B20" s="1">
        <v>8.0</v>
      </c>
      <c r="H20" s="1">
        <v>25.0</v>
      </c>
    </row>
    <row r="21">
      <c r="B21" s="1">
        <v>18.0</v>
      </c>
      <c r="H21" s="1">
        <v>65.0</v>
      </c>
    </row>
    <row r="22">
      <c r="B22" s="1">
        <v>23.0</v>
      </c>
      <c r="H22" s="2">
        <v>15.0</v>
      </c>
    </row>
    <row r="23">
      <c r="B23" s="1">
        <v>63.0</v>
      </c>
      <c r="H23" s="1">
        <v>16.0</v>
      </c>
    </row>
    <row r="24">
      <c r="B24" s="2">
        <v>5.0</v>
      </c>
      <c r="H24" s="1">
        <v>18.0</v>
      </c>
    </row>
    <row r="25">
      <c r="B25" s="1">
        <v>6.0</v>
      </c>
      <c r="H25" s="1">
        <v>20.0</v>
      </c>
    </row>
    <row r="26">
      <c r="B26" s="1">
        <v>8.0</v>
      </c>
      <c r="H26" s="1">
        <v>30.0</v>
      </c>
    </row>
    <row r="27">
      <c r="B27" s="1">
        <v>10.0</v>
      </c>
      <c r="H27" s="1">
        <v>35.0</v>
      </c>
    </row>
    <row r="28">
      <c r="B28" s="1">
        <v>20.0</v>
      </c>
      <c r="H28" s="1">
        <v>75.0</v>
      </c>
    </row>
    <row r="29">
      <c r="B29" s="1">
        <v>25.0</v>
      </c>
      <c r="H29" s="2">
        <v>20.0</v>
      </c>
    </row>
    <row r="30">
      <c r="B30" s="1">
        <v>65.0</v>
      </c>
      <c r="H30" s="1">
        <v>21.0</v>
      </c>
    </row>
    <row r="31">
      <c r="B31" s="2">
        <v>15.0</v>
      </c>
      <c r="H31" s="1">
        <v>23.0</v>
      </c>
    </row>
    <row r="32">
      <c r="B32" s="1">
        <v>16.0</v>
      </c>
      <c r="H32" s="1">
        <v>25.0</v>
      </c>
    </row>
    <row r="33">
      <c r="B33" s="1">
        <v>18.0</v>
      </c>
      <c r="H33" s="1">
        <v>35.0</v>
      </c>
    </row>
    <row r="34">
      <c r="B34" s="1">
        <v>20.0</v>
      </c>
      <c r="H34" s="1">
        <v>40.0</v>
      </c>
    </row>
    <row r="35">
      <c r="B35" s="1">
        <v>30.0</v>
      </c>
      <c r="H35" s="1">
        <v>80.0</v>
      </c>
    </row>
    <row r="36">
      <c r="B36" s="1">
        <v>35.0</v>
      </c>
    </row>
    <row r="37">
      <c r="B37" s="1">
        <v>75.0</v>
      </c>
    </row>
    <row r="38">
      <c r="B38" s="2">
        <v>20.0</v>
      </c>
    </row>
    <row r="39">
      <c r="B39" s="1">
        <v>21.0</v>
      </c>
    </row>
    <row r="40">
      <c r="B40" s="1">
        <v>23.0</v>
      </c>
    </row>
    <row r="41">
      <c r="B41" s="1">
        <v>25.0</v>
      </c>
    </row>
    <row r="42">
      <c r="B42" s="1">
        <v>35.0</v>
      </c>
    </row>
    <row r="43">
      <c r="B43" s="1">
        <v>40.0</v>
      </c>
    </row>
    <row r="44">
      <c r="B44" s="1">
        <v>80.0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>
        <v>2.0</v>
      </c>
    </row>
    <row r="3">
      <c r="A3" s="2">
        <v>3.0</v>
      </c>
    </row>
    <row r="4">
      <c r="A4" s="1">
        <v>4.0</v>
      </c>
    </row>
    <row r="5">
      <c r="A5" s="2">
        <v>5.0</v>
      </c>
    </row>
    <row r="6">
      <c r="A6" s="1">
        <v>6.0</v>
      </c>
    </row>
    <row r="7">
      <c r="A7" s="1">
        <v>8.0</v>
      </c>
    </row>
    <row r="8">
      <c r="A8" s="1">
        <v>10.0</v>
      </c>
    </row>
    <row r="9">
      <c r="A9" s="2">
        <v>15.0</v>
      </c>
    </row>
    <row r="10">
      <c r="A10" s="1">
        <v>16.0</v>
      </c>
    </row>
    <row r="11">
      <c r="A11" s="1">
        <v>18.0</v>
      </c>
    </row>
    <row r="12">
      <c r="A12" s="2">
        <v>20.0</v>
      </c>
    </row>
    <row r="13">
      <c r="A13" s="1">
        <v>21.0</v>
      </c>
    </row>
    <row r="14">
      <c r="A14" s="1">
        <v>23.0</v>
      </c>
    </row>
    <row r="15">
      <c r="A15" s="1">
        <v>25.0</v>
      </c>
    </row>
    <row r="16">
      <c r="A16" s="1">
        <v>30.0</v>
      </c>
    </row>
    <row r="17">
      <c r="A17" s="1">
        <v>35.0</v>
      </c>
    </row>
    <row r="18">
      <c r="A18" s="1">
        <v>40.0</v>
      </c>
    </row>
    <row r="19">
      <c r="A19" s="1">
        <v>61.0</v>
      </c>
    </row>
    <row r="20">
      <c r="A20" s="1">
        <v>63.0</v>
      </c>
    </row>
    <row r="21">
      <c r="A21" s="1">
        <v>65.0</v>
      </c>
    </row>
    <row r="22">
      <c r="A22" s="1">
        <v>75.0</v>
      </c>
    </row>
    <row r="23">
      <c r="A23" s="1">
        <v>80.0</v>
      </c>
    </row>
    <row r="24">
      <c r="A24" s="1">
        <v>120.0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7" width="4.29"/>
  </cols>
  <sheetData>
    <row r="1">
      <c r="B1" s="2">
        <v>1.0</v>
      </c>
      <c r="C1" s="2">
        <v>3.0</v>
      </c>
      <c r="D1" s="2">
        <v>5.0</v>
      </c>
      <c r="E1" s="2">
        <v>15.0</v>
      </c>
      <c r="F1" s="2">
        <v>20.0</v>
      </c>
      <c r="G1" s="2">
        <v>60.0</v>
      </c>
    </row>
    <row r="2">
      <c r="A2" s="1">
        <v>2.0</v>
      </c>
      <c r="B2" s="1">
        <f t="shared" ref="B2:G2" si="1">$A2 + B$1</f>
        <v>3</v>
      </c>
      <c r="C2" s="1">
        <f t="shared" si="1"/>
        <v>5</v>
      </c>
      <c r="D2" s="1">
        <f t="shared" si="1"/>
        <v>7</v>
      </c>
      <c r="E2" s="1">
        <f t="shared" si="1"/>
        <v>17</v>
      </c>
      <c r="F2" s="1">
        <f t="shared" si="1"/>
        <v>22</v>
      </c>
      <c r="G2" s="1">
        <f t="shared" si="1"/>
        <v>62</v>
      </c>
    </row>
    <row r="3">
      <c r="A3" s="2">
        <v>3.0</v>
      </c>
      <c r="B3" s="1">
        <f t="shared" ref="B3:B24" si="3">$A2 + B$1</f>
        <v>3</v>
      </c>
      <c r="C3" s="1">
        <f t="shared" ref="C3:G3" si="2">$A3 + C$1</f>
        <v>6</v>
      </c>
      <c r="D3" s="1">
        <f t="shared" si="2"/>
        <v>8</v>
      </c>
      <c r="E3" s="1">
        <f t="shared" si="2"/>
        <v>18</v>
      </c>
      <c r="F3" s="1">
        <f t="shared" si="2"/>
        <v>23</v>
      </c>
      <c r="G3" s="1">
        <f t="shared" si="2"/>
        <v>63</v>
      </c>
    </row>
    <row r="4">
      <c r="A4" s="1">
        <v>4.0</v>
      </c>
      <c r="B4" s="1">
        <f t="shared" si="3"/>
        <v>4</v>
      </c>
      <c r="C4" s="1">
        <f t="shared" ref="C4:G4" si="4">$A4 + C$1</f>
        <v>7</v>
      </c>
      <c r="D4" s="1">
        <f t="shared" si="4"/>
        <v>9</v>
      </c>
      <c r="E4" s="1">
        <f t="shared" si="4"/>
        <v>19</v>
      </c>
      <c r="F4" s="1">
        <f t="shared" si="4"/>
        <v>24</v>
      </c>
      <c r="G4" s="1">
        <f t="shared" si="4"/>
        <v>64</v>
      </c>
    </row>
    <row r="5">
      <c r="A5" s="2">
        <v>5.0</v>
      </c>
      <c r="B5" s="1">
        <f t="shared" si="3"/>
        <v>5</v>
      </c>
      <c r="C5" s="1">
        <f t="shared" ref="C5:G5" si="5">$A5 + C$1</f>
        <v>8</v>
      </c>
      <c r="D5" s="1">
        <f t="shared" si="5"/>
        <v>10</v>
      </c>
      <c r="E5" s="1">
        <f t="shared" si="5"/>
        <v>20</v>
      </c>
      <c r="F5" s="1">
        <f t="shared" si="5"/>
        <v>25</v>
      </c>
      <c r="G5" s="1">
        <f t="shared" si="5"/>
        <v>65</v>
      </c>
    </row>
    <row r="6">
      <c r="A6" s="1">
        <v>6.0</v>
      </c>
      <c r="B6" s="1">
        <f t="shared" si="3"/>
        <v>6</v>
      </c>
      <c r="C6" s="1">
        <f t="shared" ref="C6:G6" si="6">$A6 + C$1</f>
        <v>9</v>
      </c>
      <c r="D6" s="1">
        <f t="shared" si="6"/>
        <v>11</v>
      </c>
      <c r="E6" s="1">
        <f t="shared" si="6"/>
        <v>21</v>
      </c>
      <c r="F6" s="1">
        <f t="shared" si="6"/>
        <v>26</v>
      </c>
      <c r="G6" s="1">
        <f t="shared" si="6"/>
        <v>66</v>
      </c>
    </row>
    <row r="7">
      <c r="A7" s="1">
        <v>8.0</v>
      </c>
      <c r="B7" s="1">
        <f t="shared" si="3"/>
        <v>7</v>
      </c>
      <c r="C7" s="1">
        <f t="shared" ref="C7:G7" si="7">$A7 + C$1</f>
        <v>11</v>
      </c>
      <c r="D7" s="1">
        <f t="shared" si="7"/>
        <v>13</v>
      </c>
      <c r="E7" s="1">
        <f t="shared" si="7"/>
        <v>23</v>
      </c>
      <c r="F7" s="1">
        <f t="shared" si="7"/>
        <v>28</v>
      </c>
      <c r="G7" s="1">
        <f t="shared" si="7"/>
        <v>68</v>
      </c>
    </row>
    <row r="8">
      <c r="A8" s="1">
        <v>10.0</v>
      </c>
      <c r="B8" s="1">
        <f t="shared" si="3"/>
        <v>9</v>
      </c>
      <c r="C8" s="1">
        <f t="shared" ref="C8:G8" si="8">$A8 + C$1</f>
        <v>13</v>
      </c>
      <c r="D8" s="1">
        <f t="shared" si="8"/>
        <v>15</v>
      </c>
      <c r="E8" s="1">
        <f t="shared" si="8"/>
        <v>25</v>
      </c>
      <c r="F8" s="1">
        <f t="shared" si="8"/>
        <v>30</v>
      </c>
      <c r="G8" s="1">
        <f t="shared" si="8"/>
        <v>70</v>
      </c>
    </row>
    <row r="9">
      <c r="A9" s="2">
        <v>15.0</v>
      </c>
      <c r="B9" s="1">
        <f t="shared" si="3"/>
        <v>11</v>
      </c>
      <c r="C9" s="1">
        <f t="shared" ref="C9:G9" si="9">$A9 + C$1</f>
        <v>18</v>
      </c>
      <c r="D9" s="1">
        <f t="shared" si="9"/>
        <v>20</v>
      </c>
      <c r="E9" s="1">
        <f t="shared" si="9"/>
        <v>30</v>
      </c>
      <c r="F9" s="1">
        <f t="shared" si="9"/>
        <v>35</v>
      </c>
      <c r="G9" s="1">
        <f t="shared" si="9"/>
        <v>75</v>
      </c>
    </row>
    <row r="10">
      <c r="A10" s="1">
        <v>16.0</v>
      </c>
      <c r="B10" s="1">
        <f t="shared" si="3"/>
        <v>16</v>
      </c>
      <c r="C10" s="1">
        <f t="shared" ref="C10:G10" si="10">$A10 + C$1</f>
        <v>19</v>
      </c>
      <c r="D10" s="1">
        <f t="shared" si="10"/>
        <v>21</v>
      </c>
      <c r="E10" s="1">
        <f t="shared" si="10"/>
        <v>31</v>
      </c>
      <c r="F10" s="1">
        <f t="shared" si="10"/>
        <v>36</v>
      </c>
      <c r="G10" s="1">
        <f t="shared" si="10"/>
        <v>76</v>
      </c>
    </row>
    <row r="11">
      <c r="A11" s="1">
        <v>18.0</v>
      </c>
      <c r="B11" s="1">
        <f t="shared" si="3"/>
        <v>17</v>
      </c>
      <c r="C11" s="1">
        <f t="shared" ref="C11:G11" si="11">$A11 + C$1</f>
        <v>21</v>
      </c>
      <c r="D11" s="1">
        <f t="shared" si="11"/>
        <v>23</v>
      </c>
      <c r="E11" s="1">
        <f t="shared" si="11"/>
        <v>33</v>
      </c>
      <c r="F11" s="1">
        <f t="shared" si="11"/>
        <v>38</v>
      </c>
      <c r="G11" s="1">
        <f t="shared" si="11"/>
        <v>78</v>
      </c>
    </row>
    <row r="12">
      <c r="A12" s="2">
        <v>20.0</v>
      </c>
      <c r="B12" s="1">
        <f t="shared" si="3"/>
        <v>19</v>
      </c>
      <c r="C12" s="1">
        <f t="shared" ref="C12:G12" si="12">$A12 + C$1</f>
        <v>23</v>
      </c>
      <c r="D12" s="1">
        <f t="shared" si="12"/>
        <v>25</v>
      </c>
      <c r="E12" s="1">
        <f t="shared" si="12"/>
        <v>35</v>
      </c>
      <c r="F12" s="1">
        <f t="shared" si="12"/>
        <v>40</v>
      </c>
      <c r="G12" s="1">
        <f t="shared" si="12"/>
        <v>80</v>
      </c>
    </row>
    <row r="13">
      <c r="A13" s="1">
        <v>21.0</v>
      </c>
      <c r="B13" s="1">
        <f t="shared" si="3"/>
        <v>21</v>
      </c>
      <c r="C13" s="1">
        <f t="shared" ref="C13:G13" si="13">$A13 + C$1</f>
        <v>24</v>
      </c>
      <c r="D13" s="1">
        <f t="shared" si="13"/>
        <v>26</v>
      </c>
      <c r="E13" s="1">
        <f t="shared" si="13"/>
        <v>36</v>
      </c>
      <c r="F13" s="1">
        <f t="shared" si="13"/>
        <v>41</v>
      </c>
      <c r="G13" s="1">
        <f t="shared" si="13"/>
        <v>81</v>
      </c>
    </row>
    <row r="14">
      <c r="A14" s="1">
        <v>23.0</v>
      </c>
      <c r="B14" s="1">
        <f t="shared" si="3"/>
        <v>22</v>
      </c>
      <c r="C14" s="1">
        <f t="shared" ref="C14:G14" si="14">$A14 + C$1</f>
        <v>26</v>
      </c>
      <c r="D14" s="1">
        <f t="shared" si="14"/>
        <v>28</v>
      </c>
      <c r="E14" s="1">
        <f t="shared" si="14"/>
        <v>38</v>
      </c>
      <c r="F14" s="1">
        <f t="shared" si="14"/>
        <v>43</v>
      </c>
      <c r="G14" s="1">
        <f t="shared" si="14"/>
        <v>83</v>
      </c>
    </row>
    <row r="15">
      <c r="A15" s="1">
        <v>25.0</v>
      </c>
      <c r="B15" s="1">
        <f t="shared" si="3"/>
        <v>24</v>
      </c>
      <c r="C15" s="1">
        <f t="shared" ref="C15:G15" si="15">$A15 + C$1</f>
        <v>28</v>
      </c>
      <c r="D15" s="1">
        <f t="shared" si="15"/>
        <v>30</v>
      </c>
      <c r="E15" s="1">
        <f t="shared" si="15"/>
        <v>40</v>
      </c>
      <c r="F15" s="1">
        <f t="shared" si="15"/>
        <v>45</v>
      </c>
      <c r="G15" s="1">
        <f t="shared" si="15"/>
        <v>85</v>
      </c>
    </row>
    <row r="16">
      <c r="A16" s="1">
        <v>30.0</v>
      </c>
      <c r="B16" s="1">
        <f t="shared" si="3"/>
        <v>26</v>
      </c>
      <c r="C16" s="1">
        <f t="shared" ref="C16:G16" si="16">$A16 + C$1</f>
        <v>33</v>
      </c>
      <c r="D16" s="1">
        <f t="shared" si="16"/>
        <v>35</v>
      </c>
      <c r="E16" s="1">
        <f t="shared" si="16"/>
        <v>45</v>
      </c>
      <c r="F16" s="1">
        <f t="shared" si="16"/>
        <v>50</v>
      </c>
      <c r="G16" s="1">
        <f t="shared" si="16"/>
        <v>90</v>
      </c>
    </row>
    <row r="17">
      <c r="A17" s="1">
        <v>35.0</v>
      </c>
      <c r="B17" s="1">
        <f t="shared" si="3"/>
        <v>31</v>
      </c>
      <c r="C17" s="1">
        <f t="shared" ref="C17:G17" si="17">$A17 + C$1</f>
        <v>38</v>
      </c>
      <c r="D17" s="1">
        <f t="shared" si="17"/>
        <v>40</v>
      </c>
      <c r="E17" s="1">
        <f t="shared" si="17"/>
        <v>50</v>
      </c>
      <c r="F17" s="1">
        <f t="shared" si="17"/>
        <v>55</v>
      </c>
      <c r="G17" s="1">
        <f t="shared" si="17"/>
        <v>95</v>
      </c>
    </row>
    <row r="18">
      <c r="A18" s="1">
        <v>40.0</v>
      </c>
      <c r="B18" s="1">
        <f t="shared" si="3"/>
        <v>36</v>
      </c>
      <c r="C18" s="1">
        <f t="shared" ref="C18:G18" si="18">$A18 + C$1</f>
        <v>43</v>
      </c>
      <c r="D18" s="1">
        <f t="shared" si="18"/>
        <v>45</v>
      </c>
      <c r="E18" s="1">
        <f t="shared" si="18"/>
        <v>55</v>
      </c>
      <c r="F18" s="1">
        <f t="shared" si="18"/>
        <v>60</v>
      </c>
      <c r="G18" s="1">
        <f t="shared" si="18"/>
        <v>100</v>
      </c>
    </row>
    <row r="19">
      <c r="A19" s="1">
        <v>61.0</v>
      </c>
      <c r="B19" s="1">
        <f t="shared" si="3"/>
        <v>41</v>
      </c>
      <c r="C19" s="1">
        <f t="shared" ref="C19:G19" si="19">$A19 + C$1</f>
        <v>64</v>
      </c>
      <c r="D19" s="1">
        <f t="shared" si="19"/>
        <v>66</v>
      </c>
      <c r="E19" s="1">
        <f t="shared" si="19"/>
        <v>76</v>
      </c>
      <c r="F19" s="1">
        <f t="shared" si="19"/>
        <v>81</v>
      </c>
      <c r="G19" s="1">
        <f t="shared" si="19"/>
        <v>121</v>
      </c>
    </row>
    <row r="20">
      <c r="A20" s="1">
        <v>63.0</v>
      </c>
      <c r="B20" s="1">
        <f t="shared" si="3"/>
        <v>62</v>
      </c>
      <c r="C20" s="1">
        <f t="shared" ref="C20:G20" si="20">$A20 + C$1</f>
        <v>66</v>
      </c>
      <c r="D20" s="1">
        <f t="shared" si="20"/>
        <v>68</v>
      </c>
      <c r="E20" s="1">
        <f t="shared" si="20"/>
        <v>78</v>
      </c>
      <c r="F20" s="1">
        <f t="shared" si="20"/>
        <v>83</v>
      </c>
      <c r="G20" s="1">
        <f t="shared" si="20"/>
        <v>123</v>
      </c>
    </row>
    <row r="21">
      <c r="A21" s="1">
        <v>65.0</v>
      </c>
      <c r="B21" s="1">
        <f t="shared" si="3"/>
        <v>64</v>
      </c>
      <c r="C21" s="1">
        <f t="shared" ref="C21:G21" si="21">$A21 + C$1</f>
        <v>68</v>
      </c>
      <c r="D21" s="1">
        <f t="shared" si="21"/>
        <v>70</v>
      </c>
      <c r="E21" s="1">
        <f t="shared" si="21"/>
        <v>80</v>
      </c>
      <c r="F21" s="1">
        <f t="shared" si="21"/>
        <v>85</v>
      </c>
      <c r="G21" s="1">
        <f t="shared" si="21"/>
        <v>125</v>
      </c>
    </row>
    <row r="22">
      <c r="A22" s="1">
        <v>75.0</v>
      </c>
      <c r="B22" s="1">
        <f t="shared" si="3"/>
        <v>66</v>
      </c>
      <c r="C22" s="1">
        <f t="shared" ref="C22:G22" si="22">$A22 + C$1</f>
        <v>78</v>
      </c>
      <c r="D22" s="1">
        <f t="shared" si="22"/>
        <v>80</v>
      </c>
      <c r="E22" s="1">
        <f t="shared" si="22"/>
        <v>90</v>
      </c>
      <c r="F22" s="1">
        <f t="shared" si="22"/>
        <v>95</v>
      </c>
      <c r="G22" s="1">
        <f t="shared" si="22"/>
        <v>135</v>
      </c>
    </row>
    <row r="23">
      <c r="A23" s="1">
        <v>80.0</v>
      </c>
      <c r="B23" s="1">
        <f t="shared" si="3"/>
        <v>76</v>
      </c>
      <c r="C23" s="1">
        <f t="shared" ref="C23:G23" si="23">$A23 + C$1</f>
        <v>83</v>
      </c>
      <c r="D23" s="1">
        <f t="shared" si="23"/>
        <v>85</v>
      </c>
      <c r="E23" s="1">
        <f t="shared" si="23"/>
        <v>95</v>
      </c>
      <c r="F23" s="1">
        <f t="shared" si="23"/>
        <v>100</v>
      </c>
      <c r="G23" s="1">
        <f t="shared" si="23"/>
        <v>140</v>
      </c>
    </row>
    <row r="24">
      <c r="A24" s="1">
        <v>120.0</v>
      </c>
      <c r="B24" s="1">
        <f t="shared" si="3"/>
        <v>81</v>
      </c>
      <c r="C24" s="1">
        <f t="shared" ref="C24:G24" si="24">$A24 + C$1</f>
        <v>123</v>
      </c>
      <c r="D24" s="1">
        <f t="shared" si="24"/>
        <v>125</v>
      </c>
      <c r="E24" s="1">
        <f t="shared" si="24"/>
        <v>135</v>
      </c>
      <c r="F24" s="1">
        <f t="shared" si="24"/>
        <v>140</v>
      </c>
      <c r="G24" s="1">
        <f t="shared" si="24"/>
        <v>180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3.0</v>
      </c>
      <c r="B1" s="1">
        <f t="shared" ref="B1:B55" si="1">501-A1</f>
        <v>498</v>
      </c>
    </row>
    <row r="2">
      <c r="A2" s="2">
        <v>5.0</v>
      </c>
      <c r="B2" s="1">
        <f t="shared" si="1"/>
        <v>496</v>
      </c>
    </row>
    <row r="3">
      <c r="A3" s="1">
        <v>7.0</v>
      </c>
      <c r="B3" s="1">
        <f t="shared" si="1"/>
        <v>494</v>
      </c>
    </row>
    <row r="4">
      <c r="A4" s="1">
        <v>9.0</v>
      </c>
      <c r="B4" s="1">
        <f t="shared" si="1"/>
        <v>492</v>
      </c>
    </row>
    <row r="5">
      <c r="A5" s="1">
        <v>11.0</v>
      </c>
      <c r="B5" s="1">
        <f t="shared" si="1"/>
        <v>490</v>
      </c>
    </row>
    <row r="6">
      <c r="A6" s="1">
        <v>13.0</v>
      </c>
      <c r="B6" s="1">
        <f t="shared" si="1"/>
        <v>488</v>
      </c>
    </row>
    <row r="7">
      <c r="A7" s="2">
        <v>15.0</v>
      </c>
      <c r="B7" s="1">
        <f t="shared" si="1"/>
        <v>486</v>
      </c>
    </row>
    <row r="8">
      <c r="A8" s="1">
        <v>16.0</v>
      </c>
      <c r="B8" s="1">
        <f t="shared" si="1"/>
        <v>485</v>
      </c>
    </row>
    <row r="9">
      <c r="A9" s="1">
        <v>19.0</v>
      </c>
      <c r="B9" s="1">
        <f t="shared" si="1"/>
        <v>482</v>
      </c>
    </row>
    <row r="10">
      <c r="A10" s="2">
        <v>20.0</v>
      </c>
      <c r="B10" s="1">
        <f t="shared" si="1"/>
        <v>481</v>
      </c>
    </row>
    <row r="11">
      <c r="A11" s="1">
        <v>21.0</v>
      </c>
      <c r="B11" s="1">
        <f t="shared" si="1"/>
        <v>480</v>
      </c>
    </row>
    <row r="12">
      <c r="A12" s="1">
        <v>22.0</v>
      </c>
      <c r="B12" s="1">
        <f t="shared" si="1"/>
        <v>479</v>
      </c>
    </row>
    <row r="13">
      <c r="A13" s="1">
        <v>23.0</v>
      </c>
      <c r="B13" s="1">
        <f t="shared" si="1"/>
        <v>478</v>
      </c>
    </row>
    <row r="14">
      <c r="A14" s="1">
        <v>24.0</v>
      </c>
      <c r="B14" s="1">
        <f t="shared" si="1"/>
        <v>477</v>
      </c>
    </row>
    <row r="15">
      <c r="A15" s="1">
        <v>25.0</v>
      </c>
      <c r="B15" s="1">
        <f t="shared" si="1"/>
        <v>476</v>
      </c>
    </row>
    <row r="16">
      <c r="A16" s="1">
        <v>26.0</v>
      </c>
      <c r="B16" s="1">
        <f t="shared" si="1"/>
        <v>475</v>
      </c>
    </row>
    <row r="17">
      <c r="A17" s="1">
        <v>28.0</v>
      </c>
      <c r="B17" s="1">
        <f t="shared" si="1"/>
        <v>473</v>
      </c>
    </row>
    <row r="18">
      <c r="A18" s="1">
        <v>30.0</v>
      </c>
      <c r="B18" s="1">
        <f t="shared" si="1"/>
        <v>471</v>
      </c>
    </row>
    <row r="19">
      <c r="A19" s="1">
        <v>31.0</v>
      </c>
      <c r="B19" s="1">
        <f t="shared" si="1"/>
        <v>470</v>
      </c>
    </row>
    <row r="20">
      <c r="A20" s="1">
        <v>33.0</v>
      </c>
      <c r="B20" s="1">
        <f t="shared" si="1"/>
        <v>468</v>
      </c>
    </row>
    <row r="21">
      <c r="A21" s="1">
        <v>35.0</v>
      </c>
      <c r="B21" s="1">
        <f t="shared" si="1"/>
        <v>466</v>
      </c>
    </row>
    <row r="22">
      <c r="A22" s="1">
        <v>36.0</v>
      </c>
      <c r="B22" s="1">
        <f t="shared" si="1"/>
        <v>465</v>
      </c>
    </row>
    <row r="23">
      <c r="A23" s="1">
        <v>38.0</v>
      </c>
      <c r="B23" s="1">
        <f t="shared" si="1"/>
        <v>463</v>
      </c>
    </row>
    <row r="24">
      <c r="A24" s="1">
        <v>40.0</v>
      </c>
      <c r="B24" s="1">
        <f t="shared" si="1"/>
        <v>461</v>
      </c>
    </row>
    <row r="25">
      <c r="A25" s="1">
        <v>41.0</v>
      </c>
      <c r="B25" s="1">
        <f t="shared" si="1"/>
        <v>460</v>
      </c>
    </row>
    <row r="26">
      <c r="A26" s="1">
        <v>43.0</v>
      </c>
      <c r="B26" s="1">
        <f t="shared" si="1"/>
        <v>458</v>
      </c>
    </row>
    <row r="27">
      <c r="A27" s="1">
        <v>45.0</v>
      </c>
      <c r="B27" s="1">
        <f t="shared" si="1"/>
        <v>456</v>
      </c>
    </row>
    <row r="28">
      <c r="A28" s="1">
        <v>50.0</v>
      </c>
      <c r="B28" s="1">
        <f t="shared" si="1"/>
        <v>451</v>
      </c>
    </row>
    <row r="29">
      <c r="A29" s="1">
        <v>55.0</v>
      </c>
      <c r="B29" s="1">
        <f t="shared" si="1"/>
        <v>446</v>
      </c>
    </row>
    <row r="30">
      <c r="A30" s="1">
        <v>60.0</v>
      </c>
      <c r="B30" s="1">
        <f t="shared" si="1"/>
        <v>441</v>
      </c>
    </row>
    <row r="31">
      <c r="A31" s="1">
        <v>61.0</v>
      </c>
      <c r="B31" s="1">
        <f t="shared" si="1"/>
        <v>440</v>
      </c>
    </row>
    <row r="32">
      <c r="A32" s="1">
        <v>62.0</v>
      </c>
      <c r="B32" s="1">
        <f t="shared" si="1"/>
        <v>439</v>
      </c>
    </row>
    <row r="33">
      <c r="A33" s="1">
        <v>63.0</v>
      </c>
      <c r="B33" s="1">
        <f t="shared" si="1"/>
        <v>438</v>
      </c>
    </row>
    <row r="34">
      <c r="A34" s="1">
        <v>64.0</v>
      </c>
      <c r="B34" s="1">
        <f t="shared" si="1"/>
        <v>437</v>
      </c>
    </row>
    <row r="35">
      <c r="A35" s="1">
        <v>65.0</v>
      </c>
      <c r="B35" s="1">
        <f t="shared" si="1"/>
        <v>436</v>
      </c>
    </row>
    <row r="36">
      <c r="A36" s="1">
        <v>66.0</v>
      </c>
      <c r="B36" s="1">
        <f t="shared" si="1"/>
        <v>435</v>
      </c>
    </row>
    <row r="37">
      <c r="A37" s="1">
        <v>68.0</v>
      </c>
      <c r="B37" s="1">
        <f t="shared" si="1"/>
        <v>433</v>
      </c>
    </row>
    <row r="38">
      <c r="A38" s="1">
        <v>70.0</v>
      </c>
      <c r="B38" s="1">
        <f t="shared" si="1"/>
        <v>431</v>
      </c>
    </row>
    <row r="39">
      <c r="A39" s="1">
        <v>75.0</v>
      </c>
      <c r="B39" s="1">
        <f t="shared" si="1"/>
        <v>426</v>
      </c>
    </row>
    <row r="40">
      <c r="A40" s="1">
        <v>76.0</v>
      </c>
      <c r="B40" s="1">
        <f t="shared" si="1"/>
        <v>425</v>
      </c>
    </row>
    <row r="41">
      <c r="A41" s="1">
        <v>78.0</v>
      </c>
      <c r="B41" s="1">
        <f t="shared" si="1"/>
        <v>423</v>
      </c>
    </row>
    <row r="42">
      <c r="A42" s="1">
        <v>80.0</v>
      </c>
      <c r="B42" s="1">
        <f t="shared" si="1"/>
        <v>421</v>
      </c>
    </row>
    <row r="43">
      <c r="A43" s="1">
        <v>81.0</v>
      </c>
      <c r="B43" s="1">
        <f t="shared" si="1"/>
        <v>420</v>
      </c>
    </row>
    <row r="44">
      <c r="A44" s="1">
        <v>83.0</v>
      </c>
      <c r="B44" s="1">
        <f t="shared" si="1"/>
        <v>418</v>
      </c>
    </row>
    <row r="45">
      <c r="A45" s="1">
        <v>85.0</v>
      </c>
      <c r="B45" s="1">
        <f t="shared" si="1"/>
        <v>416</v>
      </c>
    </row>
    <row r="46">
      <c r="A46" s="1">
        <v>90.0</v>
      </c>
      <c r="B46" s="1">
        <f t="shared" si="1"/>
        <v>411</v>
      </c>
    </row>
    <row r="47">
      <c r="A47" s="1">
        <v>95.0</v>
      </c>
      <c r="B47" s="1">
        <f t="shared" si="1"/>
        <v>406</v>
      </c>
    </row>
    <row r="48">
      <c r="A48" s="1">
        <v>100.0</v>
      </c>
      <c r="B48" s="1">
        <f t="shared" si="1"/>
        <v>401</v>
      </c>
    </row>
    <row r="49">
      <c r="A49" s="1">
        <v>120.0</v>
      </c>
      <c r="B49" s="1">
        <f t="shared" si="1"/>
        <v>381</v>
      </c>
    </row>
    <row r="50">
      <c r="A50" s="1">
        <v>121.0</v>
      </c>
      <c r="B50" s="1">
        <f t="shared" si="1"/>
        <v>380</v>
      </c>
    </row>
    <row r="51">
      <c r="A51" s="1">
        <v>123.0</v>
      </c>
      <c r="B51" s="1">
        <f t="shared" si="1"/>
        <v>378</v>
      </c>
    </row>
    <row r="52">
      <c r="A52" s="1">
        <v>125.0</v>
      </c>
      <c r="B52" s="1">
        <f t="shared" si="1"/>
        <v>376</v>
      </c>
    </row>
    <row r="53">
      <c r="A53" s="1">
        <v>135.0</v>
      </c>
      <c r="B53" s="1">
        <f t="shared" si="1"/>
        <v>366</v>
      </c>
    </row>
    <row r="54">
      <c r="A54" s="1">
        <v>140.0</v>
      </c>
      <c r="B54" s="1">
        <f t="shared" si="1"/>
        <v>361</v>
      </c>
    </row>
    <row r="55">
      <c r="A55" s="1">
        <v>180.0</v>
      </c>
      <c r="B55" s="1">
        <f t="shared" si="1"/>
        <v>321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23.0</v>
      </c>
    </row>
    <row r="2">
      <c r="A2" s="2">
        <v>29.0</v>
      </c>
    </row>
    <row r="3">
      <c r="A3" s="2">
        <v>31.0</v>
      </c>
    </row>
    <row r="4">
      <c r="A4" s="2">
        <v>35.0</v>
      </c>
    </row>
    <row r="5">
      <c r="A5" s="2">
        <v>41.0</v>
      </c>
    </row>
    <row r="6">
      <c r="A6" s="2">
        <v>43.0</v>
      </c>
    </row>
    <row r="7">
      <c r="A7" s="2">
        <v>46.0</v>
      </c>
    </row>
    <row r="8">
      <c r="A8" s="2">
        <v>47.0</v>
      </c>
    </row>
    <row r="9">
      <c r="A9" s="2">
        <v>49.0</v>
      </c>
    </row>
    <row r="10">
      <c r="A10" s="2">
        <v>55.0</v>
      </c>
    </row>
    <row r="11">
      <c r="A11" s="2">
        <v>56.0</v>
      </c>
    </row>
    <row r="12">
      <c r="A12" s="2">
        <v>58.0</v>
      </c>
    </row>
    <row r="13">
      <c r="A13" s="2">
        <v>59.0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4" width="15.57"/>
    <col customWidth="1" min="5" max="27" width="8.71"/>
  </cols>
  <sheetData>
    <row r="1">
      <c r="A1" s="2"/>
      <c r="B1" s="2" t="s">
        <v>98</v>
      </c>
      <c r="C1" s="2" t="s">
        <v>99</v>
      </c>
    </row>
    <row r="2">
      <c r="A2" s="2">
        <v>501.0</v>
      </c>
      <c r="B2" s="2" t="s">
        <v>98</v>
      </c>
    </row>
    <row r="3">
      <c r="A3" s="2">
        <v>500.0</v>
      </c>
      <c r="B3" s="2" t="s">
        <v>98</v>
      </c>
    </row>
    <row r="4">
      <c r="A4" s="2">
        <v>499.0</v>
      </c>
      <c r="B4" s="2" t="s">
        <v>98</v>
      </c>
    </row>
    <row r="5">
      <c r="A5" s="2">
        <v>498.0</v>
      </c>
      <c r="B5" s="2" t="s">
        <v>98</v>
      </c>
    </row>
    <row r="6">
      <c r="A6" s="2">
        <v>497.0</v>
      </c>
      <c r="B6" s="2" t="s">
        <v>98</v>
      </c>
    </row>
    <row r="7">
      <c r="A7" s="2">
        <v>496.0</v>
      </c>
      <c r="B7" s="2" t="s">
        <v>98</v>
      </c>
    </row>
    <row r="8">
      <c r="A8" s="2">
        <v>495.0</v>
      </c>
      <c r="B8" s="2" t="s">
        <v>98</v>
      </c>
    </row>
    <row r="9">
      <c r="A9" s="2">
        <v>494.0</v>
      </c>
      <c r="B9" s="2" t="s">
        <v>98</v>
      </c>
    </row>
    <row r="10">
      <c r="A10" s="2">
        <v>493.0</v>
      </c>
      <c r="B10" s="2" t="s">
        <v>98</v>
      </c>
    </row>
    <row r="11">
      <c r="A11" s="2">
        <v>492.0</v>
      </c>
      <c r="B11" s="2" t="s">
        <v>98</v>
      </c>
    </row>
    <row r="12">
      <c r="A12" s="2">
        <v>491.0</v>
      </c>
      <c r="B12" s="2" t="s">
        <v>98</v>
      </c>
    </row>
    <row r="13">
      <c r="A13" s="2">
        <v>490.0</v>
      </c>
      <c r="B13" s="2" t="s">
        <v>98</v>
      </c>
    </row>
    <row r="14">
      <c r="A14" s="15">
        <v>489.0</v>
      </c>
      <c r="B14" s="2" t="s">
        <v>98</v>
      </c>
    </row>
    <row r="15">
      <c r="A15" s="2">
        <v>488.0</v>
      </c>
      <c r="B15" s="2" t="s">
        <v>98</v>
      </c>
    </row>
    <row r="16">
      <c r="A16" s="2">
        <v>487.0</v>
      </c>
      <c r="B16" s="2" t="s">
        <v>98</v>
      </c>
    </row>
    <row r="17">
      <c r="A17" s="15">
        <v>486.0</v>
      </c>
      <c r="B17" s="2" t="s">
        <v>98</v>
      </c>
    </row>
    <row r="18">
      <c r="A18" s="15">
        <v>485.0</v>
      </c>
      <c r="B18" s="2" t="s">
        <v>98</v>
      </c>
    </row>
    <row r="19">
      <c r="A19" s="2">
        <v>484.0</v>
      </c>
      <c r="B19" s="2" t="s">
        <v>98</v>
      </c>
    </row>
    <row r="20">
      <c r="A20" s="15">
        <v>483.0</v>
      </c>
      <c r="B20" s="2" t="s">
        <v>98</v>
      </c>
    </row>
    <row r="21">
      <c r="A21" s="15">
        <v>482.0</v>
      </c>
      <c r="B21" s="2" t="s">
        <v>98</v>
      </c>
    </row>
    <row r="22" ht="15.75" customHeight="1">
      <c r="A22" s="2">
        <v>481.0</v>
      </c>
      <c r="B22" s="2" t="s">
        <v>98</v>
      </c>
    </row>
    <row r="23" ht="15.75" customHeight="1">
      <c r="A23" s="2">
        <v>480.0</v>
      </c>
      <c r="B23" s="2" t="s">
        <v>98</v>
      </c>
    </row>
    <row r="24" ht="15.75" customHeight="1">
      <c r="A24" s="15">
        <v>479.0</v>
      </c>
      <c r="B24" s="2" t="s">
        <v>98</v>
      </c>
    </row>
    <row r="25" ht="15.75" customHeight="1">
      <c r="A25" s="2">
        <v>478.0</v>
      </c>
      <c r="B25" s="2" t="s">
        <v>98</v>
      </c>
    </row>
    <row r="26" ht="15.75" customHeight="1">
      <c r="A26" s="2">
        <v>477.0</v>
      </c>
      <c r="B26" s="2" t="s">
        <v>98</v>
      </c>
    </row>
    <row r="27" ht="15.75" customHeight="1">
      <c r="A27" s="2">
        <v>476.0</v>
      </c>
      <c r="B27" s="2" t="s">
        <v>98</v>
      </c>
    </row>
    <row r="28" ht="15.75" customHeight="1">
      <c r="A28" s="2">
        <v>475.0</v>
      </c>
      <c r="B28" s="2" t="s">
        <v>98</v>
      </c>
    </row>
    <row r="29" ht="15.75" customHeight="1">
      <c r="A29" s="2">
        <v>474.0</v>
      </c>
      <c r="B29" s="2" t="s">
        <v>98</v>
      </c>
    </row>
    <row r="30" ht="15.75" customHeight="1">
      <c r="A30" s="2">
        <v>473.0</v>
      </c>
      <c r="B30" s="2" t="s">
        <v>98</v>
      </c>
    </row>
    <row r="31" ht="15.75" customHeight="1">
      <c r="A31" s="2">
        <v>472.0</v>
      </c>
      <c r="B31" s="2" t="s">
        <v>98</v>
      </c>
    </row>
    <row r="32" ht="15.75" customHeight="1">
      <c r="A32" s="2">
        <v>471.0</v>
      </c>
      <c r="B32" s="2" t="s">
        <v>98</v>
      </c>
    </row>
    <row r="33" ht="15.75" customHeight="1">
      <c r="A33" s="2">
        <v>470.0</v>
      </c>
      <c r="B33" s="2" t="s">
        <v>98</v>
      </c>
    </row>
    <row r="34" ht="15.75" customHeight="1">
      <c r="A34" s="2">
        <v>469.0</v>
      </c>
      <c r="B34" s="2" t="s">
        <v>98</v>
      </c>
    </row>
    <row r="35" ht="15.75" customHeight="1">
      <c r="A35" s="2">
        <v>468.0</v>
      </c>
      <c r="B35" s="2" t="s">
        <v>98</v>
      </c>
    </row>
    <row r="36" ht="15.75" customHeight="1">
      <c r="A36" s="2">
        <v>467.0</v>
      </c>
      <c r="B36" s="2" t="s">
        <v>98</v>
      </c>
    </row>
    <row r="37" ht="15.75" customHeight="1">
      <c r="A37" s="2">
        <v>466.0</v>
      </c>
      <c r="B37" s="2" t="s">
        <v>98</v>
      </c>
    </row>
    <row r="38" ht="15.75" customHeight="1">
      <c r="A38" s="2">
        <v>465.0</v>
      </c>
      <c r="B38" s="2" t="s">
        <v>98</v>
      </c>
    </row>
    <row r="39" ht="15.75" customHeight="1">
      <c r="A39" s="2">
        <v>464.0</v>
      </c>
      <c r="B39" s="2" t="s">
        <v>98</v>
      </c>
    </row>
    <row r="40" ht="15.75" customHeight="1">
      <c r="A40" s="2">
        <v>463.0</v>
      </c>
      <c r="B40" s="2" t="s">
        <v>98</v>
      </c>
    </row>
    <row r="41" ht="15.75" customHeight="1">
      <c r="A41" s="2">
        <v>462.0</v>
      </c>
      <c r="B41" s="2" t="s">
        <v>98</v>
      </c>
    </row>
    <row r="42" ht="15.75" customHeight="1">
      <c r="A42" s="2">
        <v>461.0</v>
      </c>
      <c r="B42" s="2" t="s">
        <v>98</v>
      </c>
    </row>
    <row r="43" ht="15.75" customHeight="1">
      <c r="A43" s="2">
        <v>460.0</v>
      </c>
      <c r="B43" s="2" t="s">
        <v>98</v>
      </c>
    </row>
    <row r="44" ht="15.75" customHeight="1">
      <c r="A44" s="2">
        <v>459.0</v>
      </c>
      <c r="B44" s="2" t="s">
        <v>98</v>
      </c>
    </row>
    <row r="45" ht="15.75" customHeight="1">
      <c r="A45" s="2">
        <v>458.0</v>
      </c>
      <c r="B45" s="2" t="s">
        <v>98</v>
      </c>
    </row>
    <row r="46" ht="15.75" customHeight="1">
      <c r="A46" s="2">
        <v>457.0</v>
      </c>
      <c r="B46" s="2" t="s">
        <v>98</v>
      </c>
    </row>
    <row r="47" ht="15.75" customHeight="1">
      <c r="A47" s="2">
        <v>456.0</v>
      </c>
      <c r="B47" s="2" t="s">
        <v>98</v>
      </c>
    </row>
    <row r="48" ht="15.75" customHeight="1">
      <c r="A48" s="2">
        <v>455.0</v>
      </c>
      <c r="B48" s="2" t="s">
        <v>98</v>
      </c>
    </row>
    <row r="49" ht="15.75" customHeight="1">
      <c r="A49" s="2">
        <v>454.0</v>
      </c>
      <c r="B49" s="2" t="s">
        <v>98</v>
      </c>
    </row>
    <row r="50" ht="15.75" customHeight="1">
      <c r="A50" s="2">
        <v>453.0</v>
      </c>
      <c r="B50" s="2" t="s">
        <v>98</v>
      </c>
    </row>
    <row r="51" ht="15.75" customHeight="1">
      <c r="A51" s="2">
        <v>452.0</v>
      </c>
      <c r="B51" s="2" t="s">
        <v>98</v>
      </c>
    </row>
    <row r="52" ht="15.75" customHeight="1">
      <c r="A52" s="2">
        <v>451.0</v>
      </c>
      <c r="B52" s="2" t="s">
        <v>98</v>
      </c>
    </row>
    <row r="53" ht="15.75" customHeight="1">
      <c r="A53" s="2">
        <v>450.0</v>
      </c>
      <c r="B53" s="2" t="s">
        <v>98</v>
      </c>
    </row>
    <row r="54" ht="15.75" customHeight="1">
      <c r="A54" s="2">
        <v>449.0</v>
      </c>
      <c r="B54" s="2" t="s">
        <v>98</v>
      </c>
    </row>
    <row r="55" ht="15.75" customHeight="1">
      <c r="A55" s="2">
        <v>448.0</v>
      </c>
      <c r="B55" s="2" t="s">
        <v>98</v>
      </c>
    </row>
    <row r="56" ht="15.75" customHeight="1">
      <c r="A56" s="2">
        <v>447.0</v>
      </c>
      <c r="B56" s="2" t="s">
        <v>98</v>
      </c>
    </row>
    <row r="57" ht="15.75" customHeight="1">
      <c r="A57" s="2">
        <v>446.0</v>
      </c>
      <c r="B57" s="2" t="s">
        <v>98</v>
      </c>
    </row>
    <row r="58" ht="15.75" customHeight="1">
      <c r="A58" s="2">
        <v>445.0</v>
      </c>
      <c r="B58" s="2" t="s">
        <v>98</v>
      </c>
    </row>
    <row r="59" ht="15.75" customHeight="1">
      <c r="A59" s="2">
        <v>444.0</v>
      </c>
      <c r="B59" s="2" t="s">
        <v>98</v>
      </c>
    </row>
    <row r="60" ht="15.75" customHeight="1">
      <c r="A60" s="2">
        <v>443.0</v>
      </c>
      <c r="B60" s="2" t="s">
        <v>98</v>
      </c>
    </row>
    <row r="61" ht="15.75" customHeight="1">
      <c r="A61" s="2">
        <v>442.0</v>
      </c>
      <c r="B61" s="2" t="s">
        <v>98</v>
      </c>
    </row>
    <row r="62" ht="15.75" customHeight="1">
      <c r="A62" s="2">
        <v>441.0</v>
      </c>
      <c r="B62" s="2" t="s">
        <v>98</v>
      </c>
    </row>
    <row r="63" ht="15.75" customHeight="1">
      <c r="A63" s="2">
        <v>440.0</v>
      </c>
      <c r="B63" s="2" t="s">
        <v>98</v>
      </c>
    </row>
    <row r="64" ht="15.75" customHeight="1">
      <c r="A64" s="2">
        <v>439.0</v>
      </c>
      <c r="B64" s="2" t="s">
        <v>98</v>
      </c>
    </row>
    <row r="65" ht="15.75" customHeight="1">
      <c r="A65" s="2">
        <v>438.0</v>
      </c>
      <c r="B65" s="2" t="s">
        <v>98</v>
      </c>
    </row>
    <row r="66" ht="15.75" customHeight="1">
      <c r="A66" s="2">
        <v>437.0</v>
      </c>
      <c r="B66" s="2" t="s">
        <v>98</v>
      </c>
    </row>
    <row r="67" ht="15.75" customHeight="1">
      <c r="A67" s="2">
        <v>436.0</v>
      </c>
      <c r="B67" s="2" t="s">
        <v>98</v>
      </c>
    </row>
    <row r="68" ht="15.75" customHeight="1">
      <c r="A68" s="2">
        <v>435.0</v>
      </c>
      <c r="B68" s="2" t="s">
        <v>98</v>
      </c>
    </row>
    <row r="69" ht="15.75" customHeight="1">
      <c r="A69" s="2">
        <v>434.0</v>
      </c>
      <c r="B69" s="2" t="s">
        <v>98</v>
      </c>
    </row>
    <row r="70" ht="15.75" customHeight="1">
      <c r="A70" s="2">
        <v>433.0</v>
      </c>
      <c r="B70" s="2" t="s">
        <v>98</v>
      </c>
    </row>
    <row r="71" ht="15.75" customHeight="1">
      <c r="A71" s="2">
        <v>432.0</v>
      </c>
      <c r="B71" s="2" t="s">
        <v>98</v>
      </c>
    </row>
    <row r="72" ht="15.75" customHeight="1">
      <c r="A72" s="2">
        <v>431.0</v>
      </c>
      <c r="B72" s="2" t="s">
        <v>98</v>
      </c>
    </row>
    <row r="73" ht="15.75" customHeight="1">
      <c r="A73" s="2">
        <v>430.0</v>
      </c>
      <c r="B73" s="2" t="s">
        <v>98</v>
      </c>
    </row>
    <row r="74" ht="15.75" customHeight="1">
      <c r="A74" s="2">
        <v>429.0</v>
      </c>
      <c r="B74" s="2" t="s">
        <v>98</v>
      </c>
    </row>
    <row r="75" ht="15.75" customHeight="1">
      <c r="A75" s="2">
        <v>428.0</v>
      </c>
      <c r="B75" s="2" t="s">
        <v>98</v>
      </c>
    </row>
    <row r="76" ht="15.75" customHeight="1">
      <c r="A76" s="2">
        <v>427.0</v>
      </c>
      <c r="B76" s="2" t="s">
        <v>98</v>
      </c>
    </row>
    <row r="77" ht="15.75" customHeight="1">
      <c r="A77" s="2">
        <v>426.0</v>
      </c>
      <c r="B77" s="2" t="s">
        <v>98</v>
      </c>
    </row>
    <row r="78" ht="15.75" customHeight="1">
      <c r="A78" s="2">
        <v>425.0</v>
      </c>
      <c r="B78" s="2" t="s">
        <v>98</v>
      </c>
    </row>
    <row r="79" ht="15.75" customHeight="1">
      <c r="A79" s="2">
        <v>424.0</v>
      </c>
      <c r="B79" s="2" t="s">
        <v>98</v>
      </c>
    </row>
    <row r="80" ht="15.75" customHeight="1">
      <c r="A80" s="2">
        <v>423.0</v>
      </c>
      <c r="B80" s="2" t="s">
        <v>98</v>
      </c>
    </row>
    <row r="81" ht="15.75" customHeight="1">
      <c r="A81" s="2">
        <v>422.0</v>
      </c>
      <c r="B81" s="2" t="s">
        <v>98</v>
      </c>
    </row>
    <row r="82" ht="15.75" customHeight="1">
      <c r="A82" s="2">
        <v>421.0</v>
      </c>
      <c r="B82" s="2" t="s">
        <v>98</v>
      </c>
    </row>
    <row r="83" ht="15.75" customHeight="1">
      <c r="A83" s="2">
        <v>420.0</v>
      </c>
      <c r="B83" s="2" t="s">
        <v>98</v>
      </c>
    </row>
    <row r="84" ht="15.75" customHeight="1">
      <c r="A84" s="2">
        <v>419.0</v>
      </c>
      <c r="B84" s="2" t="s">
        <v>98</v>
      </c>
    </row>
    <row r="85" ht="15.75" customHeight="1">
      <c r="A85" s="2">
        <v>418.0</v>
      </c>
      <c r="B85" s="2" t="s">
        <v>98</v>
      </c>
    </row>
    <row r="86" ht="15.75" customHeight="1">
      <c r="A86" s="2">
        <v>417.0</v>
      </c>
      <c r="B86" s="2" t="s">
        <v>98</v>
      </c>
    </row>
    <row r="87" ht="15.75" customHeight="1">
      <c r="A87" s="2">
        <v>416.0</v>
      </c>
      <c r="B87" s="2" t="s">
        <v>98</v>
      </c>
    </row>
    <row r="88" ht="15.75" customHeight="1">
      <c r="A88" s="2">
        <v>415.0</v>
      </c>
      <c r="B88" s="2" t="s">
        <v>98</v>
      </c>
    </row>
    <row r="89" ht="15.75" customHeight="1">
      <c r="A89" s="2">
        <v>414.0</v>
      </c>
      <c r="B89" s="2" t="s">
        <v>98</v>
      </c>
    </row>
    <row r="90" ht="15.75" customHeight="1">
      <c r="A90" s="2">
        <v>413.0</v>
      </c>
      <c r="B90" s="2" t="s">
        <v>98</v>
      </c>
    </row>
    <row r="91" ht="15.75" customHeight="1">
      <c r="A91" s="2">
        <v>412.0</v>
      </c>
      <c r="B91" s="2" t="s">
        <v>98</v>
      </c>
    </row>
    <row r="92" ht="15.75" customHeight="1">
      <c r="A92" s="2">
        <v>411.0</v>
      </c>
      <c r="B92" s="2" t="s">
        <v>98</v>
      </c>
    </row>
    <row r="93" ht="15.75" customHeight="1">
      <c r="A93" s="2">
        <v>410.0</v>
      </c>
      <c r="B93" s="2" t="s">
        <v>98</v>
      </c>
    </row>
    <row r="94" ht="15.75" customHeight="1">
      <c r="A94" s="2">
        <v>409.0</v>
      </c>
      <c r="B94" s="2" t="s">
        <v>98</v>
      </c>
    </row>
    <row r="95" ht="15.75" customHeight="1">
      <c r="A95" s="2">
        <v>408.0</v>
      </c>
      <c r="B95" s="2" t="s">
        <v>98</v>
      </c>
    </row>
    <row r="96" ht="15.75" customHeight="1">
      <c r="A96" s="2">
        <v>407.0</v>
      </c>
      <c r="B96" s="2" t="s">
        <v>98</v>
      </c>
    </row>
    <row r="97" ht="15.75" customHeight="1">
      <c r="A97" s="2">
        <v>406.0</v>
      </c>
      <c r="B97" s="2" t="s">
        <v>98</v>
      </c>
    </row>
    <row r="98" ht="15.75" customHeight="1">
      <c r="A98" s="2">
        <v>405.0</v>
      </c>
      <c r="B98" s="2" t="s">
        <v>98</v>
      </c>
    </row>
    <row r="99" ht="15.75" customHeight="1">
      <c r="A99" s="2">
        <v>404.0</v>
      </c>
      <c r="B99" s="2" t="s">
        <v>98</v>
      </c>
    </row>
    <row r="100" ht="15.75" customHeight="1">
      <c r="A100" s="2">
        <v>403.0</v>
      </c>
      <c r="B100" s="2" t="s">
        <v>98</v>
      </c>
    </row>
    <row r="101" ht="15.75" customHeight="1">
      <c r="A101" s="2">
        <v>402.0</v>
      </c>
      <c r="B101" s="2" t="s">
        <v>98</v>
      </c>
    </row>
    <row r="102" ht="15.75" customHeight="1">
      <c r="A102" s="2">
        <v>401.0</v>
      </c>
      <c r="B102" s="2" t="s">
        <v>98</v>
      </c>
    </row>
    <row r="103" ht="15.75" customHeight="1">
      <c r="A103" s="2">
        <v>400.0</v>
      </c>
      <c r="B103" s="2" t="s">
        <v>98</v>
      </c>
    </row>
    <row r="104" ht="15.75" customHeight="1">
      <c r="A104" s="2">
        <v>399.0</v>
      </c>
      <c r="B104" s="2" t="s">
        <v>98</v>
      </c>
    </row>
    <row r="105" ht="15.75" customHeight="1">
      <c r="A105" s="2">
        <v>398.0</v>
      </c>
      <c r="B105" s="2" t="s">
        <v>98</v>
      </c>
    </row>
    <row r="106" ht="15.75" customHeight="1">
      <c r="A106" s="2">
        <v>397.0</v>
      </c>
      <c r="B106" s="2" t="s">
        <v>98</v>
      </c>
    </row>
    <row r="107" ht="15.75" customHeight="1">
      <c r="A107" s="2">
        <v>396.0</v>
      </c>
      <c r="B107" s="2" t="s">
        <v>98</v>
      </c>
    </row>
    <row r="108" ht="15.75" customHeight="1">
      <c r="A108" s="2">
        <v>395.0</v>
      </c>
      <c r="B108" s="2" t="s">
        <v>98</v>
      </c>
    </row>
    <row r="109" ht="15.75" customHeight="1">
      <c r="A109" s="2">
        <v>394.0</v>
      </c>
      <c r="B109" s="2" t="s">
        <v>98</v>
      </c>
    </row>
    <row r="110" ht="15.75" customHeight="1">
      <c r="A110" s="2">
        <v>393.0</v>
      </c>
      <c r="B110" s="2" t="s">
        <v>98</v>
      </c>
    </row>
    <row r="111" ht="15.75" customHeight="1">
      <c r="A111" s="2">
        <v>392.0</v>
      </c>
      <c r="B111" s="2" t="s">
        <v>98</v>
      </c>
    </row>
    <row r="112" ht="15.75" customHeight="1">
      <c r="A112" s="2">
        <v>391.0</v>
      </c>
      <c r="B112" s="2" t="s">
        <v>98</v>
      </c>
    </row>
    <row r="113" ht="15.75" customHeight="1">
      <c r="A113" s="2">
        <v>390.0</v>
      </c>
      <c r="B113" s="2" t="s">
        <v>98</v>
      </c>
    </row>
    <row r="114" ht="15.75" customHeight="1">
      <c r="A114" s="2">
        <v>389.0</v>
      </c>
      <c r="B114" s="2" t="s">
        <v>98</v>
      </c>
    </row>
    <row r="115" ht="15.75" customHeight="1">
      <c r="A115" s="2">
        <v>388.0</v>
      </c>
      <c r="B115" s="2" t="s">
        <v>98</v>
      </c>
    </row>
    <row r="116" ht="15.75" customHeight="1">
      <c r="A116" s="2">
        <v>387.0</v>
      </c>
      <c r="B116" s="2" t="s">
        <v>98</v>
      </c>
    </row>
    <row r="117" ht="15.75" customHeight="1">
      <c r="A117" s="2">
        <v>386.0</v>
      </c>
      <c r="B117" s="2" t="s">
        <v>98</v>
      </c>
    </row>
    <row r="118" ht="15.75" customHeight="1">
      <c r="A118" s="2">
        <v>385.0</v>
      </c>
      <c r="B118" s="2" t="s">
        <v>98</v>
      </c>
    </row>
    <row r="119" ht="15.75" customHeight="1">
      <c r="A119" s="2">
        <v>384.0</v>
      </c>
      <c r="B119" s="2" t="s">
        <v>98</v>
      </c>
    </row>
    <row r="120" ht="15.75" customHeight="1">
      <c r="A120" s="2">
        <v>383.0</v>
      </c>
      <c r="B120" s="2" t="s">
        <v>98</v>
      </c>
    </row>
    <row r="121" ht="15.75" customHeight="1">
      <c r="A121" s="2">
        <v>382.0</v>
      </c>
      <c r="B121" s="2" t="s">
        <v>98</v>
      </c>
    </row>
    <row r="122" ht="15.75" customHeight="1">
      <c r="A122" s="2">
        <v>381.0</v>
      </c>
      <c r="B122" s="2" t="s">
        <v>98</v>
      </c>
    </row>
    <row r="123" ht="15.75" customHeight="1">
      <c r="A123" s="2">
        <v>380.0</v>
      </c>
      <c r="B123" s="2" t="s">
        <v>98</v>
      </c>
    </row>
    <row r="124" ht="15.75" customHeight="1">
      <c r="A124" s="2">
        <v>379.0</v>
      </c>
      <c r="B124" s="2" t="s">
        <v>98</v>
      </c>
    </row>
    <row r="125" ht="15.75" customHeight="1">
      <c r="A125" s="2">
        <v>378.0</v>
      </c>
      <c r="B125" s="2" t="s">
        <v>98</v>
      </c>
    </row>
    <row r="126" ht="15.75" customHeight="1">
      <c r="A126" s="2">
        <v>377.0</v>
      </c>
      <c r="B126" s="2" t="s">
        <v>98</v>
      </c>
    </row>
    <row r="127" ht="15.75" customHeight="1">
      <c r="A127" s="2">
        <v>376.0</v>
      </c>
      <c r="B127" s="2" t="s">
        <v>98</v>
      </c>
    </row>
    <row r="128" ht="15.75" customHeight="1">
      <c r="A128" s="2">
        <v>375.0</v>
      </c>
      <c r="B128" s="2" t="s">
        <v>98</v>
      </c>
    </row>
    <row r="129" ht="15.75" customHeight="1">
      <c r="A129" s="2">
        <v>374.0</v>
      </c>
      <c r="B129" s="2" t="s">
        <v>98</v>
      </c>
    </row>
    <row r="130" ht="15.75" customHeight="1">
      <c r="A130" s="2">
        <v>373.0</v>
      </c>
      <c r="B130" s="2" t="s">
        <v>98</v>
      </c>
    </row>
    <row r="131" ht="15.75" customHeight="1">
      <c r="A131" s="2">
        <v>372.0</v>
      </c>
      <c r="B131" s="2" t="s">
        <v>98</v>
      </c>
    </row>
    <row r="132" ht="15.75" customHeight="1">
      <c r="A132" s="2">
        <v>371.0</v>
      </c>
      <c r="B132" s="2" t="s">
        <v>98</v>
      </c>
    </row>
    <row r="133" ht="15.75" customHeight="1">
      <c r="A133" s="2">
        <v>370.0</v>
      </c>
      <c r="B133" s="2" t="s">
        <v>98</v>
      </c>
    </row>
    <row r="134" ht="15.75" customHeight="1">
      <c r="A134" s="2">
        <v>369.0</v>
      </c>
      <c r="B134" s="2" t="s">
        <v>98</v>
      </c>
    </row>
    <row r="135" ht="15.75" customHeight="1">
      <c r="A135" s="2">
        <v>368.0</v>
      </c>
      <c r="B135" s="2" t="s">
        <v>98</v>
      </c>
    </row>
    <row r="136" ht="15.75" customHeight="1">
      <c r="A136" s="2">
        <v>367.0</v>
      </c>
      <c r="B136" s="2" t="s">
        <v>98</v>
      </c>
    </row>
    <row r="137" ht="15.75" customHeight="1">
      <c r="A137" s="2">
        <v>366.0</v>
      </c>
      <c r="B137" s="2" t="s">
        <v>98</v>
      </c>
    </row>
    <row r="138" ht="15.75" customHeight="1">
      <c r="A138" s="2">
        <v>365.0</v>
      </c>
      <c r="B138" s="2" t="s">
        <v>98</v>
      </c>
    </row>
    <row r="139" ht="15.75" customHeight="1">
      <c r="A139" s="2">
        <v>364.0</v>
      </c>
      <c r="B139" s="2" t="s">
        <v>98</v>
      </c>
    </row>
    <row r="140" ht="15.75" customHeight="1">
      <c r="A140" s="2">
        <v>363.0</v>
      </c>
      <c r="B140" s="2" t="s">
        <v>98</v>
      </c>
    </row>
    <row r="141" ht="15.75" customHeight="1">
      <c r="A141" s="2">
        <v>362.0</v>
      </c>
      <c r="B141" s="2" t="s">
        <v>98</v>
      </c>
    </row>
    <row r="142" ht="15.75" customHeight="1">
      <c r="A142" s="2">
        <v>361.0</v>
      </c>
      <c r="B142" s="2" t="s">
        <v>98</v>
      </c>
    </row>
    <row r="143" ht="15.75" customHeight="1">
      <c r="A143" s="2">
        <v>360.0</v>
      </c>
      <c r="B143" s="2" t="s">
        <v>98</v>
      </c>
    </row>
    <row r="144" ht="15.75" customHeight="1">
      <c r="A144" s="2">
        <v>359.0</v>
      </c>
      <c r="B144" s="2" t="s">
        <v>98</v>
      </c>
    </row>
    <row r="145" ht="15.75" customHeight="1">
      <c r="A145" s="2">
        <v>358.0</v>
      </c>
      <c r="B145" s="2" t="s">
        <v>98</v>
      </c>
    </row>
    <row r="146" ht="15.75" customHeight="1">
      <c r="A146" s="2">
        <v>357.0</v>
      </c>
      <c r="B146" s="2" t="s">
        <v>98</v>
      </c>
    </row>
    <row r="147" ht="15.75" customHeight="1">
      <c r="A147" s="2">
        <v>356.0</v>
      </c>
      <c r="B147" s="2" t="s">
        <v>98</v>
      </c>
    </row>
    <row r="148" ht="15.75" customHeight="1">
      <c r="A148" s="2">
        <v>355.0</v>
      </c>
      <c r="B148" s="2" t="s">
        <v>98</v>
      </c>
    </row>
    <row r="149" ht="15.75" customHeight="1">
      <c r="A149" s="2">
        <v>354.0</v>
      </c>
      <c r="B149" s="2" t="s">
        <v>98</v>
      </c>
    </row>
    <row r="150" ht="15.75" customHeight="1">
      <c r="A150" s="2">
        <v>353.0</v>
      </c>
      <c r="B150" s="2" t="s">
        <v>98</v>
      </c>
    </row>
    <row r="151" ht="15.75" customHeight="1">
      <c r="A151" s="2">
        <v>352.0</v>
      </c>
      <c r="B151" s="2" t="s">
        <v>98</v>
      </c>
    </row>
    <row r="152" ht="15.75" customHeight="1">
      <c r="A152" s="2">
        <v>351.0</v>
      </c>
      <c r="B152" s="2" t="s">
        <v>98</v>
      </c>
    </row>
    <row r="153" ht="15.75" customHeight="1">
      <c r="A153" s="22">
        <v>350.0</v>
      </c>
      <c r="B153" s="2" t="s">
        <v>98</v>
      </c>
      <c r="C153" s="2" t="s">
        <v>99</v>
      </c>
    </row>
    <row r="154" ht="15.75" customHeight="1">
      <c r="A154" s="23">
        <v>349.0</v>
      </c>
      <c r="C154" s="23"/>
      <c r="E154" s="1">
        <f>501-A154</f>
        <v>152</v>
      </c>
      <c r="F154" s="1">
        <f t="shared" ref="F154:F164" si="1">A154+140</f>
        <v>489</v>
      </c>
      <c r="G154" s="1">
        <f t="shared" ref="G154:G164" si="2">501-F154</f>
        <v>12</v>
      </c>
    </row>
    <row r="155" ht="15.75" customHeight="1">
      <c r="A155" s="23">
        <v>348.0</v>
      </c>
      <c r="C155" s="2" t="s">
        <v>99</v>
      </c>
      <c r="F155" s="1">
        <f t="shared" si="1"/>
        <v>488</v>
      </c>
      <c r="G155" s="1">
        <f t="shared" si="2"/>
        <v>13</v>
      </c>
    </row>
    <row r="156" ht="15.75" customHeight="1">
      <c r="A156" s="23">
        <v>347.0</v>
      </c>
      <c r="C156" s="2" t="s">
        <v>99</v>
      </c>
      <c r="F156" s="1">
        <f t="shared" si="1"/>
        <v>487</v>
      </c>
      <c r="G156" s="1">
        <f t="shared" si="2"/>
        <v>14</v>
      </c>
    </row>
    <row r="157" ht="15.75" customHeight="1">
      <c r="A157" s="23">
        <v>346.0</v>
      </c>
      <c r="C157" s="23"/>
      <c r="E157" s="1">
        <f t="shared" ref="E157:E158" si="3">501-A157</f>
        <v>155</v>
      </c>
      <c r="F157" s="1">
        <f t="shared" si="1"/>
        <v>486</v>
      </c>
      <c r="G157" s="1">
        <f t="shared" si="2"/>
        <v>15</v>
      </c>
    </row>
    <row r="158" ht="15.75" customHeight="1">
      <c r="A158" s="23">
        <v>345.0</v>
      </c>
      <c r="C158" s="23"/>
      <c r="E158" s="1">
        <f t="shared" si="3"/>
        <v>156</v>
      </c>
      <c r="F158" s="1">
        <f t="shared" si="1"/>
        <v>485</v>
      </c>
      <c r="G158" s="1">
        <f t="shared" si="2"/>
        <v>16</v>
      </c>
    </row>
    <row r="159" ht="15.75" customHeight="1">
      <c r="A159" s="23">
        <v>344.0</v>
      </c>
      <c r="C159" s="2" t="s">
        <v>99</v>
      </c>
      <c r="F159" s="1">
        <f t="shared" si="1"/>
        <v>484</v>
      </c>
      <c r="G159" s="1">
        <f t="shared" si="2"/>
        <v>17</v>
      </c>
    </row>
    <row r="160" ht="15.75" customHeight="1">
      <c r="A160" s="23">
        <v>343.0</v>
      </c>
      <c r="C160" s="24"/>
      <c r="E160" s="1">
        <f t="shared" ref="E160:E161" si="4">501-A160</f>
        <v>158</v>
      </c>
      <c r="F160" s="1">
        <f t="shared" si="1"/>
        <v>483</v>
      </c>
      <c r="G160" s="1">
        <f t="shared" si="2"/>
        <v>18</v>
      </c>
    </row>
    <row r="161" ht="15.75" customHeight="1">
      <c r="A161" s="23">
        <v>342.0</v>
      </c>
      <c r="C161" s="23"/>
      <c r="E161" s="1">
        <f t="shared" si="4"/>
        <v>159</v>
      </c>
      <c r="F161" s="1">
        <f t="shared" si="1"/>
        <v>482</v>
      </c>
      <c r="G161" s="1">
        <f t="shared" si="2"/>
        <v>19</v>
      </c>
    </row>
    <row r="162" ht="15.75" customHeight="1">
      <c r="A162" s="23">
        <v>341.0</v>
      </c>
      <c r="C162" s="2" t="s">
        <v>99</v>
      </c>
      <c r="F162" s="1">
        <f t="shared" si="1"/>
        <v>481</v>
      </c>
      <c r="G162" s="1">
        <f t="shared" si="2"/>
        <v>20</v>
      </c>
    </row>
    <row r="163" ht="15.75" customHeight="1">
      <c r="A163" s="23">
        <v>340.0</v>
      </c>
      <c r="C163" s="2" t="s">
        <v>99</v>
      </c>
      <c r="F163" s="1">
        <f t="shared" si="1"/>
        <v>480</v>
      </c>
      <c r="G163" s="1">
        <f t="shared" si="2"/>
        <v>21</v>
      </c>
    </row>
    <row r="164" ht="15.75" customHeight="1">
      <c r="A164" s="23">
        <v>339.0</v>
      </c>
      <c r="C164" s="24"/>
      <c r="E164" s="1">
        <f>501-A164</f>
        <v>162</v>
      </c>
      <c r="F164" s="1">
        <f t="shared" si="1"/>
        <v>479</v>
      </c>
      <c r="G164" s="1">
        <f t="shared" si="2"/>
        <v>22</v>
      </c>
    </row>
    <row r="165" ht="15.75" customHeight="1">
      <c r="A165" s="23">
        <v>338.0</v>
      </c>
      <c r="C165" s="2" t="s">
        <v>99</v>
      </c>
    </row>
    <row r="166" ht="15.75" customHeight="1">
      <c r="A166" s="23">
        <v>337.0</v>
      </c>
      <c r="C166" s="2" t="s">
        <v>99</v>
      </c>
    </row>
    <row r="167" ht="15.75" customHeight="1">
      <c r="A167" s="23">
        <v>336.0</v>
      </c>
      <c r="C167" s="2" t="s">
        <v>99</v>
      </c>
    </row>
    <row r="168" ht="15.75" customHeight="1">
      <c r="A168" s="23">
        <v>335.0</v>
      </c>
      <c r="C168" s="2" t="s">
        <v>99</v>
      </c>
    </row>
    <row r="169" ht="15.75" customHeight="1">
      <c r="A169" s="23">
        <v>334.0</v>
      </c>
      <c r="C169" s="2" t="s">
        <v>99</v>
      </c>
    </row>
    <row r="170" ht="15.75" customHeight="1">
      <c r="A170" s="23">
        <v>333.0</v>
      </c>
      <c r="C170" s="2" t="s">
        <v>99</v>
      </c>
    </row>
    <row r="171" ht="15.75" customHeight="1">
      <c r="A171" s="23">
        <v>332.0</v>
      </c>
      <c r="C171" s="2" t="s">
        <v>99</v>
      </c>
    </row>
    <row r="172" ht="15.75" customHeight="1">
      <c r="A172" s="23">
        <v>331.0</v>
      </c>
      <c r="C172" s="2" t="s">
        <v>99</v>
      </c>
    </row>
    <row r="173" ht="15.75" customHeight="1">
      <c r="A173" s="23">
        <v>330.0</v>
      </c>
      <c r="C173" s="2" t="s">
        <v>99</v>
      </c>
    </row>
    <row r="174" ht="15.75" customHeight="1">
      <c r="A174" s="23">
        <v>329.0</v>
      </c>
      <c r="C174" s="2" t="s">
        <v>99</v>
      </c>
    </row>
    <row r="175" ht="15.75" customHeight="1">
      <c r="A175" s="23">
        <v>328.0</v>
      </c>
      <c r="C175" s="2" t="s">
        <v>99</v>
      </c>
    </row>
    <row r="176" ht="15.75" customHeight="1">
      <c r="A176" s="23">
        <v>327.0</v>
      </c>
      <c r="C176" s="2" t="s">
        <v>99</v>
      </c>
    </row>
    <row r="177" ht="15.75" customHeight="1">
      <c r="A177" s="23">
        <v>326.0</v>
      </c>
      <c r="C177" s="2" t="s">
        <v>99</v>
      </c>
    </row>
    <row r="178" ht="15.75" customHeight="1">
      <c r="A178" s="23">
        <v>325.0</v>
      </c>
      <c r="C178" s="2" t="s">
        <v>99</v>
      </c>
    </row>
    <row r="179" ht="15.75" customHeight="1">
      <c r="A179" s="23">
        <v>324.0</v>
      </c>
      <c r="C179" s="2" t="s">
        <v>99</v>
      </c>
    </row>
    <row r="180" ht="15.75" customHeight="1">
      <c r="A180" s="23">
        <v>323.0</v>
      </c>
      <c r="C180" s="2" t="s">
        <v>99</v>
      </c>
    </row>
    <row r="181" ht="15.75" customHeight="1">
      <c r="A181" s="23">
        <v>322.0</v>
      </c>
      <c r="C181" s="2" t="s">
        <v>99</v>
      </c>
    </row>
    <row r="182" ht="15.75" customHeight="1">
      <c r="A182" s="23">
        <v>321.0</v>
      </c>
      <c r="C182" s="2" t="s">
        <v>99</v>
      </c>
    </row>
    <row r="183" ht="15.75" customHeight="1">
      <c r="A183" s="23">
        <v>320.0</v>
      </c>
      <c r="C183" s="2" t="s">
        <v>99</v>
      </c>
    </row>
    <row r="184" ht="15.75" customHeight="1">
      <c r="A184" s="23">
        <v>319.0</v>
      </c>
      <c r="C184" s="2" t="s">
        <v>99</v>
      </c>
    </row>
    <row r="185" ht="15.75" customHeight="1">
      <c r="A185" s="23">
        <v>318.0</v>
      </c>
      <c r="C185" s="2" t="s">
        <v>99</v>
      </c>
    </row>
    <row r="186" ht="15.75" customHeight="1">
      <c r="A186" s="23">
        <v>317.0</v>
      </c>
      <c r="C186" s="2" t="s">
        <v>99</v>
      </c>
    </row>
    <row r="187" ht="15.75" customHeight="1">
      <c r="A187" s="23">
        <v>316.0</v>
      </c>
      <c r="C187" s="2" t="s">
        <v>99</v>
      </c>
    </row>
    <row r="188" ht="15.75" customHeight="1">
      <c r="A188" s="23">
        <v>315.0</v>
      </c>
      <c r="C188" s="2" t="s">
        <v>99</v>
      </c>
    </row>
    <row r="189" ht="15.75" customHeight="1">
      <c r="A189" s="23">
        <v>314.0</v>
      </c>
      <c r="C189" s="2" t="s">
        <v>99</v>
      </c>
    </row>
    <row r="190" ht="15.75" customHeight="1">
      <c r="A190" s="23">
        <v>313.0</v>
      </c>
      <c r="C190" s="2" t="s">
        <v>99</v>
      </c>
    </row>
    <row r="191" ht="15.75" customHeight="1">
      <c r="A191" s="23">
        <v>312.0</v>
      </c>
      <c r="C191" s="2" t="s">
        <v>99</v>
      </c>
    </row>
    <row r="192" ht="15.75" customHeight="1">
      <c r="A192" s="23">
        <v>311.0</v>
      </c>
      <c r="C192" s="2" t="s">
        <v>99</v>
      </c>
    </row>
    <row r="193" ht="15.75" customHeight="1">
      <c r="A193" s="25">
        <v>310.0</v>
      </c>
      <c r="C193" s="2" t="s">
        <v>99</v>
      </c>
      <c r="D193" s="2" t="s">
        <v>100</v>
      </c>
      <c r="E193" s="1">
        <f>A193-140</f>
        <v>170</v>
      </c>
      <c r="G193" s="1">
        <f t="shared" ref="G193:G208" si="5">180+A193</f>
        <v>490</v>
      </c>
    </row>
    <row r="194" ht="15.75" customHeight="1">
      <c r="A194" s="15">
        <v>309.0</v>
      </c>
      <c r="C194" s="2" t="s">
        <v>99</v>
      </c>
      <c r="D194" s="2" t="s">
        <v>100</v>
      </c>
      <c r="G194" s="1">
        <f t="shared" si="5"/>
        <v>489</v>
      </c>
      <c r="H194" s="1">
        <f t="shared" ref="H194:H195" si="6">A194-140</f>
        <v>169</v>
      </c>
    </row>
    <row r="195" ht="15.75" customHeight="1">
      <c r="A195" s="2">
        <v>308.0</v>
      </c>
      <c r="C195" s="2" t="s">
        <v>99</v>
      </c>
      <c r="D195" s="2" t="s">
        <v>100</v>
      </c>
      <c r="E195" s="1">
        <f t="shared" ref="E195:E196" si="7">A195-140</f>
        <v>168</v>
      </c>
      <c r="G195" s="1">
        <f t="shared" si="5"/>
        <v>488</v>
      </c>
      <c r="H195" s="1">
        <f t="shared" si="6"/>
        <v>168</v>
      </c>
    </row>
    <row r="196" ht="15.75" customHeight="1">
      <c r="A196" s="2">
        <v>307.0</v>
      </c>
      <c r="C196" s="2" t="s">
        <v>99</v>
      </c>
      <c r="D196" s="2" t="s">
        <v>100</v>
      </c>
      <c r="E196" s="1">
        <f t="shared" si="7"/>
        <v>167</v>
      </c>
      <c r="G196" s="1">
        <f t="shared" si="5"/>
        <v>487</v>
      </c>
    </row>
    <row r="197" ht="15.75" customHeight="1">
      <c r="A197" s="15">
        <v>306.0</v>
      </c>
      <c r="C197" s="2" t="s">
        <v>99</v>
      </c>
      <c r="D197" s="2" t="s">
        <v>100</v>
      </c>
      <c r="G197" s="1">
        <f t="shared" si="5"/>
        <v>486</v>
      </c>
      <c r="H197" s="1">
        <f t="shared" ref="H197:H198" si="8">A197-140</f>
        <v>166</v>
      </c>
    </row>
    <row r="198" ht="15.75" customHeight="1">
      <c r="A198" s="15">
        <v>305.0</v>
      </c>
      <c r="C198" s="2" t="s">
        <v>99</v>
      </c>
      <c r="D198" s="2" t="s">
        <v>100</v>
      </c>
      <c r="G198" s="1">
        <f t="shared" si="5"/>
        <v>485</v>
      </c>
      <c r="H198" s="1">
        <f t="shared" si="8"/>
        <v>165</v>
      </c>
    </row>
    <row r="199" ht="15.75" customHeight="1">
      <c r="A199" s="2">
        <v>304.0</v>
      </c>
      <c r="C199" s="2" t="s">
        <v>99</v>
      </c>
      <c r="D199" s="2" t="s">
        <v>100</v>
      </c>
      <c r="G199" s="1">
        <f t="shared" si="5"/>
        <v>484</v>
      </c>
    </row>
    <row r="200" ht="15.75" customHeight="1">
      <c r="A200" s="15">
        <v>303.0</v>
      </c>
      <c r="C200" s="2" t="s">
        <v>99</v>
      </c>
      <c r="D200" s="2" t="s">
        <v>100</v>
      </c>
      <c r="E200" s="1">
        <f t="shared" ref="E200:E201" si="9">A200-140</f>
        <v>163</v>
      </c>
      <c r="G200" s="1">
        <f t="shared" si="5"/>
        <v>483</v>
      </c>
      <c r="H200" s="1">
        <f t="shared" ref="H200:H201" si="10">A200-140</f>
        <v>163</v>
      </c>
    </row>
    <row r="201" ht="15.75" customHeight="1">
      <c r="A201" s="15">
        <v>302.0</v>
      </c>
      <c r="C201" s="2" t="s">
        <v>99</v>
      </c>
      <c r="D201" s="2" t="s">
        <v>100</v>
      </c>
      <c r="E201" s="1">
        <f t="shared" si="9"/>
        <v>162</v>
      </c>
      <c r="G201" s="1">
        <f t="shared" si="5"/>
        <v>482</v>
      </c>
      <c r="H201" s="1">
        <f t="shared" si="10"/>
        <v>162</v>
      </c>
    </row>
    <row r="202" ht="15.75" customHeight="1">
      <c r="A202" s="2">
        <v>301.0</v>
      </c>
      <c r="C202" s="2" t="s">
        <v>99</v>
      </c>
      <c r="D202" s="2" t="s">
        <v>100</v>
      </c>
      <c r="G202" s="1">
        <f t="shared" si="5"/>
        <v>481</v>
      </c>
    </row>
    <row r="203" ht="15.75" customHeight="1">
      <c r="A203" s="2">
        <v>300.0</v>
      </c>
      <c r="C203" s="2" t="s">
        <v>99</v>
      </c>
      <c r="D203" s="2" t="s">
        <v>100</v>
      </c>
      <c r="G203" s="1">
        <f t="shared" si="5"/>
        <v>480</v>
      </c>
    </row>
    <row r="204" ht="15.75" customHeight="1">
      <c r="A204" s="15">
        <v>299.0</v>
      </c>
      <c r="C204" s="2" t="s">
        <v>99</v>
      </c>
      <c r="D204" s="2" t="s">
        <v>100</v>
      </c>
      <c r="E204" s="1">
        <f>A204-140</f>
        <v>159</v>
      </c>
      <c r="G204" s="1">
        <f t="shared" si="5"/>
        <v>479</v>
      </c>
      <c r="H204" s="1">
        <f>A204-140</f>
        <v>159</v>
      </c>
    </row>
    <row r="205" ht="15.75" customHeight="1">
      <c r="A205" s="2">
        <v>298.0</v>
      </c>
      <c r="C205" s="2" t="s">
        <v>99</v>
      </c>
      <c r="D205" s="2" t="s">
        <v>100</v>
      </c>
      <c r="G205" s="1">
        <f t="shared" si="5"/>
        <v>478</v>
      </c>
    </row>
    <row r="206" ht="15.75" customHeight="1">
      <c r="A206" s="2">
        <v>297.0</v>
      </c>
      <c r="C206" s="2" t="s">
        <v>99</v>
      </c>
      <c r="D206" s="2" t="s">
        <v>100</v>
      </c>
      <c r="G206" s="1">
        <f t="shared" si="5"/>
        <v>477</v>
      </c>
    </row>
    <row r="207" ht="15.75" customHeight="1">
      <c r="A207" s="2">
        <v>296.0</v>
      </c>
      <c r="C207" s="2" t="s">
        <v>99</v>
      </c>
      <c r="D207" s="2" t="s">
        <v>100</v>
      </c>
      <c r="G207" s="1">
        <f t="shared" si="5"/>
        <v>476</v>
      </c>
    </row>
    <row r="208" ht="15.75" customHeight="1">
      <c r="A208" s="2">
        <v>295.0</v>
      </c>
      <c r="C208" s="2" t="s">
        <v>99</v>
      </c>
      <c r="D208" s="2" t="s">
        <v>100</v>
      </c>
      <c r="G208" s="1">
        <f t="shared" si="5"/>
        <v>475</v>
      </c>
    </row>
    <row r="209" ht="15.75" customHeight="1">
      <c r="A209" s="2">
        <v>294.0</v>
      </c>
      <c r="C209" s="2" t="s">
        <v>99</v>
      </c>
      <c r="D209" s="2" t="s">
        <v>100</v>
      </c>
    </row>
    <row r="210" ht="15.75" customHeight="1">
      <c r="A210" s="2">
        <v>293.0</v>
      </c>
      <c r="C210" s="2" t="s">
        <v>99</v>
      </c>
      <c r="D210" s="2" t="s">
        <v>100</v>
      </c>
    </row>
    <row r="211" ht="15.75" customHeight="1">
      <c r="A211" s="2">
        <v>292.0</v>
      </c>
      <c r="C211" s="2" t="s">
        <v>99</v>
      </c>
      <c r="D211" s="2" t="s">
        <v>100</v>
      </c>
    </row>
    <row r="212" ht="15.75" customHeight="1">
      <c r="A212" s="2">
        <v>291.0</v>
      </c>
      <c r="C212" s="2" t="s">
        <v>99</v>
      </c>
      <c r="D212" s="2" t="s">
        <v>100</v>
      </c>
    </row>
    <row r="213" ht="15.75" customHeight="1">
      <c r="A213" s="2">
        <v>290.0</v>
      </c>
      <c r="C213" s="2" t="s">
        <v>99</v>
      </c>
      <c r="D213" s="2" t="s">
        <v>100</v>
      </c>
    </row>
    <row r="214" ht="15.75" customHeight="1">
      <c r="A214" s="2">
        <v>289.0</v>
      </c>
      <c r="C214" s="2" t="s">
        <v>99</v>
      </c>
      <c r="D214" s="2" t="s">
        <v>100</v>
      </c>
    </row>
    <row r="215" ht="15.75" customHeight="1">
      <c r="A215" s="2">
        <v>288.0</v>
      </c>
      <c r="C215" s="2" t="s">
        <v>99</v>
      </c>
      <c r="D215" s="2" t="s">
        <v>100</v>
      </c>
    </row>
    <row r="216" ht="15.75" customHeight="1">
      <c r="A216" s="2">
        <v>287.0</v>
      </c>
      <c r="C216" s="2" t="s">
        <v>99</v>
      </c>
      <c r="D216" s="2" t="s">
        <v>100</v>
      </c>
    </row>
    <row r="217" ht="15.75" customHeight="1">
      <c r="A217" s="2">
        <v>286.0</v>
      </c>
      <c r="C217" s="2" t="s">
        <v>99</v>
      </c>
      <c r="D217" s="2" t="s">
        <v>100</v>
      </c>
    </row>
    <row r="218" ht="15.75" customHeight="1">
      <c r="A218" s="2">
        <v>285.0</v>
      </c>
      <c r="C218" s="2" t="s">
        <v>99</v>
      </c>
      <c r="D218" s="2" t="s">
        <v>100</v>
      </c>
    </row>
    <row r="219" ht="15.75" customHeight="1">
      <c r="A219" s="2">
        <v>284.0</v>
      </c>
      <c r="C219" s="2" t="s">
        <v>99</v>
      </c>
      <c r="D219" s="2" t="s">
        <v>100</v>
      </c>
    </row>
    <row r="220" ht="15.75" customHeight="1">
      <c r="A220" s="2">
        <v>283.0</v>
      </c>
      <c r="C220" s="2" t="s">
        <v>99</v>
      </c>
      <c r="D220" s="2" t="s">
        <v>100</v>
      </c>
    </row>
    <row r="221" ht="15.75" customHeight="1">
      <c r="A221" s="2">
        <v>282.0</v>
      </c>
      <c r="C221" s="2" t="s">
        <v>99</v>
      </c>
      <c r="D221" s="2" t="s">
        <v>100</v>
      </c>
    </row>
    <row r="222" ht="15.75" customHeight="1">
      <c r="A222" s="2">
        <v>281.0</v>
      </c>
      <c r="C222" s="2" t="s">
        <v>99</v>
      </c>
      <c r="D222" s="2" t="s">
        <v>100</v>
      </c>
    </row>
    <row r="223" ht="15.75" customHeight="1">
      <c r="A223" s="2">
        <v>280.0</v>
      </c>
      <c r="C223" s="2" t="s">
        <v>99</v>
      </c>
      <c r="D223" s="2" t="s">
        <v>100</v>
      </c>
    </row>
    <row r="224" ht="15.75" customHeight="1">
      <c r="A224" s="2">
        <v>279.0</v>
      </c>
      <c r="C224" s="2" t="s">
        <v>99</v>
      </c>
      <c r="D224" s="2" t="s">
        <v>100</v>
      </c>
    </row>
    <row r="225" ht="15.75" customHeight="1">
      <c r="A225" s="2">
        <v>278.0</v>
      </c>
      <c r="C225" s="2" t="s">
        <v>99</v>
      </c>
      <c r="D225" s="2" t="s">
        <v>100</v>
      </c>
    </row>
    <row r="226" ht="15.75" customHeight="1">
      <c r="A226" s="2">
        <v>277.0</v>
      </c>
      <c r="C226" s="2" t="s">
        <v>99</v>
      </c>
      <c r="D226" s="2" t="s">
        <v>100</v>
      </c>
    </row>
    <row r="227" ht="15.75" customHeight="1">
      <c r="A227" s="2">
        <v>276.0</v>
      </c>
      <c r="C227" s="2" t="s">
        <v>99</v>
      </c>
      <c r="D227" s="2" t="s">
        <v>100</v>
      </c>
    </row>
    <row r="228" ht="15.75" customHeight="1">
      <c r="A228" s="2">
        <v>275.0</v>
      </c>
      <c r="C228" s="2" t="s">
        <v>99</v>
      </c>
      <c r="D228" s="2" t="s">
        <v>100</v>
      </c>
    </row>
    <row r="229" ht="15.75" customHeight="1">
      <c r="A229" s="2">
        <v>274.0</v>
      </c>
      <c r="C229" s="2" t="s">
        <v>99</v>
      </c>
      <c r="D229" s="2" t="s">
        <v>100</v>
      </c>
    </row>
    <row r="230" ht="15.75" customHeight="1">
      <c r="A230" s="2">
        <v>273.0</v>
      </c>
      <c r="C230" s="2" t="s">
        <v>99</v>
      </c>
      <c r="D230" s="2" t="s">
        <v>100</v>
      </c>
    </row>
    <row r="231" ht="15.75" customHeight="1">
      <c r="A231" s="2">
        <v>272.0</v>
      </c>
      <c r="C231" s="2" t="s">
        <v>99</v>
      </c>
      <c r="D231" s="2" t="s">
        <v>100</v>
      </c>
    </row>
    <row r="232" ht="15.75" customHeight="1">
      <c r="A232" s="2">
        <v>271.0</v>
      </c>
      <c r="C232" s="2" t="s">
        <v>99</v>
      </c>
      <c r="D232" s="2" t="s">
        <v>100</v>
      </c>
    </row>
    <row r="233" ht="15.75" customHeight="1">
      <c r="A233" s="2">
        <v>270.0</v>
      </c>
      <c r="C233" s="2" t="s">
        <v>99</v>
      </c>
      <c r="D233" s="2" t="s">
        <v>100</v>
      </c>
    </row>
    <row r="234" ht="15.75" customHeight="1">
      <c r="A234" s="2">
        <v>269.0</v>
      </c>
      <c r="C234" s="2" t="s">
        <v>99</v>
      </c>
      <c r="D234" s="2" t="s">
        <v>100</v>
      </c>
    </row>
    <row r="235" ht="15.75" customHeight="1">
      <c r="A235" s="2">
        <v>268.0</v>
      </c>
      <c r="C235" s="2" t="s">
        <v>99</v>
      </c>
      <c r="D235" s="2" t="s">
        <v>100</v>
      </c>
    </row>
    <row r="236" ht="15.75" customHeight="1">
      <c r="A236" s="2">
        <v>267.0</v>
      </c>
      <c r="C236" s="2" t="s">
        <v>99</v>
      </c>
      <c r="D236" s="2" t="s">
        <v>100</v>
      </c>
    </row>
    <row r="237" ht="15.75" customHeight="1">
      <c r="A237" s="2">
        <v>266.0</v>
      </c>
      <c r="C237" s="2" t="s">
        <v>99</v>
      </c>
      <c r="D237" s="2" t="s">
        <v>100</v>
      </c>
    </row>
    <row r="238" ht="15.75" customHeight="1">
      <c r="A238" s="2">
        <v>265.0</v>
      </c>
      <c r="C238" s="2" t="s">
        <v>99</v>
      </c>
      <c r="D238" s="2" t="s">
        <v>100</v>
      </c>
    </row>
    <row r="239" ht="15.75" customHeight="1">
      <c r="A239" s="2">
        <v>264.0</v>
      </c>
      <c r="C239" s="2" t="s">
        <v>99</v>
      </c>
      <c r="D239" s="2" t="s">
        <v>100</v>
      </c>
    </row>
    <row r="240" ht="15.75" customHeight="1">
      <c r="A240" s="2">
        <v>263.0</v>
      </c>
      <c r="C240" s="2" t="s">
        <v>99</v>
      </c>
      <c r="D240" s="2" t="s">
        <v>100</v>
      </c>
    </row>
    <row r="241" ht="15.75" customHeight="1">
      <c r="A241" s="2">
        <v>262.0</v>
      </c>
      <c r="C241" s="2" t="s">
        <v>99</v>
      </c>
      <c r="D241" s="2" t="s">
        <v>100</v>
      </c>
    </row>
    <row r="242" ht="15.75" customHeight="1">
      <c r="A242" s="2">
        <v>261.0</v>
      </c>
      <c r="C242" s="2" t="s">
        <v>99</v>
      </c>
      <c r="D242" s="2" t="s">
        <v>100</v>
      </c>
    </row>
    <row r="243" ht="15.75" customHeight="1">
      <c r="A243" s="2">
        <v>260.0</v>
      </c>
      <c r="C243" s="2" t="s">
        <v>99</v>
      </c>
      <c r="D243" s="2" t="s">
        <v>100</v>
      </c>
    </row>
    <row r="244" ht="15.75" customHeight="1">
      <c r="A244" s="2">
        <v>259.0</v>
      </c>
      <c r="C244" s="2" t="s">
        <v>99</v>
      </c>
      <c r="D244" s="2" t="s">
        <v>100</v>
      </c>
    </row>
    <row r="245" ht="15.75" customHeight="1">
      <c r="A245" s="2">
        <v>258.0</v>
      </c>
      <c r="C245" s="2" t="s">
        <v>99</v>
      </c>
      <c r="D245" s="2" t="s">
        <v>100</v>
      </c>
    </row>
    <row r="246" ht="15.75" customHeight="1">
      <c r="A246" s="2">
        <v>257.0</v>
      </c>
      <c r="C246" s="2" t="s">
        <v>99</v>
      </c>
      <c r="D246" s="2" t="s">
        <v>100</v>
      </c>
    </row>
    <row r="247" ht="15.75" customHeight="1">
      <c r="A247" s="2">
        <v>256.0</v>
      </c>
      <c r="C247" s="2" t="s">
        <v>99</v>
      </c>
      <c r="D247" s="2" t="s">
        <v>100</v>
      </c>
    </row>
    <row r="248" ht="15.75" customHeight="1">
      <c r="A248" s="2">
        <v>255.0</v>
      </c>
      <c r="C248" s="2" t="s">
        <v>99</v>
      </c>
      <c r="D248" s="2" t="s">
        <v>100</v>
      </c>
    </row>
    <row r="249" ht="15.75" customHeight="1">
      <c r="A249" s="2">
        <v>254.0</v>
      </c>
      <c r="C249" s="2" t="s">
        <v>99</v>
      </c>
      <c r="D249" s="2" t="s">
        <v>100</v>
      </c>
    </row>
    <row r="250" ht="15.75" customHeight="1">
      <c r="A250" s="2">
        <v>253.0</v>
      </c>
      <c r="C250" s="2" t="s">
        <v>99</v>
      </c>
      <c r="D250" s="2" t="s">
        <v>100</v>
      </c>
    </row>
    <row r="251" ht="15.75" customHeight="1">
      <c r="A251" s="2">
        <v>252.0</v>
      </c>
      <c r="C251" s="2" t="s">
        <v>99</v>
      </c>
      <c r="D251" s="2" t="s">
        <v>100</v>
      </c>
    </row>
    <row r="252" ht="15.75" customHeight="1">
      <c r="A252" s="2">
        <v>251.0</v>
      </c>
      <c r="C252" s="2" t="s">
        <v>99</v>
      </c>
      <c r="D252" s="2" t="s">
        <v>100</v>
      </c>
    </row>
    <row r="253" ht="15.75" customHeight="1">
      <c r="A253" s="2">
        <v>250.0</v>
      </c>
      <c r="C253" s="2" t="s">
        <v>99</v>
      </c>
      <c r="D253" s="2" t="s">
        <v>100</v>
      </c>
    </row>
    <row r="254" ht="15.75" customHeight="1">
      <c r="A254" s="2">
        <v>249.0</v>
      </c>
      <c r="C254" s="2" t="s">
        <v>99</v>
      </c>
      <c r="D254" s="2" t="s">
        <v>100</v>
      </c>
    </row>
    <row r="255" ht="15.75" customHeight="1">
      <c r="A255" s="2">
        <v>248.0</v>
      </c>
      <c r="C255" s="2" t="s">
        <v>99</v>
      </c>
      <c r="D255" s="2" t="s">
        <v>100</v>
      </c>
    </row>
    <row r="256" ht="15.75" customHeight="1">
      <c r="A256" s="2">
        <v>247.0</v>
      </c>
      <c r="C256" s="2" t="s">
        <v>99</v>
      </c>
      <c r="D256" s="2" t="s">
        <v>100</v>
      </c>
    </row>
    <row r="257" ht="15.75" customHeight="1">
      <c r="A257" s="2">
        <v>246.0</v>
      </c>
      <c r="C257" s="2" t="s">
        <v>99</v>
      </c>
      <c r="D257" s="2" t="s">
        <v>100</v>
      </c>
    </row>
    <row r="258" ht="15.75" customHeight="1">
      <c r="A258" s="2">
        <v>245.0</v>
      </c>
      <c r="C258" s="2" t="s">
        <v>99</v>
      </c>
      <c r="D258" s="2" t="s">
        <v>100</v>
      </c>
    </row>
    <row r="259" ht="15.75" customHeight="1">
      <c r="A259" s="2">
        <v>244.0</v>
      </c>
      <c r="C259" s="2" t="s">
        <v>99</v>
      </c>
      <c r="D259" s="2" t="s">
        <v>100</v>
      </c>
    </row>
    <row r="260" ht="15.75" customHeight="1">
      <c r="A260" s="2">
        <v>243.0</v>
      </c>
      <c r="C260" s="2" t="s">
        <v>99</v>
      </c>
      <c r="D260" s="2" t="s">
        <v>100</v>
      </c>
    </row>
    <row r="261" ht="15.75" customHeight="1">
      <c r="A261" s="2">
        <v>242.0</v>
      </c>
      <c r="C261" s="2" t="s">
        <v>99</v>
      </c>
      <c r="D261" s="2" t="s">
        <v>100</v>
      </c>
    </row>
    <row r="262" ht="15.75" customHeight="1">
      <c r="A262" s="2">
        <v>241.0</v>
      </c>
      <c r="C262" s="2" t="s">
        <v>99</v>
      </c>
      <c r="D262" s="2" t="s">
        <v>100</v>
      </c>
    </row>
    <row r="263" ht="15.75" customHeight="1">
      <c r="A263" s="2">
        <v>240.0</v>
      </c>
      <c r="C263" s="2" t="s">
        <v>99</v>
      </c>
      <c r="D263" s="2" t="s">
        <v>100</v>
      </c>
    </row>
    <row r="264" ht="15.75" customHeight="1">
      <c r="A264" s="2">
        <v>239.0</v>
      </c>
      <c r="C264" s="2" t="s">
        <v>99</v>
      </c>
      <c r="D264" s="2" t="s">
        <v>100</v>
      </c>
    </row>
    <row r="265" ht="15.75" customHeight="1">
      <c r="A265" s="2">
        <v>238.0</v>
      </c>
      <c r="C265" s="2" t="s">
        <v>99</v>
      </c>
      <c r="D265" s="2" t="s">
        <v>100</v>
      </c>
    </row>
    <row r="266" ht="15.75" customHeight="1">
      <c r="A266" s="2">
        <v>237.0</v>
      </c>
      <c r="C266" s="2" t="s">
        <v>99</v>
      </c>
      <c r="D266" s="2" t="s">
        <v>100</v>
      </c>
    </row>
    <row r="267" ht="15.75" customHeight="1">
      <c r="A267" s="2">
        <v>236.0</v>
      </c>
      <c r="C267" s="2" t="s">
        <v>99</v>
      </c>
      <c r="D267" s="2" t="s">
        <v>100</v>
      </c>
    </row>
    <row r="268" ht="15.75" customHeight="1">
      <c r="A268" s="2">
        <v>235.0</v>
      </c>
      <c r="C268" s="2" t="s">
        <v>99</v>
      </c>
      <c r="D268" s="2" t="s">
        <v>100</v>
      </c>
    </row>
    <row r="269" ht="15.75" customHeight="1">
      <c r="A269" s="2">
        <v>234.0</v>
      </c>
      <c r="C269" s="2" t="s">
        <v>99</v>
      </c>
      <c r="D269" s="2" t="s">
        <v>100</v>
      </c>
    </row>
    <row r="270" ht="15.75" customHeight="1">
      <c r="A270" s="2">
        <v>233.0</v>
      </c>
      <c r="C270" s="2" t="s">
        <v>99</v>
      </c>
      <c r="D270" s="2" t="s">
        <v>100</v>
      </c>
    </row>
    <row r="271" ht="15.75" customHeight="1">
      <c r="A271" s="2">
        <v>232.0</v>
      </c>
      <c r="C271" s="2" t="s">
        <v>99</v>
      </c>
      <c r="D271" s="2" t="s">
        <v>100</v>
      </c>
    </row>
    <row r="272" ht="15.75" customHeight="1">
      <c r="A272" s="2">
        <v>231.0</v>
      </c>
      <c r="C272" s="2" t="s">
        <v>99</v>
      </c>
      <c r="D272" s="2" t="s">
        <v>100</v>
      </c>
    </row>
    <row r="273" ht="15.75" customHeight="1">
      <c r="A273" s="2">
        <v>230.0</v>
      </c>
      <c r="C273" s="2" t="s">
        <v>99</v>
      </c>
      <c r="D273" s="2" t="s">
        <v>100</v>
      </c>
    </row>
    <row r="274" ht="15.75" customHeight="1">
      <c r="A274" s="2">
        <v>229.0</v>
      </c>
      <c r="C274" s="2" t="s">
        <v>99</v>
      </c>
      <c r="D274" s="2" t="s">
        <v>100</v>
      </c>
    </row>
    <row r="275" ht="15.75" customHeight="1">
      <c r="A275" s="2">
        <v>228.0</v>
      </c>
      <c r="C275" s="2" t="s">
        <v>99</v>
      </c>
      <c r="D275" s="2" t="s">
        <v>100</v>
      </c>
    </row>
    <row r="276" ht="15.75" customHeight="1">
      <c r="A276" s="2">
        <v>227.0</v>
      </c>
      <c r="C276" s="2" t="s">
        <v>99</v>
      </c>
      <c r="D276" s="2" t="s">
        <v>100</v>
      </c>
    </row>
    <row r="277" ht="15.75" customHeight="1">
      <c r="A277" s="2">
        <v>226.0</v>
      </c>
      <c r="C277" s="2" t="s">
        <v>99</v>
      </c>
      <c r="D277" s="2" t="s">
        <v>100</v>
      </c>
    </row>
    <row r="278" ht="15.75" customHeight="1">
      <c r="A278" s="2">
        <v>225.0</v>
      </c>
      <c r="C278" s="2" t="s">
        <v>99</v>
      </c>
      <c r="D278" s="2" t="s">
        <v>100</v>
      </c>
    </row>
    <row r="279" ht="15.75" customHeight="1">
      <c r="A279" s="2">
        <v>224.0</v>
      </c>
      <c r="C279" s="2" t="s">
        <v>99</v>
      </c>
      <c r="D279" s="2" t="s">
        <v>100</v>
      </c>
    </row>
    <row r="280" ht="15.75" customHeight="1">
      <c r="A280" s="2">
        <v>223.0</v>
      </c>
      <c r="C280" s="2" t="s">
        <v>99</v>
      </c>
      <c r="D280" s="2" t="s">
        <v>100</v>
      </c>
    </row>
    <row r="281" ht="15.75" customHeight="1">
      <c r="A281" s="2">
        <v>222.0</v>
      </c>
      <c r="C281" s="2" t="s">
        <v>99</v>
      </c>
      <c r="D281" s="2" t="s">
        <v>100</v>
      </c>
    </row>
    <row r="282" ht="15.75" customHeight="1">
      <c r="A282" s="2">
        <v>221.0</v>
      </c>
      <c r="C282" s="2" t="s">
        <v>99</v>
      </c>
      <c r="D282" s="2" t="s">
        <v>100</v>
      </c>
    </row>
    <row r="283" ht="15.75" customHeight="1">
      <c r="A283" s="2">
        <v>220.0</v>
      </c>
      <c r="C283" s="2" t="s">
        <v>99</v>
      </c>
      <c r="D283" s="2" t="s">
        <v>100</v>
      </c>
    </row>
    <row r="284" ht="15.75" customHeight="1">
      <c r="A284" s="2">
        <v>219.0</v>
      </c>
      <c r="D284" s="2" t="s">
        <v>100</v>
      </c>
    </row>
    <row r="285" ht="15.75" customHeight="1">
      <c r="A285" s="2">
        <v>218.0</v>
      </c>
      <c r="D285" s="2" t="s">
        <v>100</v>
      </c>
    </row>
    <row r="286" ht="15.75" customHeight="1">
      <c r="A286" s="2">
        <v>217.0</v>
      </c>
      <c r="D286" s="2" t="s">
        <v>100</v>
      </c>
    </row>
    <row r="287" ht="15.75" customHeight="1">
      <c r="A287" s="2">
        <v>216.0</v>
      </c>
      <c r="D287" s="2" t="s">
        <v>100</v>
      </c>
    </row>
    <row r="288" ht="15.75" customHeight="1">
      <c r="A288" s="2">
        <v>215.0</v>
      </c>
      <c r="D288" s="2" t="s">
        <v>100</v>
      </c>
    </row>
    <row r="289" ht="15.75" customHeight="1">
      <c r="A289" s="2">
        <v>214.0</v>
      </c>
      <c r="D289" s="2" t="s">
        <v>100</v>
      </c>
    </row>
    <row r="290" ht="15.75" customHeight="1">
      <c r="A290" s="2">
        <v>213.0</v>
      </c>
      <c r="D290" s="2" t="s">
        <v>100</v>
      </c>
    </row>
    <row r="291" ht="15.75" customHeight="1">
      <c r="A291" s="2">
        <v>212.0</v>
      </c>
      <c r="D291" s="2" t="s">
        <v>100</v>
      </c>
    </row>
    <row r="292" ht="15.75" customHeight="1">
      <c r="A292" s="2">
        <v>211.0</v>
      </c>
      <c r="D292" s="2" t="s">
        <v>100</v>
      </c>
    </row>
    <row r="293" ht="15.75" customHeight="1">
      <c r="A293" s="2">
        <v>210.0</v>
      </c>
      <c r="D293" s="2" t="s">
        <v>100</v>
      </c>
    </row>
    <row r="294" ht="15.75" customHeight="1">
      <c r="A294" s="2">
        <v>209.0</v>
      </c>
      <c r="D294" s="2" t="s">
        <v>100</v>
      </c>
    </row>
    <row r="295" ht="15.75" customHeight="1">
      <c r="A295" s="2">
        <v>208.0</v>
      </c>
      <c r="D295" s="2" t="s">
        <v>100</v>
      </c>
    </row>
    <row r="296" ht="15.75" customHeight="1">
      <c r="A296" s="2">
        <v>207.0</v>
      </c>
      <c r="D296" s="2" t="s">
        <v>100</v>
      </c>
    </row>
    <row r="297" ht="15.75" customHeight="1">
      <c r="A297" s="2">
        <v>206.0</v>
      </c>
      <c r="D297" s="2" t="s">
        <v>100</v>
      </c>
    </row>
    <row r="298" ht="15.75" customHeight="1">
      <c r="A298" s="2">
        <v>205.0</v>
      </c>
      <c r="D298" s="2" t="s">
        <v>100</v>
      </c>
    </row>
    <row r="299" ht="15.75" customHeight="1">
      <c r="A299" s="2">
        <v>204.0</v>
      </c>
      <c r="D299" s="2" t="s">
        <v>100</v>
      </c>
    </row>
    <row r="300" ht="15.75" customHeight="1">
      <c r="A300" s="2">
        <v>203.0</v>
      </c>
      <c r="D300" s="2" t="s">
        <v>100</v>
      </c>
    </row>
    <row r="301" ht="15.75" customHeight="1">
      <c r="A301" s="2">
        <v>202.0</v>
      </c>
      <c r="D301" s="2" t="s">
        <v>100</v>
      </c>
    </row>
    <row r="302" ht="15.75" customHeight="1">
      <c r="A302" s="2">
        <v>201.0</v>
      </c>
      <c r="D302" s="2" t="s">
        <v>100</v>
      </c>
    </row>
    <row r="303" ht="15.75" customHeight="1">
      <c r="A303" s="2">
        <v>200.0</v>
      </c>
      <c r="D303" s="2" t="s">
        <v>100</v>
      </c>
    </row>
    <row r="304" ht="15.75" customHeight="1">
      <c r="A304" s="2">
        <v>199.0</v>
      </c>
      <c r="D304" s="2" t="s">
        <v>100</v>
      </c>
    </row>
    <row r="305" ht="15.75" customHeight="1">
      <c r="A305" s="2">
        <v>198.0</v>
      </c>
      <c r="D305" s="2" t="s">
        <v>100</v>
      </c>
    </row>
    <row r="306" ht="15.75" customHeight="1">
      <c r="A306" s="2">
        <v>197.0</v>
      </c>
      <c r="D306" s="2" t="s">
        <v>100</v>
      </c>
    </row>
    <row r="307" ht="15.75" customHeight="1">
      <c r="A307" s="2">
        <v>196.0</v>
      </c>
      <c r="D307" s="2" t="s">
        <v>100</v>
      </c>
    </row>
    <row r="308" ht="15.75" customHeight="1">
      <c r="A308" s="2">
        <v>195.0</v>
      </c>
      <c r="D308" s="2" t="s">
        <v>100</v>
      </c>
    </row>
    <row r="309" ht="15.75" customHeight="1">
      <c r="A309" s="2">
        <v>194.0</v>
      </c>
      <c r="D309" s="2" t="s">
        <v>100</v>
      </c>
    </row>
    <row r="310" ht="15.75" customHeight="1">
      <c r="A310" s="2">
        <v>193.0</v>
      </c>
      <c r="D310" s="2" t="s">
        <v>100</v>
      </c>
    </row>
    <row r="311" ht="15.75" customHeight="1">
      <c r="A311" s="2">
        <v>192.0</v>
      </c>
      <c r="D311" s="2" t="s">
        <v>100</v>
      </c>
    </row>
    <row r="312" ht="15.75" customHeight="1">
      <c r="A312" s="2">
        <v>191.0</v>
      </c>
      <c r="D312" s="2" t="s">
        <v>100</v>
      </c>
    </row>
    <row r="313" ht="15.75" customHeight="1">
      <c r="A313" s="2">
        <v>190.0</v>
      </c>
      <c r="D313" s="2" t="s">
        <v>100</v>
      </c>
    </row>
    <row r="314" ht="15.75" customHeight="1">
      <c r="A314" s="2">
        <v>189.0</v>
      </c>
      <c r="D314" s="2" t="s">
        <v>100</v>
      </c>
    </row>
    <row r="315" ht="15.75" customHeight="1">
      <c r="A315" s="2">
        <v>188.0</v>
      </c>
      <c r="D315" s="2" t="s">
        <v>100</v>
      </c>
    </row>
    <row r="316" ht="15.75" customHeight="1">
      <c r="A316" s="2">
        <v>187.0</v>
      </c>
      <c r="D316" s="2" t="s">
        <v>100</v>
      </c>
      <c r="F316" s="1">
        <f t="shared" ref="F316:F344" si="11">140 +A316</f>
        <v>327</v>
      </c>
    </row>
    <row r="317" ht="15.75" customHeight="1">
      <c r="A317" s="2">
        <v>186.0</v>
      </c>
      <c r="D317" s="2" t="s">
        <v>100</v>
      </c>
      <c r="F317" s="1">
        <f t="shared" si="11"/>
        <v>326</v>
      </c>
    </row>
    <row r="318" ht="15.75" customHeight="1">
      <c r="A318" s="2">
        <v>185.0</v>
      </c>
      <c r="D318" s="2" t="s">
        <v>100</v>
      </c>
      <c r="F318" s="1">
        <f t="shared" si="11"/>
        <v>325</v>
      </c>
    </row>
    <row r="319" ht="15.75" customHeight="1">
      <c r="A319" s="2">
        <v>184.0</v>
      </c>
      <c r="D319" s="2" t="s">
        <v>100</v>
      </c>
      <c r="F319" s="1">
        <f t="shared" si="11"/>
        <v>324</v>
      </c>
    </row>
    <row r="320" ht="15.75" customHeight="1">
      <c r="A320" s="2">
        <v>183.0</v>
      </c>
      <c r="D320" s="2" t="s">
        <v>100</v>
      </c>
      <c r="F320" s="1">
        <f t="shared" si="11"/>
        <v>323</v>
      </c>
    </row>
    <row r="321" ht="15.75" customHeight="1">
      <c r="A321" s="2">
        <v>182.0</v>
      </c>
      <c r="D321" s="2" t="s">
        <v>100</v>
      </c>
      <c r="F321" s="1">
        <f t="shared" si="11"/>
        <v>322</v>
      </c>
    </row>
    <row r="322" ht="15.75" customHeight="1">
      <c r="A322" s="2">
        <v>181.0</v>
      </c>
      <c r="D322" s="2" t="s">
        <v>100</v>
      </c>
      <c r="F322" s="1">
        <f t="shared" si="11"/>
        <v>321</v>
      </c>
    </row>
    <row r="323" ht="15.75" customHeight="1">
      <c r="A323" s="2">
        <v>180.0</v>
      </c>
      <c r="D323" s="2" t="s">
        <v>100</v>
      </c>
      <c r="F323" s="1">
        <f t="shared" si="11"/>
        <v>320</v>
      </c>
    </row>
    <row r="324" ht="15.75" customHeight="1">
      <c r="A324" s="2">
        <v>179.0</v>
      </c>
      <c r="F324" s="1">
        <f t="shared" si="11"/>
        <v>319</v>
      </c>
    </row>
    <row r="325" ht="15.75" customHeight="1">
      <c r="A325" s="2">
        <v>178.0</v>
      </c>
      <c r="F325" s="1">
        <f t="shared" si="11"/>
        <v>318</v>
      </c>
    </row>
    <row r="326" ht="15.75" customHeight="1">
      <c r="A326" s="2">
        <v>177.0</v>
      </c>
      <c r="F326" s="1">
        <f t="shared" si="11"/>
        <v>317</v>
      </c>
    </row>
    <row r="327" ht="15.75" customHeight="1">
      <c r="A327" s="2">
        <v>176.0</v>
      </c>
      <c r="F327" s="1">
        <f t="shared" si="11"/>
        <v>316</v>
      </c>
    </row>
    <row r="328" ht="15.75" customHeight="1">
      <c r="A328" s="2">
        <v>175.0</v>
      </c>
      <c r="F328" s="1">
        <f t="shared" si="11"/>
        <v>315</v>
      </c>
    </row>
    <row r="329" ht="15.75" customHeight="1">
      <c r="A329" s="2">
        <v>174.0</v>
      </c>
      <c r="F329" s="1">
        <f t="shared" si="11"/>
        <v>314</v>
      </c>
    </row>
    <row r="330" ht="15.75" customHeight="1">
      <c r="A330" s="2">
        <v>173.0</v>
      </c>
      <c r="F330" s="1">
        <f t="shared" si="11"/>
        <v>313</v>
      </c>
    </row>
    <row r="331" ht="15.75" customHeight="1">
      <c r="A331" s="2">
        <v>172.0</v>
      </c>
      <c r="F331" s="1">
        <f t="shared" si="11"/>
        <v>312</v>
      </c>
    </row>
    <row r="332" ht="15.75" customHeight="1">
      <c r="A332" s="2">
        <v>171.0</v>
      </c>
      <c r="F332" s="1">
        <f t="shared" si="11"/>
        <v>311</v>
      </c>
    </row>
    <row r="333" ht="15.75" customHeight="1">
      <c r="A333" s="2">
        <v>170.0</v>
      </c>
      <c r="F333" s="1">
        <f t="shared" si="11"/>
        <v>310</v>
      </c>
    </row>
    <row r="334" ht="15.75" customHeight="1">
      <c r="A334" s="2">
        <v>169.0</v>
      </c>
      <c r="F334" s="5">
        <f t="shared" si="11"/>
        <v>309</v>
      </c>
      <c r="G334" s="2" t="s">
        <v>101</v>
      </c>
      <c r="H334" s="1">
        <f t="shared" ref="H334:H335" si="12">A334+60</f>
        <v>229</v>
      </c>
      <c r="I334" s="1">
        <f t="shared" ref="I334:I335" si="13">A334+100</f>
        <v>269</v>
      </c>
      <c r="J334" s="1">
        <f t="shared" ref="J334:J335" si="14">A334+140</f>
        <v>309</v>
      </c>
      <c r="K334" s="1">
        <f t="shared" ref="K334:K335" si="15">A334+180</f>
        <v>349</v>
      </c>
    </row>
    <row r="335" ht="15.75" customHeight="1">
      <c r="A335" s="2">
        <v>168.0</v>
      </c>
      <c r="F335" s="1">
        <f t="shared" si="11"/>
        <v>308</v>
      </c>
      <c r="G335" s="2" t="s">
        <v>101</v>
      </c>
      <c r="H335" s="1">
        <f t="shared" si="12"/>
        <v>228</v>
      </c>
      <c r="I335" s="1">
        <f t="shared" si="13"/>
        <v>268</v>
      </c>
      <c r="J335" s="1">
        <f t="shared" si="14"/>
        <v>308</v>
      </c>
      <c r="K335" s="1">
        <f t="shared" si="15"/>
        <v>348</v>
      </c>
    </row>
    <row r="336" ht="15.75" customHeight="1">
      <c r="A336" s="2">
        <v>167.0</v>
      </c>
      <c r="F336" s="1">
        <f t="shared" si="11"/>
        <v>307</v>
      </c>
    </row>
    <row r="337" ht="15.75" customHeight="1">
      <c r="A337" s="2">
        <v>166.0</v>
      </c>
      <c r="F337" s="5">
        <f t="shared" si="11"/>
        <v>306</v>
      </c>
      <c r="G337" s="2" t="s">
        <v>101</v>
      </c>
      <c r="H337" s="1">
        <f t="shared" ref="H337:H338" si="16">A337+60</f>
        <v>226</v>
      </c>
      <c r="I337" s="1">
        <f t="shared" ref="I337:I338" si="17">A337+100</f>
        <v>266</v>
      </c>
      <c r="J337" s="1">
        <f t="shared" ref="J337:J338" si="18">A337+140</f>
        <v>306</v>
      </c>
      <c r="K337" s="1">
        <f t="shared" ref="K337:K338" si="19">A337+180</f>
        <v>346</v>
      </c>
    </row>
    <row r="338" ht="15.75" customHeight="1">
      <c r="A338" s="2">
        <v>165.0</v>
      </c>
      <c r="F338" s="5">
        <f t="shared" si="11"/>
        <v>305</v>
      </c>
      <c r="G338" s="2" t="s">
        <v>101</v>
      </c>
      <c r="H338" s="1">
        <f t="shared" si="16"/>
        <v>225</v>
      </c>
      <c r="I338" s="1">
        <f t="shared" si="17"/>
        <v>265</v>
      </c>
      <c r="J338" s="1">
        <f t="shared" si="18"/>
        <v>305</v>
      </c>
      <c r="K338" s="1">
        <f t="shared" si="19"/>
        <v>345</v>
      </c>
    </row>
    <row r="339" ht="15.75" customHeight="1">
      <c r="A339" s="2">
        <v>164.0</v>
      </c>
      <c r="F339" s="1">
        <f t="shared" si="11"/>
        <v>304</v>
      </c>
    </row>
    <row r="340" ht="15.75" customHeight="1">
      <c r="A340" s="2">
        <v>163.0</v>
      </c>
      <c r="F340" s="5">
        <f t="shared" si="11"/>
        <v>303</v>
      </c>
      <c r="G340" s="2" t="s">
        <v>101</v>
      </c>
      <c r="H340" s="1">
        <f t="shared" ref="H340:H341" si="20">A340+60</f>
        <v>223</v>
      </c>
      <c r="I340" s="1">
        <f t="shared" ref="I340:I341" si="21">A340+100</f>
        <v>263</v>
      </c>
      <c r="J340" s="1">
        <f t="shared" ref="J340:J341" si="22">A340+140</f>
        <v>303</v>
      </c>
      <c r="K340" s="1">
        <f t="shared" ref="K340:K341" si="23">A340+180</f>
        <v>343</v>
      </c>
    </row>
    <row r="341" ht="15.75" customHeight="1">
      <c r="A341" s="2">
        <v>162.0</v>
      </c>
      <c r="F341" s="5">
        <f t="shared" si="11"/>
        <v>302</v>
      </c>
      <c r="G341" s="2" t="s">
        <v>101</v>
      </c>
      <c r="H341" s="1">
        <f t="shared" si="20"/>
        <v>222</v>
      </c>
      <c r="I341" s="1">
        <f t="shared" si="21"/>
        <v>262</v>
      </c>
      <c r="J341" s="1">
        <f t="shared" si="22"/>
        <v>302</v>
      </c>
      <c r="K341" s="1">
        <f t="shared" si="23"/>
        <v>342</v>
      </c>
    </row>
    <row r="342" ht="15.75" customHeight="1">
      <c r="A342" s="2">
        <v>161.0</v>
      </c>
      <c r="F342" s="1">
        <f t="shared" si="11"/>
        <v>301</v>
      </c>
    </row>
    <row r="343" ht="15.75" customHeight="1">
      <c r="A343" s="2">
        <v>160.0</v>
      </c>
      <c r="F343" s="1">
        <f t="shared" si="11"/>
        <v>300</v>
      </c>
    </row>
    <row r="344" ht="15.75" customHeight="1">
      <c r="A344" s="2">
        <v>159.0</v>
      </c>
      <c r="F344" s="5">
        <f t="shared" si="11"/>
        <v>299</v>
      </c>
      <c r="H344" s="1">
        <f>A344+60</f>
        <v>219</v>
      </c>
      <c r="I344" s="1">
        <f>A344+100</f>
        <v>259</v>
      </c>
      <c r="J344" s="1">
        <f>A344+140</f>
        <v>299</v>
      </c>
      <c r="K344" s="1">
        <f>A344+180</f>
        <v>339</v>
      </c>
    </row>
    <row r="345" ht="15.75" customHeight="1">
      <c r="A345" s="2">
        <v>158.0</v>
      </c>
    </row>
    <row r="346" ht="15.75" customHeight="1">
      <c r="A346" s="2">
        <v>157.0</v>
      </c>
    </row>
    <row r="347" ht="15.75" customHeight="1">
      <c r="A347" s="2">
        <v>156.0</v>
      </c>
    </row>
    <row r="348" ht="15.75" customHeight="1">
      <c r="A348" s="2">
        <v>155.0</v>
      </c>
    </row>
    <row r="349" ht="15.75" customHeight="1">
      <c r="A349" s="2">
        <v>154.0</v>
      </c>
    </row>
    <row r="350" ht="15.75" customHeight="1">
      <c r="A350" s="2">
        <v>153.0</v>
      </c>
    </row>
    <row r="351" ht="15.75" customHeight="1">
      <c r="A351" s="2">
        <v>152.0</v>
      </c>
    </row>
    <row r="352" ht="15.75" customHeight="1">
      <c r="A352" s="2">
        <v>151.0</v>
      </c>
    </row>
    <row r="353" ht="15.75" customHeight="1">
      <c r="A353" s="2">
        <v>150.0</v>
      </c>
    </row>
    <row r="354" ht="15.75" customHeight="1">
      <c r="A354" s="2">
        <v>149.0</v>
      </c>
    </row>
    <row r="355" ht="15.75" customHeight="1">
      <c r="A355" s="2">
        <v>148.0</v>
      </c>
    </row>
    <row r="356" ht="15.75" customHeight="1">
      <c r="A356" s="2">
        <v>147.0</v>
      </c>
    </row>
    <row r="357" ht="15.75" customHeight="1">
      <c r="A357" s="2">
        <v>146.0</v>
      </c>
    </row>
    <row r="358" ht="15.75" customHeight="1">
      <c r="A358" s="2">
        <v>145.0</v>
      </c>
    </row>
    <row r="359" ht="15.75" customHeight="1">
      <c r="A359" s="2">
        <v>144.0</v>
      </c>
    </row>
    <row r="360" ht="15.75" customHeight="1">
      <c r="A360" s="2">
        <v>143.0</v>
      </c>
    </row>
    <row r="361" ht="15.75" customHeight="1">
      <c r="A361" s="2">
        <v>142.0</v>
      </c>
    </row>
    <row r="362" ht="15.75" customHeight="1">
      <c r="A362" s="2">
        <v>141.0</v>
      </c>
    </row>
    <row r="363" ht="15.75" customHeight="1">
      <c r="A363" s="2">
        <v>140.0</v>
      </c>
    </row>
    <row r="364" ht="15.75" customHeight="1">
      <c r="A364" s="2">
        <v>139.0</v>
      </c>
    </row>
    <row r="365" ht="15.75" customHeight="1">
      <c r="A365" s="2">
        <v>138.0</v>
      </c>
    </row>
    <row r="366" ht="15.75" customHeight="1">
      <c r="A366" s="2">
        <v>137.0</v>
      </c>
    </row>
    <row r="367" ht="15.75" customHeight="1">
      <c r="A367" s="2">
        <v>136.0</v>
      </c>
    </row>
    <row r="368" ht="15.75" customHeight="1">
      <c r="A368" s="2">
        <v>135.0</v>
      </c>
    </row>
    <row r="369" ht="15.75" customHeight="1">
      <c r="A369" s="2">
        <v>134.0</v>
      </c>
    </row>
    <row r="370" ht="15.75" customHeight="1">
      <c r="A370" s="2">
        <v>133.0</v>
      </c>
    </row>
    <row r="371" ht="15.75" customHeight="1">
      <c r="A371" s="2">
        <v>132.0</v>
      </c>
    </row>
    <row r="372" ht="15.75" customHeight="1">
      <c r="A372" s="2">
        <v>131.0</v>
      </c>
    </row>
    <row r="373" ht="15.75" customHeight="1">
      <c r="A373" s="2">
        <v>130.0</v>
      </c>
    </row>
    <row r="374" ht="15.75" customHeight="1">
      <c r="A374" s="2">
        <v>129.0</v>
      </c>
    </row>
    <row r="375" ht="15.75" customHeight="1">
      <c r="A375" s="2">
        <v>128.0</v>
      </c>
    </row>
    <row r="376" ht="15.75" customHeight="1">
      <c r="A376" s="2">
        <v>127.0</v>
      </c>
    </row>
    <row r="377" ht="15.75" customHeight="1">
      <c r="A377" s="2">
        <v>126.0</v>
      </c>
    </row>
    <row r="378" ht="15.75" customHeight="1">
      <c r="A378" s="2">
        <v>125.0</v>
      </c>
    </row>
    <row r="379" ht="15.75" customHeight="1">
      <c r="A379" s="2">
        <v>124.0</v>
      </c>
    </row>
    <row r="380" ht="15.75" customHeight="1">
      <c r="A380" s="2">
        <v>123.0</v>
      </c>
    </row>
    <row r="381" ht="15.75" customHeight="1">
      <c r="A381" s="2">
        <v>122.0</v>
      </c>
    </row>
    <row r="382" ht="15.75" customHeight="1">
      <c r="A382" s="2">
        <v>121.0</v>
      </c>
    </row>
    <row r="383" ht="15.75" customHeight="1">
      <c r="A383" s="2">
        <v>120.0</v>
      </c>
    </row>
    <row r="384" ht="15.75" customHeight="1">
      <c r="A384" s="2">
        <v>119.0</v>
      </c>
    </row>
    <row r="385" ht="15.75" customHeight="1">
      <c r="A385" s="2">
        <v>118.0</v>
      </c>
    </row>
    <row r="386" ht="15.75" customHeight="1">
      <c r="A386" s="2">
        <v>117.0</v>
      </c>
    </row>
    <row r="387" ht="15.75" customHeight="1">
      <c r="A387" s="2">
        <v>116.0</v>
      </c>
    </row>
    <row r="388" ht="15.75" customHeight="1">
      <c r="A388" s="2">
        <v>115.0</v>
      </c>
    </row>
    <row r="389" ht="15.75" customHeight="1">
      <c r="A389" s="2">
        <v>114.0</v>
      </c>
    </row>
    <row r="390" ht="15.75" customHeight="1">
      <c r="A390" s="2">
        <v>113.0</v>
      </c>
    </row>
    <row r="391" ht="15.75" customHeight="1">
      <c r="A391" s="2">
        <v>112.0</v>
      </c>
    </row>
    <row r="392" ht="15.75" customHeight="1">
      <c r="A392" s="2">
        <v>111.0</v>
      </c>
    </row>
    <row r="393" ht="15.75" customHeight="1">
      <c r="A393" s="26">
        <v>110.0</v>
      </c>
    </row>
    <row r="394" ht="15.75" customHeight="1">
      <c r="A394" s="2">
        <v>109.0</v>
      </c>
    </row>
    <row r="395" ht="15.75" customHeight="1">
      <c r="A395" s="2">
        <v>108.0</v>
      </c>
    </row>
    <row r="396" ht="15.75" customHeight="1">
      <c r="A396" s="26">
        <v>107.0</v>
      </c>
    </row>
    <row r="397" ht="15.75" customHeight="1">
      <c r="A397" s="2">
        <v>106.0</v>
      </c>
    </row>
    <row r="398" ht="15.75" customHeight="1">
      <c r="A398" s="2">
        <v>105.0</v>
      </c>
    </row>
    <row r="399" ht="15.75" customHeight="1">
      <c r="A399" s="2">
        <v>104.0</v>
      </c>
    </row>
    <row r="400" ht="15.75" customHeight="1">
      <c r="A400" s="2">
        <v>103.0</v>
      </c>
    </row>
    <row r="401" ht="15.75" customHeight="1">
      <c r="A401" s="2">
        <v>102.0</v>
      </c>
    </row>
    <row r="402" ht="15.75" customHeight="1">
      <c r="A402" s="2">
        <v>101.0</v>
      </c>
    </row>
    <row r="403" ht="15.75" customHeight="1">
      <c r="A403" s="2">
        <v>100.0</v>
      </c>
    </row>
    <row r="404" ht="15.75" customHeight="1">
      <c r="A404" s="2">
        <v>99.0</v>
      </c>
    </row>
    <row r="405" ht="15.75" customHeight="1">
      <c r="A405" s="2">
        <v>98.0</v>
      </c>
    </row>
    <row r="406" ht="15.75" customHeight="1">
      <c r="A406" s="2">
        <v>97.0</v>
      </c>
    </row>
    <row r="407" ht="15.75" customHeight="1">
      <c r="A407" s="2">
        <v>96.0</v>
      </c>
    </row>
    <row r="408" ht="15.75" customHeight="1">
      <c r="A408" s="2">
        <v>95.0</v>
      </c>
    </row>
    <row r="409" ht="15.75" customHeight="1">
      <c r="A409" s="2">
        <v>94.0</v>
      </c>
    </row>
    <row r="410" ht="15.75" customHeight="1">
      <c r="A410" s="2">
        <v>93.0</v>
      </c>
    </row>
    <row r="411" ht="15.75" customHeight="1">
      <c r="A411" s="2">
        <v>92.0</v>
      </c>
    </row>
    <row r="412" ht="15.75" customHeight="1">
      <c r="A412" s="2">
        <v>91.0</v>
      </c>
    </row>
    <row r="413" ht="15.75" customHeight="1">
      <c r="A413" s="2">
        <v>90.0</v>
      </c>
    </row>
    <row r="414" ht="15.75" customHeight="1">
      <c r="A414" s="2">
        <v>89.0</v>
      </c>
    </row>
    <row r="415" ht="15.75" customHeight="1">
      <c r="A415" s="2">
        <v>88.0</v>
      </c>
    </row>
    <row r="416" ht="15.75" customHeight="1">
      <c r="A416" s="2">
        <v>87.0</v>
      </c>
    </row>
    <row r="417" ht="15.75" customHeight="1">
      <c r="A417" s="2">
        <v>86.0</v>
      </c>
    </row>
    <row r="418" ht="15.75" customHeight="1">
      <c r="A418" s="2">
        <v>85.0</v>
      </c>
    </row>
    <row r="419" ht="15.75" customHeight="1">
      <c r="A419" s="2">
        <v>84.0</v>
      </c>
    </row>
    <row r="420" ht="15.75" customHeight="1">
      <c r="A420" s="2">
        <v>83.0</v>
      </c>
    </row>
    <row r="421" ht="15.75" customHeight="1">
      <c r="A421" s="2">
        <v>82.0</v>
      </c>
    </row>
    <row r="422" ht="15.75" customHeight="1">
      <c r="A422" s="2">
        <v>81.0</v>
      </c>
    </row>
    <row r="423" ht="15.75" customHeight="1">
      <c r="A423" s="2">
        <v>80.0</v>
      </c>
    </row>
    <row r="424" ht="15.75" customHeight="1">
      <c r="A424" s="2">
        <v>79.0</v>
      </c>
    </row>
    <row r="425" ht="15.75" customHeight="1">
      <c r="A425" s="2">
        <v>78.0</v>
      </c>
    </row>
    <row r="426" ht="15.75" customHeight="1">
      <c r="A426" s="2">
        <v>77.0</v>
      </c>
    </row>
    <row r="427" ht="15.75" customHeight="1">
      <c r="A427" s="2">
        <v>76.0</v>
      </c>
    </row>
    <row r="428" ht="15.75" customHeight="1">
      <c r="A428" s="2">
        <v>75.0</v>
      </c>
    </row>
    <row r="429" ht="15.75" customHeight="1">
      <c r="A429" s="2">
        <v>74.0</v>
      </c>
    </row>
    <row r="430" ht="15.75" customHeight="1">
      <c r="A430" s="2">
        <v>73.0</v>
      </c>
    </row>
    <row r="431" ht="15.75" customHeight="1">
      <c r="A431" s="2">
        <v>72.0</v>
      </c>
    </row>
    <row r="432" ht="15.75" customHeight="1">
      <c r="A432" s="2">
        <v>71.0</v>
      </c>
    </row>
    <row r="433" ht="15.75" customHeight="1">
      <c r="A433" s="2">
        <v>70.0</v>
      </c>
    </row>
    <row r="434" ht="15.75" customHeight="1">
      <c r="A434" s="2">
        <v>69.0</v>
      </c>
    </row>
    <row r="435" ht="15.75" customHeight="1">
      <c r="A435" s="2">
        <v>68.0</v>
      </c>
    </row>
    <row r="436" ht="15.75" customHeight="1">
      <c r="A436" s="2">
        <v>67.0</v>
      </c>
    </row>
    <row r="437" ht="15.75" customHeight="1">
      <c r="A437" s="2">
        <v>66.0</v>
      </c>
    </row>
    <row r="438" ht="15.75" customHeight="1">
      <c r="A438" s="2">
        <v>65.0</v>
      </c>
    </row>
    <row r="439" ht="15.75" customHeight="1">
      <c r="A439" s="2">
        <v>64.0</v>
      </c>
    </row>
    <row r="440" ht="15.75" customHeight="1">
      <c r="A440" s="2">
        <v>63.0</v>
      </c>
    </row>
    <row r="441" ht="15.75" customHeight="1">
      <c r="A441" s="2">
        <v>62.0</v>
      </c>
    </row>
    <row r="442" ht="15.75" customHeight="1">
      <c r="A442" s="2">
        <v>61.0</v>
      </c>
    </row>
    <row r="443" ht="15.75" customHeight="1">
      <c r="A443" s="2">
        <v>60.0</v>
      </c>
    </row>
    <row r="444" ht="15.75" customHeight="1">
      <c r="A444" s="2">
        <v>59.0</v>
      </c>
    </row>
    <row r="445" ht="15.75" customHeight="1">
      <c r="A445" s="2">
        <v>58.0</v>
      </c>
    </row>
    <row r="446" ht="15.75" customHeight="1">
      <c r="A446" s="2">
        <v>57.0</v>
      </c>
    </row>
    <row r="447" ht="15.75" customHeight="1">
      <c r="A447" s="2">
        <v>56.0</v>
      </c>
    </row>
    <row r="448" ht="15.75" customHeight="1">
      <c r="A448" s="2">
        <v>55.0</v>
      </c>
    </row>
    <row r="449" ht="15.75" customHeight="1">
      <c r="A449" s="2">
        <v>54.0</v>
      </c>
    </row>
    <row r="450" ht="15.75" customHeight="1">
      <c r="A450" s="2">
        <v>53.0</v>
      </c>
    </row>
    <row r="451" ht="15.75" customHeight="1">
      <c r="A451" s="2">
        <v>52.0</v>
      </c>
    </row>
    <row r="452" ht="15.75" customHeight="1">
      <c r="A452" s="2">
        <v>51.0</v>
      </c>
    </row>
    <row r="453" ht="15.75" customHeight="1">
      <c r="A453" s="27">
        <v>50.0</v>
      </c>
    </row>
    <row r="454" ht="15.75" customHeight="1">
      <c r="A454" s="2">
        <v>49.0</v>
      </c>
    </row>
    <row r="455" ht="15.75" customHeight="1">
      <c r="A455" s="2">
        <v>48.0</v>
      </c>
    </row>
    <row r="456" ht="15.75" customHeight="1">
      <c r="A456" s="2">
        <v>47.0</v>
      </c>
    </row>
    <row r="457" ht="15.75" customHeight="1">
      <c r="A457" s="2">
        <v>46.0</v>
      </c>
    </row>
    <row r="458" ht="15.75" customHeight="1">
      <c r="A458" s="2">
        <v>45.0</v>
      </c>
    </row>
    <row r="459" ht="15.75" customHeight="1">
      <c r="A459" s="2">
        <v>44.0</v>
      </c>
    </row>
    <row r="460" ht="15.75" customHeight="1">
      <c r="A460" s="2">
        <v>43.0</v>
      </c>
    </row>
    <row r="461" ht="15.75" customHeight="1">
      <c r="A461" s="2">
        <v>42.0</v>
      </c>
    </row>
    <row r="462" ht="15.75" customHeight="1">
      <c r="A462" s="2">
        <v>41.0</v>
      </c>
    </row>
    <row r="463" ht="15.75" customHeight="1">
      <c r="A463" s="28">
        <v>40.0</v>
      </c>
    </row>
    <row r="464" ht="15.75" customHeight="1">
      <c r="A464" s="2">
        <v>39.0</v>
      </c>
    </row>
    <row r="465" ht="15.75" customHeight="1">
      <c r="A465" s="2">
        <v>38.0</v>
      </c>
    </row>
    <row r="466" ht="15.75" customHeight="1">
      <c r="A466" s="2">
        <v>37.0</v>
      </c>
    </row>
    <row r="467" ht="15.75" customHeight="1">
      <c r="A467" s="2">
        <v>36.0</v>
      </c>
    </row>
    <row r="468" ht="15.75" customHeight="1">
      <c r="A468" s="2">
        <v>35.0</v>
      </c>
    </row>
    <row r="469" ht="15.75" customHeight="1">
      <c r="A469" s="2">
        <v>34.0</v>
      </c>
    </row>
    <row r="470" ht="15.75" customHeight="1">
      <c r="A470" s="2">
        <v>33.0</v>
      </c>
    </row>
    <row r="471" ht="15.75" customHeight="1">
      <c r="A471" s="2">
        <v>32.0</v>
      </c>
    </row>
    <row r="472" ht="15.75" customHeight="1">
      <c r="A472" s="2">
        <v>31.0</v>
      </c>
    </row>
    <row r="473" ht="15.75" customHeight="1">
      <c r="A473" s="2">
        <v>30.0</v>
      </c>
    </row>
    <row r="474" ht="15.75" customHeight="1">
      <c r="A474" s="2">
        <v>29.0</v>
      </c>
    </row>
    <row r="475" ht="15.75" customHeight="1">
      <c r="A475" s="2">
        <v>28.0</v>
      </c>
    </row>
    <row r="476" ht="15.75" customHeight="1">
      <c r="A476" s="2">
        <v>27.0</v>
      </c>
    </row>
    <row r="477" ht="15.75" customHeight="1">
      <c r="A477" s="2">
        <v>26.0</v>
      </c>
    </row>
    <row r="478" ht="15.75" customHeight="1">
      <c r="A478" s="2">
        <v>25.0</v>
      </c>
    </row>
    <row r="479" ht="15.75" customHeight="1">
      <c r="A479" s="2">
        <v>24.0</v>
      </c>
    </row>
    <row r="480" ht="15.75" customHeight="1">
      <c r="A480" s="2">
        <v>23.0</v>
      </c>
    </row>
    <row r="481" ht="15.75" customHeight="1">
      <c r="A481" s="2">
        <v>22.0</v>
      </c>
    </row>
    <row r="482" ht="15.75" customHeight="1">
      <c r="A482" s="2">
        <v>21.0</v>
      </c>
    </row>
    <row r="483" ht="15.75" customHeight="1">
      <c r="A483" s="2">
        <v>20.0</v>
      </c>
    </row>
    <row r="484" ht="15.75" customHeight="1">
      <c r="A484" s="2">
        <v>19.0</v>
      </c>
    </row>
    <row r="485" ht="15.75" customHeight="1">
      <c r="A485" s="2">
        <v>18.0</v>
      </c>
    </row>
    <row r="486" ht="15.75" customHeight="1">
      <c r="A486" s="2">
        <v>17.0</v>
      </c>
    </row>
    <row r="487" ht="15.75" customHeight="1">
      <c r="A487" s="2">
        <v>16.0</v>
      </c>
    </row>
    <row r="488" ht="15.75" customHeight="1">
      <c r="A488" s="2">
        <v>15.0</v>
      </c>
    </row>
    <row r="489" ht="15.75" customHeight="1">
      <c r="A489" s="2">
        <v>14.0</v>
      </c>
    </row>
    <row r="490" ht="15.75" customHeight="1">
      <c r="A490" s="2">
        <v>13.0</v>
      </c>
    </row>
    <row r="491" ht="15.75" customHeight="1">
      <c r="A491" s="2">
        <v>12.0</v>
      </c>
    </row>
    <row r="492" ht="15.75" customHeight="1">
      <c r="A492" s="2">
        <v>11.0</v>
      </c>
    </row>
    <row r="493" ht="15.75" customHeight="1">
      <c r="A493" s="2">
        <v>10.0</v>
      </c>
    </row>
    <row r="494" ht="15.75" customHeight="1">
      <c r="A494" s="2">
        <v>9.0</v>
      </c>
    </row>
    <row r="495" ht="15.75" customHeight="1">
      <c r="A495" s="2">
        <v>8.0</v>
      </c>
    </row>
    <row r="496" ht="15.75" customHeight="1">
      <c r="A496" s="2">
        <v>7.0</v>
      </c>
    </row>
    <row r="497" ht="15.75" customHeight="1">
      <c r="A497" s="2">
        <v>6.0</v>
      </c>
    </row>
    <row r="498" ht="15.75" customHeight="1">
      <c r="A498" s="2">
        <v>5.0</v>
      </c>
    </row>
    <row r="499" ht="15.75" customHeight="1">
      <c r="A499" s="2">
        <v>4.0</v>
      </c>
    </row>
    <row r="500" ht="15.75" customHeight="1">
      <c r="A500" s="2">
        <v>3.0</v>
      </c>
    </row>
    <row r="501" ht="15.75" customHeight="1">
      <c r="A501" s="2">
        <v>2.0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170.0</v>
      </c>
    </row>
    <row r="2">
      <c r="A2" s="2">
        <v>169.0</v>
      </c>
    </row>
    <row r="3">
      <c r="A3" s="2">
        <v>168.0</v>
      </c>
    </row>
    <row r="4">
      <c r="A4" s="2">
        <v>167.0</v>
      </c>
    </row>
    <row r="5">
      <c r="A5" s="2">
        <v>166.0</v>
      </c>
    </row>
    <row r="6">
      <c r="A6" s="2">
        <v>165.0</v>
      </c>
    </row>
    <row r="7">
      <c r="A7" s="2">
        <v>164.0</v>
      </c>
    </row>
    <row r="8">
      <c r="A8" s="2">
        <v>163.0</v>
      </c>
    </row>
    <row r="9">
      <c r="A9" s="2">
        <v>162.0</v>
      </c>
    </row>
    <row r="10">
      <c r="A10" s="2">
        <v>161.0</v>
      </c>
    </row>
    <row r="11">
      <c r="A11" s="2">
        <v>160.0</v>
      </c>
    </row>
    <row r="12">
      <c r="A12" s="2">
        <v>159.0</v>
      </c>
    </row>
    <row r="13">
      <c r="A13" s="2">
        <v>158.0</v>
      </c>
    </row>
    <row r="14">
      <c r="A14" s="2">
        <v>157.0</v>
      </c>
    </row>
    <row r="15">
      <c r="A15" s="2">
        <v>156.0</v>
      </c>
    </row>
    <row r="16">
      <c r="A16" s="2">
        <v>155.0</v>
      </c>
    </row>
    <row r="17">
      <c r="A17" s="2">
        <v>154.0</v>
      </c>
    </row>
    <row r="18">
      <c r="A18" s="2">
        <v>153.0</v>
      </c>
    </row>
    <row r="19">
      <c r="A19" s="2">
        <v>152.0</v>
      </c>
    </row>
    <row r="20">
      <c r="A20" s="2">
        <v>151.0</v>
      </c>
    </row>
    <row r="21">
      <c r="A21" s="2">
        <v>150.0</v>
      </c>
    </row>
    <row r="22">
      <c r="A22" s="2">
        <v>149.0</v>
      </c>
    </row>
    <row r="23">
      <c r="A23" s="2">
        <v>148.0</v>
      </c>
    </row>
    <row r="24">
      <c r="A24" s="2">
        <v>147.0</v>
      </c>
    </row>
    <row r="25">
      <c r="A25" s="2">
        <v>146.0</v>
      </c>
    </row>
    <row r="26">
      <c r="A26" s="2">
        <v>145.0</v>
      </c>
    </row>
    <row r="27">
      <c r="A27" s="2">
        <v>144.0</v>
      </c>
    </row>
    <row r="28">
      <c r="A28" s="2">
        <v>143.0</v>
      </c>
    </row>
    <row r="29">
      <c r="A29" s="2">
        <v>142.0</v>
      </c>
    </row>
    <row r="30">
      <c r="A30" s="2">
        <v>141.0</v>
      </c>
    </row>
    <row r="31">
      <c r="A31" s="2">
        <v>140.0</v>
      </c>
    </row>
    <row r="32">
      <c r="A32" s="2">
        <v>139.0</v>
      </c>
    </row>
    <row r="33">
      <c r="A33" s="2">
        <v>138.0</v>
      </c>
    </row>
    <row r="34">
      <c r="A34" s="2">
        <v>137.0</v>
      </c>
    </row>
    <row r="35">
      <c r="A35" s="2">
        <v>136.0</v>
      </c>
    </row>
    <row r="36">
      <c r="A36" s="2">
        <v>135.0</v>
      </c>
    </row>
    <row r="37">
      <c r="A37" s="2">
        <v>134.0</v>
      </c>
    </row>
    <row r="38">
      <c r="A38" s="2">
        <v>133.0</v>
      </c>
    </row>
    <row r="39">
      <c r="A39" s="2">
        <v>132.0</v>
      </c>
    </row>
    <row r="40">
      <c r="A40" s="2">
        <v>131.0</v>
      </c>
    </row>
    <row r="41">
      <c r="A41" s="2">
        <v>130.0</v>
      </c>
    </row>
    <row r="42">
      <c r="A42" s="2">
        <v>129.0</v>
      </c>
    </row>
    <row r="43">
      <c r="A43" s="2">
        <v>128.0</v>
      </c>
    </row>
    <row r="44">
      <c r="A44" s="2">
        <v>127.0</v>
      </c>
    </row>
    <row r="45">
      <c r="A45" s="2">
        <v>126.0</v>
      </c>
    </row>
    <row r="46">
      <c r="A46" s="2">
        <v>125.0</v>
      </c>
    </row>
    <row r="47">
      <c r="A47" s="2">
        <v>124.0</v>
      </c>
    </row>
    <row r="48">
      <c r="A48" s="2">
        <v>123.0</v>
      </c>
    </row>
    <row r="49">
      <c r="A49" s="2">
        <v>122.0</v>
      </c>
    </row>
    <row r="50">
      <c r="A50" s="2">
        <v>121.0</v>
      </c>
    </row>
    <row r="51">
      <c r="A51" s="2">
        <v>120.0</v>
      </c>
    </row>
    <row r="52">
      <c r="A52" s="2">
        <v>119.0</v>
      </c>
    </row>
    <row r="53">
      <c r="A53" s="2">
        <v>118.0</v>
      </c>
    </row>
    <row r="54">
      <c r="A54" s="2">
        <v>117.0</v>
      </c>
    </row>
    <row r="55">
      <c r="A55" s="2">
        <v>116.0</v>
      </c>
    </row>
    <row r="56">
      <c r="A56" s="2">
        <v>115.0</v>
      </c>
    </row>
    <row r="57">
      <c r="A57" s="2">
        <v>114.0</v>
      </c>
    </row>
    <row r="58">
      <c r="A58" s="2">
        <v>113.0</v>
      </c>
    </row>
    <row r="59">
      <c r="A59" s="2">
        <v>112.0</v>
      </c>
    </row>
    <row r="60">
      <c r="A60" s="2">
        <v>111.0</v>
      </c>
    </row>
    <row r="61">
      <c r="A61" s="2">
        <v>110.0</v>
      </c>
    </row>
    <row r="62">
      <c r="A62" s="2">
        <v>109.0</v>
      </c>
    </row>
    <row r="63">
      <c r="A63" s="2">
        <v>108.0</v>
      </c>
    </row>
    <row r="64">
      <c r="A64" s="2">
        <v>107.0</v>
      </c>
    </row>
    <row r="65">
      <c r="A65" s="2">
        <v>106.0</v>
      </c>
    </row>
    <row r="66">
      <c r="A66" s="2">
        <v>105.0</v>
      </c>
    </row>
    <row r="67">
      <c r="A67" s="2">
        <v>104.0</v>
      </c>
    </row>
    <row r="68">
      <c r="A68" s="2">
        <v>103.0</v>
      </c>
    </row>
    <row r="69">
      <c r="A69" s="2">
        <v>102.0</v>
      </c>
    </row>
    <row r="70">
      <c r="A70" s="2">
        <v>101.0</v>
      </c>
    </row>
    <row r="71">
      <c r="A71" s="2">
        <v>100.0</v>
      </c>
    </row>
    <row r="72">
      <c r="A72" s="2">
        <v>99.0</v>
      </c>
    </row>
    <row r="73">
      <c r="A73" s="2">
        <v>98.0</v>
      </c>
    </row>
    <row r="74">
      <c r="A74" s="2">
        <v>97.0</v>
      </c>
    </row>
    <row r="75">
      <c r="A75" s="2">
        <v>96.0</v>
      </c>
    </row>
    <row r="76">
      <c r="A76" s="2">
        <v>95.0</v>
      </c>
    </row>
    <row r="77">
      <c r="A77" s="2">
        <v>94.0</v>
      </c>
    </row>
    <row r="78">
      <c r="A78" s="2">
        <v>93.0</v>
      </c>
    </row>
    <row r="79">
      <c r="A79" s="2">
        <v>92.0</v>
      </c>
    </row>
    <row r="80">
      <c r="A80" s="2">
        <v>91.0</v>
      </c>
    </row>
    <row r="81">
      <c r="A81" s="2">
        <v>90.0</v>
      </c>
    </row>
    <row r="82">
      <c r="A82" s="2">
        <v>89.0</v>
      </c>
    </row>
    <row r="83">
      <c r="A83" s="2">
        <v>88.0</v>
      </c>
    </row>
    <row r="84">
      <c r="A84" s="2">
        <v>87.0</v>
      </c>
    </row>
    <row r="85">
      <c r="A85" s="2">
        <v>86.0</v>
      </c>
    </row>
    <row r="86">
      <c r="A86" s="2">
        <v>85.0</v>
      </c>
    </row>
    <row r="87">
      <c r="A87" s="2">
        <v>84.0</v>
      </c>
    </row>
    <row r="88">
      <c r="A88" s="2">
        <v>83.0</v>
      </c>
    </row>
    <row r="89">
      <c r="A89" s="2">
        <v>82.0</v>
      </c>
    </row>
    <row r="90">
      <c r="A90" s="2">
        <v>81.0</v>
      </c>
    </row>
    <row r="91">
      <c r="A91" s="2">
        <v>80.0</v>
      </c>
    </row>
    <row r="92">
      <c r="A92" s="2">
        <v>79.0</v>
      </c>
    </row>
    <row r="93">
      <c r="A93" s="2">
        <v>78.0</v>
      </c>
    </row>
    <row r="94">
      <c r="A94" s="2">
        <v>77.0</v>
      </c>
    </row>
    <row r="95">
      <c r="A95" s="2">
        <v>76.0</v>
      </c>
    </row>
    <row r="96">
      <c r="A96" s="2">
        <v>75.0</v>
      </c>
    </row>
    <row r="97">
      <c r="A97" s="2">
        <v>74.0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.29"/>
    <col customWidth="1" min="2" max="4" width="11.0"/>
    <col customWidth="1" min="5" max="5" width="6.0"/>
    <col customWidth="1" min="6" max="7" width="8.14"/>
    <col customWidth="1" min="8" max="8" width="6.14"/>
    <col customWidth="1" min="9" max="9" width="6.0"/>
    <col customWidth="1" min="15" max="15" width="3.29"/>
  </cols>
  <sheetData>
    <row r="1">
      <c r="B1" s="2" t="s">
        <v>102</v>
      </c>
      <c r="C1" s="2" t="s">
        <v>103</v>
      </c>
      <c r="D1" s="2" t="s">
        <v>103</v>
      </c>
      <c r="F1" s="2" t="s">
        <v>104</v>
      </c>
      <c r="G1" s="2" t="s">
        <v>104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P1" s="2" t="s">
        <v>78</v>
      </c>
    </row>
    <row r="2">
      <c r="A2" s="2" t="s">
        <v>2</v>
      </c>
      <c r="B2" s="2" t="s">
        <v>111</v>
      </c>
      <c r="C2" s="2" t="s">
        <v>112</v>
      </c>
      <c r="D2" s="2" t="s">
        <v>113</v>
      </c>
      <c r="F2" s="2" t="s">
        <v>111</v>
      </c>
      <c r="G2" s="2" t="s">
        <v>112</v>
      </c>
      <c r="H2" s="2" t="s">
        <v>113</v>
      </c>
      <c r="I2" s="2" t="s">
        <v>2</v>
      </c>
      <c r="J2" s="2" t="s">
        <v>111</v>
      </c>
      <c r="K2" s="2" t="s">
        <v>112</v>
      </c>
      <c r="L2" s="2" t="s">
        <v>113</v>
      </c>
    </row>
    <row r="3">
      <c r="A3" s="29">
        <v>41.0</v>
      </c>
      <c r="B3" s="2">
        <v>9.0</v>
      </c>
      <c r="C3" s="2">
        <v>32.0</v>
      </c>
      <c r="D3" s="2">
        <v>0.0</v>
      </c>
      <c r="E3" s="1">
        <f t="shared" ref="E3:E60" si="2">COUNTIF(C$2:C$60,C3)</f>
        <v>16</v>
      </c>
      <c r="F3" s="30">
        <v>9.0</v>
      </c>
      <c r="G3" s="2">
        <v>32.0</v>
      </c>
      <c r="H3" s="2">
        <v>0.0</v>
      </c>
      <c r="I3" s="1">
        <f t="shared" ref="I3:I124" si="3">SUM(F3:H3)</f>
        <v>41</v>
      </c>
      <c r="J3" s="1" t="b">
        <f t="shared" ref="J3:L3" si="1">EQ(F3,B3)</f>
        <v>1</v>
      </c>
      <c r="K3" s="1" t="b">
        <f t="shared" si="1"/>
        <v>1</v>
      </c>
      <c r="L3" s="1" t="b">
        <f t="shared" si="1"/>
        <v>1</v>
      </c>
      <c r="N3" s="2" t="s">
        <v>114</v>
      </c>
      <c r="O3" s="31">
        <f t="shared" ref="O3:O60" si="5">COUNTIF(G$3:G$60,G3)</f>
        <v>12</v>
      </c>
    </row>
    <row r="4">
      <c r="A4" s="29">
        <v>42.0</v>
      </c>
      <c r="B4" s="2">
        <v>10.0</v>
      </c>
      <c r="C4" s="2">
        <v>32.0</v>
      </c>
      <c r="D4" s="2">
        <v>0.0</v>
      </c>
      <c r="E4" s="1">
        <f t="shared" si="2"/>
        <v>16</v>
      </c>
      <c r="F4" s="2">
        <v>10.0</v>
      </c>
      <c r="G4" s="2">
        <v>32.0</v>
      </c>
      <c r="H4" s="2">
        <v>0.0</v>
      </c>
      <c r="I4" s="1">
        <f t="shared" si="3"/>
        <v>42</v>
      </c>
      <c r="J4" s="1" t="b">
        <f t="shared" ref="J4:L4" si="4">EQ(F4,B4)</f>
        <v>1</v>
      </c>
      <c r="K4" s="1" t="b">
        <f t="shared" si="4"/>
        <v>1</v>
      </c>
      <c r="L4" s="1" t="b">
        <f t="shared" si="4"/>
        <v>1</v>
      </c>
      <c r="N4" s="2" t="s">
        <v>114</v>
      </c>
      <c r="O4" s="31">
        <f t="shared" si="5"/>
        <v>12</v>
      </c>
    </row>
    <row r="5">
      <c r="A5" s="29">
        <v>43.0</v>
      </c>
      <c r="B5" s="2">
        <v>3.0</v>
      </c>
      <c r="C5" s="2">
        <v>40.0</v>
      </c>
      <c r="D5" s="2">
        <v>0.0</v>
      </c>
      <c r="E5" s="1">
        <f t="shared" si="2"/>
        <v>16</v>
      </c>
      <c r="F5" s="2">
        <v>3.0</v>
      </c>
      <c r="G5" s="2">
        <v>40.0</v>
      </c>
      <c r="H5" s="2">
        <v>0.0</v>
      </c>
      <c r="I5" s="1">
        <f t="shared" si="3"/>
        <v>43</v>
      </c>
      <c r="J5" s="1" t="b">
        <f t="shared" ref="J5:L5" si="6">EQ(F5,B5)</f>
        <v>1</v>
      </c>
      <c r="K5" s="1" t="b">
        <f t="shared" si="6"/>
        <v>1</v>
      </c>
      <c r="L5" s="1" t="b">
        <f t="shared" si="6"/>
        <v>1</v>
      </c>
      <c r="N5" s="2" t="s">
        <v>114</v>
      </c>
      <c r="O5" s="31">
        <f t="shared" si="5"/>
        <v>15</v>
      </c>
    </row>
    <row r="6">
      <c r="A6" s="32">
        <v>44.0</v>
      </c>
      <c r="B6" s="2">
        <v>4.0</v>
      </c>
      <c r="C6" s="2">
        <v>40.0</v>
      </c>
      <c r="D6" s="2">
        <v>0.0</v>
      </c>
      <c r="E6" s="1">
        <f t="shared" si="2"/>
        <v>16</v>
      </c>
      <c r="F6" s="2">
        <v>12.0</v>
      </c>
      <c r="G6" s="2">
        <v>32.0</v>
      </c>
      <c r="H6" s="2">
        <v>0.0</v>
      </c>
      <c r="I6" s="1">
        <f t="shared" si="3"/>
        <v>44</v>
      </c>
      <c r="J6" s="1" t="b">
        <f t="shared" ref="J6:L6" si="7">EQ(F6,B6)</f>
        <v>0</v>
      </c>
      <c r="K6" s="1" t="b">
        <f t="shared" si="7"/>
        <v>0</v>
      </c>
      <c r="L6" s="1" t="b">
        <f t="shared" si="7"/>
        <v>1</v>
      </c>
      <c r="M6" s="1" t="b">
        <f>EQ(F6,G6)</f>
        <v>0</v>
      </c>
      <c r="O6" s="31">
        <f t="shared" si="5"/>
        <v>12</v>
      </c>
    </row>
    <row r="7">
      <c r="A7" s="29">
        <v>45.0</v>
      </c>
      <c r="B7" s="2">
        <v>13.0</v>
      </c>
      <c r="C7" s="2">
        <v>32.0</v>
      </c>
      <c r="D7" s="2">
        <v>0.0</v>
      </c>
      <c r="E7" s="1">
        <f t="shared" si="2"/>
        <v>16</v>
      </c>
      <c r="F7" s="2">
        <v>13.0</v>
      </c>
      <c r="G7" s="1">
        <f t="shared" ref="G7:G27" si="9">A7-F7</f>
        <v>32</v>
      </c>
      <c r="H7" s="2">
        <v>0.0</v>
      </c>
      <c r="I7" s="1">
        <f t="shared" si="3"/>
        <v>45</v>
      </c>
      <c r="J7" s="1" t="b">
        <f t="shared" ref="J7:L7" si="8">EQ(F7,B7)</f>
        <v>1</v>
      </c>
      <c r="K7" s="1" t="b">
        <f t="shared" si="8"/>
        <v>1</v>
      </c>
      <c r="L7" s="1" t="b">
        <f t="shared" si="8"/>
        <v>1</v>
      </c>
      <c r="N7" s="2" t="s">
        <v>114</v>
      </c>
      <c r="O7" s="31">
        <f t="shared" si="5"/>
        <v>12</v>
      </c>
    </row>
    <row r="8">
      <c r="A8" s="32">
        <v>46.0</v>
      </c>
      <c r="B8" s="2">
        <v>6.0</v>
      </c>
      <c r="C8" s="2">
        <v>40.0</v>
      </c>
      <c r="D8" s="2">
        <v>0.0</v>
      </c>
      <c r="E8" s="1">
        <f t="shared" si="2"/>
        <v>16</v>
      </c>
      <c r="F8" s="2">
        <v>10.0</v>
      </c>
      <c r="G8" s="1">
        <f t="shared" si="9"/>
        <v>36</v>
      </c>
      <c r="H8" s="2">
        <v>0.0</v>
      </c>
      <c r="I8" s="1">
        <f t="shared" si="3"/>
        <v>46</v>
      </c>
      <c r="J8" s="1" t="b">
        <f t="shared" ref="J8:L8" si="10">EQ(F8,B8)</f>
        <v>0</v>
      </c>
      <c r="K8" s="1" t="b">
        <f t="shared" si="10"/>
        <v>0</v>
      </c>
      <c r="L8" s="1" t="b">
        <f t="shared" si="10"/>
        <v>1</v>
      </c>
      <c r="M8" s="1" t="b">
        <f t="shared" ref="M8:M9" si="12">EQ(F8,G8)</f>
        <v>0</v>
      </c>
      <c r="O8" s="31">
        <f t="shared" si="5"/>
        <v>10</v>
      </c>
    </row>
    <row r="9">
      <c r="A9" s="32">
        <v>47.0</v>
      </c>
      <c r="B9" s="2">
        <v>7.0</v>
      </c>
      <c r="C9" s="2">
        <v>40.0</v>
      </c>
      <c r="D9" s="2">
        <v>0.0</v>
      </c>
      <c r="E9" s="1">
        <f t="shared" si="2"/>
        <v>16</v>
      </c>
      <c r="F9" s="2">
        <v>15.0</v>
      </c>
      <c r="G9" s="1">
        <f t="shared" si="9"/>
        <v>32</v>
      </c>
      <c r="H9" s="2">
        <v>0.0</v>
      </c>
      <c r="I9" s="1">
        <f t="shared" si="3"/>
        <v>47</v>
      </c>
      <c r="J9" s="1" t="b">
        <f t="shared" ref="J9:L9" si="11">EQ(F9,B9)</f>
        <v>0</v>
      </c>
      <c r="K9" s="1" t="b">
        <f t="shared" si="11"/>
        <v>0</v>
      </c>
      <c r="L9" s="1" t="b">
        <f t="shared" si="11"/>
        <v>1</v>
      </c>
      <c r="M9" s="1" t="b">
        <f t="shared" si="12"/>
        <v>0</v>
      </c>
      <c r="O9" s="31">
        <f t="shared" si="5"/>
        <v>12</v>
      </c>
    </row>
    <row r="10">
      <c r="A10" s="29">
        <v>48.0</v>
      </c>
      <c r="B10" s="2">
        <v>16.0</v>
      </c>
      <c r="C10" s="2">
        <v>32.0</v>
      </c>
      <c r="D10" s="2">
        <v>0.0</v>
      </c>
      <c r="E10" s="1">
        <f t="shared" si="2"/>
        <v>16</v>
      </c>
      <c r="F10" s="2">
        <v>16.0</v>
      </c>
      <c r="G10" s="1">
        <f t="shared" si="9"/>
        <v>32</v>
      </c>
      <c r="H10" s="2">
        <v>0.0</v>
      </c>
      <c r="I10" s="1">
        <f t="shared" si="3"/>
        <v>48</v>
      </c>
      <c r="J10" s="1" t="b">
        <f t="shared" ref="J10:L10" si="13">EQ(F10,B10)</f>
        <v>1</v>
      </c>
      <c r="K10" s="1" t="b">
        <f t="shared" si="13"/>
        <v>1</v>
      </c>
      <c r="L10" s="1" t="b">
        <f t="shared" si="13"/>
        <v>1</v>
      </c>
      <c r="N10" s="2" t="s">
        <v>114</v>
      </c>
      <c r="O10" s="31">
        <f t="shared" si="5"/>
        <v>12</v>
      </c>
    </row>
    <row r="11">
      <c r="A11" s="32">
        <v>49.0</v>
      </c>
      <c r="B11" s="2">
        <v>17.0</v>
      </c>
      <c r="C11" s="2">
        <v>32.0</v>
      </c>
      <c r="D11" s="2">
        <v>0.0</v>
      </c>
      <c r="E11" s="1">
        <f t="shared" si="2"/>
        <v>16</v>
      </c>
      <c r="F11" s="2">
        <v>9.0</v>
      </c>
      <c r="G11" s="1">
        <f t="shared" si="9"/>
        <v>40</v>
      </c>
      <c r="H11" s="2">
        <v>0.0</v>
      </c>
      <c r="I11" s="1">
        <f t="shared" si="3"/>
        <v>49</v>
      </c>
      <c r="J11" s="1" t="b">
        <f t="shared" ref="J11:L11" si="14">EQ(F11,B11)</f>
        <v>0</v>
      </c>
      <c r="K11" s="1" t="b">
        <f t="shared" si="14"/>
        <v>0</v>
      </c>
      <c r="L11" s="1" t="b">
        <f t="shared" si="14"/>
        <v>1</v>
      </c>
      <c r="M11" s="1" t="b">
        <f t="shared" ref="M11:M15" si="16">EQ(F11,G11)</f>
        <v>0</v>
      </c>
      <c r="O11" s="31">
        <f t="shared" si="5"/>
        <v>15</v>
      </c>
    </row>
    <row r="12">
      <c r="A12" s="32">
        <v>50.0</v>
      </c>
      <c r="B12" s="2">
        <v>18.0</v>
      </c>
      <c r="C12" s="2">
        <v>32.0</v>
      </c>
      <c r="D12" s="2">
        <v>0.0</v>
      </c>
      <c r="E12" s="1">
        <f t="shared" si="2"/>
        <v>16</v>
      </c>
      <c r="F12" s="2">
        <v>14.0</v>
      </c>
      <c r="G12" s="1">
        <f t="shared" si="9"/>
        <v>36</v>
      </c>
      <c r="H12" s="2">
        <v>0.0</v>
      </c>
      <c r="I12" s="1">
        <f t="shared" si="3"/>
        <v>50</v>
      </c>
      <c r="J12" s="1" t="b">
        <f t="shared" ref="J12:L12" si="15">EQ(F12,B12)</f>
        <v>0</v>
      </c>
      <c r="K12" s="1" t="b">
        <f t="shared" si="15"/>
        <v>0</v>
      </c>
      <c r="L12" s="1" t="b">
        <f t="shared" si="15"/>
        <v>1</v>
      </c>
      <c r="M12" s="1" t="b">
        <f t="shared" si="16"/>
        <v>0</v>
      </c>
      <c r="O12" s="31">
        <f t="shared" si="5"/>
        <v>10</v>
      </c>
    </row>
    <row r="13">
      <c r="A13" s="32">
        <v>51.0</v>
      </c>
      <c r="B13" s="2">
        <v>19.0</v>
      </c>
      <c r="C13" s="2">
        <v>32.0</v>
      </c>
      <c r="D13" s="2">
        <v>0.0</v>
      </c>
      <c r="E13" s="1">
        <f t="shared" si="2"/>
        <v>16</v>
      </c>
      <c r="F13" s="2">
        <v>11.0</v>
      </c>
      <c r="G13" s="1">
        <f t="shared" si="9"/>
        <v>40</v>
      </c>
      <c r="H13" s="2">
        <v>0.0</v>
      </c>
      <c r="I13" s="1">
        <f t="shared" si="3"/>
        <v>51</v>
      </c>
      <c r="J13" s="1" t="b">
        <f t="shared" ref="J13:L13" si="17">EQ(F13,B13)</f>
        <v>0</v>
      </c>
      <c r="K13" s="1" t="b">
        <f t="shared" si="17"/>
        <v>0</v>
      </c>
      <c r="L13" s="1" t="b">
        <f t="shared" si="17"/>
        <v>1</v>
      </c>
      <c r="M13" s="1" t="b">
        <f t="shared" si="16"/>
        <v>0</v>
      </c>
      <c r="O13" s="31">
        <f t="shared" si="5"/>
        <v>15</v>
      </c>
    </row>
    <row r="14">
      <c r="A14" s="32">
        <v>52.0</v>
      </c>
      <c r="B14" s="2">
        <v>20.0</v>
      </c>
      <c r="C14" s="2">
        <v>32.0</v>
      </c>
      <c r="D14" s="2">
        <v>0.0</v>
      </c>
      <c r="E14" s="1">
        <f t="shared" si="2"/>
        <v>16</v>
      </c>
      <c r="F14" s="2">
        <v>12.0</v>
      </c>
      <c r="G14" s="1">
        <f t="shared" si="9"/>
        <v>40</v>
      </c>
      <c r="H14" s="2">
        <v>0.0</v>
      </c>
      <c r="I14" s="1">
        <f t="shared" si="3"/>
        <v>52</v>
      </c>
      <c r="J14" s="1" t="b">
        <f t="shared" ref="J14:L14" si="18">EQ(F14,B14)</f>
        <v>0</v>
      </c>
      <c r="K14" s="1" t="b">
        <f t="shared" si="18"/>
        <v>0</v>
      </c>
      <c r="L14" s="1" t="b">
        <f t="shared" si="18"/>
        <v>1</v>
      </c>
      <c r="M14" s="1" t="b">
        <f t="shared" si="16"/>
        <v>0</v>
      </c>
      <c r="O14" s="31">
        <f t="shared" si="5"/>
        <v>15</v>
      </c>
    </row>
    <row r="15">
      <c r="A15" s="32">
        <v>53.0</v>
      </c>
      <c r="B15" s="2">
        <v>13.0</v>
      </c>
      <c r="C15" s="2">
        <v>40.0</v>
      </c>
      <c r="D15" s="2">
        <v>0.0</v>
      </c>
      <c r="E15" s="1">
        <f t="shared" si="2"/>
        <v>16</v>
      </c>
      <c r="F15" s="2">
        <v>17.0</v>
      </c>
      <c r="G15" s="1">
        <f t="shared" si="9"/>
        <v>36</v>
      </c>
      <c r="H15" s="2">
        <v>0.0</v>
      </c>
      <c r="I15" s="1">
        <f t="shared" si="3"/>
        <v>53</v>
      </c>
      <c r="J15" s="1" t="b">
        <f t="shared" ref="J15:L15" si="19">EQ(F15,B15)</f>
        <v>0</v>
      </c>
      <c r="K15" s="1" t="b">
        <f t="shared" si="19"/>
        <v>0</v>
      </c>
      <c r="L15" s="1" t="b">
        <f t="shared" si="19"/>
        <v>1</v>
      </c>
      <c r="M15" s="1" t="b">
        <f t="shared" si="16"/>
        <v>0</v>
      </c>
      <c r="O15" s="31">
        <f t="shared" si="5"/>
        <v>10</v>
      </c>
    </row>
    <row r="16">
      <c r="A16" s="29">
        <v>54.0</v>
      </c>
      <c r="B16" s="2">
        <v>14.0</v>
      </c>
      <c r="C16" s="2">
        <v>40.0</v>
      </c>
      <c r="D16" s="2">
        <v>0.0</v>
      </c>
      <c r="E16" s="1">
        <f t="shared" si="2"/>
        <v>16</v>
      </c>
      <c r="F16" s="2">
        <v>14.0</v>
      </c>
      <c r="G16" s="1">
        <f t="shared" si="9"/>
        <v>40</v>
      </c>
      <c r="H16" s="2">
        <v>0.0</v>
      </c>
      <c r="I16" s="1">
        <f t="shared" si="3"/>
        <v>54</v>
      </c>
      <c r="J16" s="1" t="b">
        <f t="shared" ref="J16:L16" si="20">EQ(F16,B16)</f>
        <v>1</v>
      </c>
      <c r="K16" s="1" t="b">
        <f t="shared" si="20"/>
        <v>1</v>
      </c>
      <c r="L16" s="1" t="b">
        <f t="shared" si="20"/>
        <v>1</v>
      </c>
      <c r="N16" s="2" t="s">
        <v>114</v>
      </c>
      <c r="O16" s="31">
        <f t="shared" si="5"/>
        <v>15</v>
      </c>
    </row>
    <row r="17">
      <c r="A17" s="29">
        <v>55.0</v>
      </c>
      <c r="B17" s="2">
        <v>15.0</v>
      </c>
      <c r="C17" s="2">
        <v>40.0</v>
      </c>
      <c r="D17" s="2">
        <v>0.0</v>
      </c>
      <c r="E17" s="1">
        <f t="shared" si="2"/>
        <v>16</v>
      </c>
      <c r="F17" s="2">
        <v>15.0</v>
      </c>
      <c r="G17" s="1">
        <f t="shared" si="9"/>
        <v>40</v>
      </c>
      <c r="H17" s="2">
        <v>0.0</v>
      </c>
      <c r="I17" s="1">
        <f t="shared" si="3"/>
        <v>55</v>
      </c>
      <c r="J17" s="1" t="b">
        <f t="shared" ref="J17:L17" si="21">EQ(F17,B17)</f>
        <v>1</v>
      </c>
      <c r="K17" s="1" t="b">
        <f t="shared" si="21"/>
        <v>1</v>
      </c>
      <c r="L17" s="1" t="b">
        <f t="shared" si="21"/>
        <v>1</v>
      </c>
      <c r="N17" s="2" t="s">
        <v>114</v>
      </c>
      <c r="O17" s="31">
        <f t="shared" si="5"/>
        <v>15</v>
      </c>
    </row>
    <row r="18">
      <c r="A18" s="29">
        <v>56.0</v>
      </c>
      <c r="B18" s="2">
        <v>16.0</v>
      </c>
      <c r="C18" s="2">
        <v>40.0</v>
      </c>
      <c r="D18" s="2">
        <v>0.0</v>
      </c>
      <c r="E18" s="1">
        <f t="shared" si="2"/>
        <v>16</v>
      </c>
      <c r="F18" s="2">
        <v>16.0</v>
      </c>
      <c r="G18" s="1">
        <f t="shared" si="9"/>
        <v>40</v>
      </c>
      <c r="H18" s="2">
        <v>0.0</v>
      </c>
      <c r="I18" s="1">
        <f t="shared" si="3"/>
        <v>56</v>
      </c>
      <c r="J18" s="1" t="b">
        <f t="shared" ref="J18:L18" si="22">EQ(F18,B18)</f>
        <v>1</v>
      </c>
      <c r="K18" s="1" t="b">
        <f t="shared" si="22"/>
        <v>1</v>
      </c>
      <c r="L18" s="1" t="b">
        <f t="shared" si="22"/>
        <v>1</v>
      </c>
      <c r="N18" s="2" t="s">
        <v>114</v>
      </c>
      <c r="O18" s="31">
        <f t="shared" si="5"/>
        <v>15</v>
      </c>
    </row>
    <row r="19">
      <c r="A19" s="29">
        <v>57.0</v>
      </c>
      <c r="B19" s="2">
        <v>17.0</v>
      </c>
      <c r="C19" s="2">
        <v>40.0</v>
      </c>
      <c r="D19" s="2">
        <v>0.0</v>
      </c>
      <c r="E19" s="1">
        <f t="shared" si="2"/>
        <v>16</v>
      </c>
      <c r="F19" s="2">
        <v>17.0</v>
      </c>
      <c r="G19" s="1">
        <f t="shared" si="9"/>
        <v>40</v>
      </c>
      <c r="H19" s="2">
        <v>0.0</v>
      </c>
      <c r="I19" s="1">
        <f t="shared" si="3"/>
        <v>57</v>
      </c>
      <c r="J19" s="1" t="b">
        <f t="shared" ref="J19:L19" si="23">EQ(F19,B19)</f>
        <v>1</v>
      </c>
      <c r="K19" s="1" t="b">
        <f t="shared" si="23"/>
        <v>1</v>
      </c>
      <c r="L19" s="1" t="b">
        <f t="shared" si="23"/>
        <v>1</v>
      </c>
      <c r="N19" s="2" t="s">
        <v>114</v>
      </c>
      <c r="O19" s="31">
        <f t="shared" si="5"/>
        <v>15</v>
      </c>
    </row>
    <row r="20">
      <c r="A20" s="29">
        <v>58.0</v>
      </c>
      <c r="B20" s="2">
        <v>18.0</v>
      </c>
      <c r="C20" s="2">
        <v>40.0</v>
      </c>
      <c r="D20" s="2">
        <v>0.0</v>
      </c>
      <c r="E20" s="1">
        <f t="shared" si="2"/>
        <v>16</v>
      </c>
      <c r="F20" s="2">
        <v>18.0</v>
      </c>
      <c r="G20" s="1">
        <f t="shared" si="9"/>
        <v>40</v>
      </c>
      <c r="H20" s="2">
        <v>0.0</v>
      </c>
      <c r="I20" s="1">
        <f t="shared" si="3"/>
        <v>58</v>
      </c>
      <c r="J20" s="1" t="b">
        <f t="shared" ref="J20:L20" si="24">EQ(F20,B20)</f>
        <v>1</v>
      </c>
      <c r="K20" s="1" t="b">
        <f t="shared" si="24"/>
        <v>1</v>
      </c>
      <c r="L20" s="1" t="b">
        <f t="shared" si="24"/>
        <v>1</v>
      </c>
      <c r="N20" s="2" t="s">
        <v>114</v>
      </c>
      <c r="O20" s="31">
        <f t="shared" si="5"/>
        <v>15</v>
      </c>
    </row>
    <row r="21">
      <c r="A21" s="29">
        <v>59.0</v>
      </c>
      <c r="B21" s="2">
        <v>19.0</v>
      </c>
      <c r="C21" s="2">
        <v>40.0</v>
      </c>
      <c r="D21" s="2">
        <v>0.0</v>
      </c>
      <c r="E21" s="1">
        <f t="shared" si="2"/>
        <v>16</v>
      </c>
      <c r="F21" s="2">
        <v>19.0</v>
      </c>
      <c r="G21" s="1">
        <f t="shared" si="9"/>
        <v>40</v>
      </c>
      <c r="H21" s="2">
        <v>0.0</v>
      </c>
      <c r="I21" s="1">
        <f t="shared" si="3"/>
        <v>59</v>
      </c>
      <c r="J21" s="1" t="b">
        <f t="shared" ref="J21:L21" si="25">EQ(F21,B21)</f>
        <v>1</v>
      </c>
      <c r="K21" s="1" t="b">
        <f t="shared" si="25"/>
        <v>1</v>
      </c>
      <c r="L21" s="1" t="b">
        <f t="shared" si="25"/>
        <v>1</v>
      </c>
      <c r="N21" s="2" t="s">
        <v>114</v>
      </c>
      <c r="O21" s="31">
        <f t="shared" si="5"/>
        <v>15</v>
      </c>
    </row>
    <row r="22">
      <c r="A22" s="29">
        <v>60.0</v>
      </c>
      <c r="B22" s="2">
        <v>20.0</v>
      </c>
      <c r="C22" s="2">
        <v>40.0</v>
      </c>
      <c r="D22" s="2">
        <v>0.0</v>
      </c>
      <c r="E22" s="1">
        <f t="shared" si="2"/>
        <v>16</v>
      </c>
      <c r="F22" s="2">
        <v>20.0</v>
      </c>
      <c r="G22" s="1">
        <f t="shared" si="9"/>
        <v>40</v>
      </c>
      <c r="H22" s="2">
        <v>0.0</v>
      </c>
      <c r="I22" s="1">
        <f t="shared" si="3"/>
        <v>60</v>
      </c>
      <c r="J22" s="1" t="b">
        <f t="shared" ref="J22:L22" si="26">EQ(F22,B22)</f>
        <v>1</v>
      </c>
      <c r="K22" s="1" t="b">
        <f t="shared" si="26"/>
        <v>1</v>
      </c>
      <c r="L22" s="1" t="b">
        <f t="shared" si="26"/>
        <v>1</v>
      </c>
      <c r="N22" s="2" t="s">
        <v>114</v>
      </c>
      <c r="O22" s="31">
        <f t="shared" si="5"/>
        <v>15</v>
      </c>
    </row>
    <row r="23">
      <c r="A23" s="29">
        <v>61.0</v>
      </c>
      <c r="B23" s="2">
        <v>45.0</v>
      </c>
      <c r="C23" s="2">
        <v>16.0</v>
      </c>
      <c r="D23" s="2">
        <v>0.0</v>
      </c>
      <c r="E23" s="1">
        <f t="shared" si="2"/>
        <v>6</v>
      </c>
      <c r="F23" s="2">
        <v>45.0</v>
      </c>
      <c r="G23" s="1">
        <f t="shared" si="9"/>
        <v>16</v>
      </c>
      <c r="H23" s="2">
        <v>0.0</v>
      </c>
      <c r="I23" s="1">
        <f t="shared" si="3"/>
        <v>61</v>
      </c>
      <c r="J23" s="1" t="b">
        <f t="shared" ref="J23:L23" si="27">EQ(F23,B23)</f>
        <v>1</v>
      </c>
      <c r="K23" s="1" t="b">
        <f t="shared" si="27"/>
        <v>1</v>
      </c>
      <c r="L23" s="1" t="b">
        <f t="shared" si="27"/>
        <v>1</v>
      </c>
      <c r="N23" s="2" t="s">
        <v>114</v>
      </c>
      <c r="O23" s="31">
        <f t="shared" si="5"/>
        <v>5</v>
      </c>
    </row>
    <row r="24">
      <c r="A24" s="32">
        <v>62.0</v>
      </c>
      <c r="B24" s="2">
        <v>30.0</v>
      </c>
      <c r="C24" s="2">
        <v>32.0</v>
      </c>
      <c r="D24" s="2">
        <v>0.0</v>
      </c>
      <c r="E24" s="1">
        <f t="shared" si="2"/>
        <v>16</v>
      </c>
      <c r="F24" s="2">
        <v>42.0</v>
      </c>
      <c r="G24" s="1">
        <f t="shared" si="9"/>
        <v>20</v>
      </c>
      <c r="H24" s="2">
        <v>0.0</v>
      </c>
      <c r="I24" s="1">
        <f t="shared" si="3"/>
        <v>62</v>
      </c>
      <c r="J24" s="1" t="b">
        <f t="shared" ref="J24:L24" si="28">EQ(F24,B24)</f>
        <v>0</v>
      </c>
      <c r="K24" s="1" t="b">
        <f t="shared" si="28"/>
        <v>0</v>
      </c>
      <c r="L24" s="1" t="b">
        <f t="shared" si="28"/>
        <v>1</v>
      </c>
      <c r="M24" s="1" t="b">
        <f t="shared" ref="M24:M25" si="30">EQ(F24,G24)</f>
        <v>0</v>
      </c>
      <c r="O24" s="31">
        <f t="shared" si="5"/>
        <v>5</v>
      </c>
    </row>
    <row r="25">
      <c r="A25" s="32">
        <v>63.0</v>
      </c>
      <c r="B25" s="2">
        <v>39.0</v>
      </c>
      <c r="C25" s="2">
        <v>24.0</v>
      </c>
      <c r="D25" s="2">
        <v>0.0</v>
      </c>
      <c r="E25" s="1">
        <f t="shared" si="2"/>
        <v>7</v>
      </c>
      <c r="F25" s="2">
        <v>51.0</v>
      </c>
      <c r="G25" s="1">
        <f t="shared" si="9"/>
        <v>12</v>
      </c>
      <c r="H25" s="2">
        <v>0.0</v>
      </c>
      <c r="I25" s="1">
        <f t="shared" si="3"/>
        <v>63</v>
      </c>
      <c r="J25" s="1" t="b">
        <f t="shared" ref="J25:L25" si="29">EQ(F25,B25)</f>
        <v>0</v>
      </c>
      <c r="K25" s="1" t="b">
        <f t="shared" si="29"/>
        <v>0</v>
      </c>
      <c r="L25" s="1" t="b">
        <f t="shared" si="29"/>
        <v>1</v>
      </c>
      <c r="M25" s="1" t="b">
        <f t="shared" si="30"/>
        <v>0</v>
      </c>
      <c r="O25" s="31">
        <f t="shared" si="5"/>
        <v>3</v>
      </c>
    </row>
    <row r="26">
      <c r="A26" s="29">
        <v>64.0</v>
      </c>
      <c r="B26" s="2">
        <v>48.0</v>
      </c>
      <c r="C26" s="2">
        <v>16.0</v>
      </c>
      <c r="D26" s="2">
        <v>0.0</v>
      </c>
      <c r="E26" s="1">
        <f t="shared" si="2"/>
        <v>6</v>
      </c>
      <c r="F26" s="2">
        <v>48.0</v>
      </c>
      <c r="G26" s="1">
        <f t="shared" si="9"/>
        <v>16</v>
      </c>
      <c r="H26" s="2">
        <v>0.0</v>
      </c>
      <c r="I26" s="1">
        <f t="shared" si="3"/>
        <v>64</v>
      </c>
      <c r="J26" s="1" t="b">
        <f t="shared" ref="J26:L26" si="31">EQ(F26,B26)</f>
        <v>1</v>
      </c>
      <c r="K26" s="1" t="b">
        <f t="shared" si="31"/>
        <v>1</v>
      </c>
      <c r="L26" s="1" t="b">
        <f t="shared" si="31"/>
        <v>1</v>
      </c>
      <c r="N26" s="2" t="s">
        <v>114</v>
      </c>
      <c r="O26" s="31">
        <f t="shared" si="5"/>
        <v>5</v>
      </c>
    </row>
    <row r="27">
      <c r="A27" s="32">
        <v>65.0</v>
      </c>
      <c r="B27" s="2">
        <v>57.0</v>
      </c>
      <c r="C27" s="2">
        <v>8.0</v>
      </c>
      <c r="D27" s="2">
        <v>0.0</v>
      </c>
      <c r="E27" s="1">
        <f t="shared" si="2"/>
        <v>2</v>
      </c>
      <c r="F27" s="2">
        <v>45.0</v>
      </c>
      <c r="G27" s="1">
        <f t="shared" si="9"/>
        <v>20</v>
      </c>
      <c r="H27" s="2">
        <v>0.0</v>
      </c>
      <c r="I27" s="1">
        <f t="shared" si="3"/>
        <v>65</v>
      </c>
      <c r="J27" s="1" t="b">
        <f t="shared" ref="J27:L27" si="32">EQ(F27,B27)</f>
        <v>0</v>
      </c>
      <c r="K27" s="1" t="b">
        <f t="shared" si="32"/>
        <v>0</v>
      </c>
      <c r="L27" s="1" t="b">
        <f t="shared" si="32"/>
        <v>1</v>
      </c>
      <c r="M27" s="1" t="b">
        <f t="shared" ref="M27:M29" si="34">EQ(F27,G27)</f>
        <v>0</v>
      </c>
      <c r="O27" s="31">
        <f t="shared" si="5"/>
        <v>5</v>
      </c>
    </row>
    <row r="28">
      <c r="A28" s="32">
        <v>66.0</v>
      </c>
      <c r="B28" s="2">
        <v>42.0</v>
      </c>
      <c r="C28" s="2">
        <v>24.0</v>
      </c>
      <c r="D28" s="2">
        <v>0.0</v>
      </c>
      <c r="E28" s="1">
        <f t="shared" si="2"/>
        <v>7</v>
      </c>
      <c r="F28" s="2">
        <v>54.0</v>
      </c>
      <c r="G28" s="2">
        <v>12.0</v>
      </c>
      <c r="H28" s="2">
        <v>0.0</v>
      </c>
      <c r="I28" s="1">
        <f t="shared" si="3"/>
        <v>66</v>
      </c>
      <c r="J28" s="1" t="b">
        <f t="shared" ref="J28:L28" si="33">EQ(F28,B28)</f>
        <v>0</v>
      </c>
      <c r="K28" s="1" t="b">
        <f t="shared" si="33"/>
        <v>0</v>
      </c>
      <c r="L28" s="1" t="b">
        <f t="shared" si="33"/>
        <v>1</v>
      </c>
      <c r="M28" s="1" t="b">
        <f t="shared" si="34"/>
        <v>0</v>
      </c>
      <c r="O28" s="31">
        <f t="shared" si="5"/>
        <v>3</v>
      </c>
    </row>
    <row r="29">
      <c r="A29" s="32">
        <v>67.0</v>
      </c>
      <c r="B29" s="2">
        <v>51.0</v>
      </c>
      <c r="C29" s="1">
        <f t="shared" ref="C29:C60" si="36">A29-B29</f>
        <v>16</v>
      </c>
      <c r="D29" s="2">
        <v>0.0</v>
      </c>
      <c r="E29" s="1">
        <f t="shared" si="2"/>
        <v>6</v>
      </c>
      <c r="F29" s="2">
        <v>27.0</v>
      </c>
      <c r="G29" s="1">
        <f t="shared" ref="G29:G60" si="37">A29-F29</f>
        <v>40</v>
      </c>
      <c r="H29" s="2">
        <v>0.0</v>
      </c>
      <c r="I29" s="1">
        <f t="shared" si="3"/>
        <v>67</v>
      </c>
      <c r="J29" s="1" t="b">
        <f t="shared" ref="J29:L29" si="35">EQ(F29,B29)</f>
        <v>0</v>
      </c>
      <c r="K29" s="1" t="b">
        <f t="shared" si="35"/>
        <v>0</v>
      </c>
      <c r="L29" s="1" t="b">
        <f t="shared" si="35"/>
        <v>1</v>
      </c>
      <c r="M29" s="1" t="b">
        <f t="shared" si="34"/>
        <v>0</v>
      </c>
      <c r="O29" s="31">
        <f t="shared" si="5"/>
        <v>15</v>
      </c>
    </row>
    <row r="30">
      <c r="A30" s="29">
        <v>68.0</v>
      </c>
      <c r="B30" s="2">
        <v>60.0</v>
      </c>
      <c r="C30" s="1">
        <f t="shared" si="36"/>
        <v>8</v>
      </c>
      <c r="D30" s="2">
        <v>0.0</v>
      </c>
      <c r="E30" s="1">
        <f t="shared" si="2"/>
        <v>2</v>
      </c>
      <c r="F30" s="2">
        <v>60.0</v>
      </c>
      <c r="G30" s="1">
        <f t="shared" si="37"/>
        <v>8</v>
      </c>
      <c r="H30" s="2">
        <v>0.0</v>
      </c>
      <c r="I30" s="1">
        <f t="shared" si="3"/>
        <v>68</v>
      </c>
      <c r="J30" s="1" t="b">
        <f t="shared" ref="J30:L30" si="38">EQ(F30,B30)</f>
        <v>1</v>
      </c>
      <c r="K30" s="1" t="b">
        <f t="shared" si="38"/>
        <v>1</v>
      </c>
      <c r="L30" s="1" t="b">
        <f t="shared" si="38"/>
        <v>1</v>
      </c>
      <c r="N30" s="2" t="s">
        <v>114</v>
      </c>
      <c r="O30" s="31">
        <f t="shared" si="5"/>
        <v>1</v>
      </c>
    </row>
    <row r="31">
      <c r="A31" s="32">
        <v>69.0</v>
      </c>
      <c r="B31" s="2">
        <v>57.0</v>
      </c>
      <c r="C31" s="1">
        <f t="shared" si="36"/>
        <v>12</v>
      </c>
      <c r="D31" s="2">
        <v>0.0</v>
      </c>
      <c r="E31" s="1">
        <f t="shared" si="2"/>
        <v>1</v>
      </c>
      <c r="F31" s="2">
        <v>33.0</v>
      </c>
      <c r="G31" s="1">
        <f t="shared" si="37"/>
        <v>36</v>
      </c>
      <c r="H31" s="2">
        <v>0.0</v>
      </c>
      <c r="I31" s="1">
        <f t="shared" si="3"/>
        <v>69</v>
      </c>
      <c r="J31" s="1" t="b">
        <f t="shared" ref="J31:L31" si="39">EQ(F31,B31)</f>
        <v>0</v>
      </c>
      <c r="K31" s="1" t="b">
        <f t="shared" si="39"/>
        <v>0</v>
      </c>
      <c r="L31" s="1" t="b">
        <f t="shared" si="39"/>
        <v>1</v>
      </c>
      <c r="M31" s="1" t="b">
        <f>EQ(F31,G31)</f>
        <v>0</v>
      </c>
      <c r="O31" s="31">
        <f t="shared" si="5"/>
        <v>10</v>
      </c>
    </row>
    <row r="32">
      <c r="A32" s="29">
        <v>70.0</v>
      </c>
      <c r="B32" s="2">
        <v>54.0</v>
      </c>
      <c r="C32" s="1">
        <f t="shared" si="36"/>
        <v>16</v>
      </c>
      <c r="D32" s="2">
        <v>0.0</v>
      </c>
      <c r="E32" s="1">
        <f t="shared" si="2"/>
        <v>6</v>
      </c>
      <c r="F32" s="2">
        <v>54.0</v>
      </c>
      <c r="G32" s="1">
        <f t="shared" si="37"/>
        <v>16</v>
      </c>
      <c r="H32" s="2">
        <v>0.0</v>
      </c>
      <c r="I32" s="1">
        <f t="shared" si="3"/>
        <v>70</v>
      </c>
      <c r="J32" s="1" t="b">
        <f t="shared" ref="J32:L32" si="40">EQ(F32,B32)</f>
        <v>1</v>
      </c>
      <c r="K32" s="1" t="b">
        <f t="shared" si="40"/>
        <v>1</v>
      </c>
      <c r="L32" s="1" t="b">
        <f t="shared" si="40"/>
        <v>1</v>
      </c>
      <c r="N32" s="2" t="s">
        <v>114</v>
      </c>
      <c r="O32" s="31">
        <f t="shared" si="5"/>
        <v>5</v>
      </c>
    </row>
    <row r="33">
      <c r="A33" s="29">
        <v>71.0</v>
      </c>
      <c r="B33" s="2">
        <v>39.0</v>
      </c>
      <c r="C33" s="1">
        <f t="shared" si="36"/>
        <v>32</v>
      </c>
      <c r="D33" s="2">
        <v>0.0</v>
      </c>
      <c r="E33" s="1">
        <f t="shared" si="2"/>
        <v>16</v>
      </c>
      <c r="F33" s="2">
        <v>39.0</v>
      </c>
      <c r="G33" s="1">
        <f t="shared" si="37"/>
        <v>32</v>
      </c>
      <c r="H33" s="2">
        <v>0.0</v>
      </c>
      <c r="I33" s="1">
        <f t="shared" si="3"/>
        <v>71</v>
      </c>
      <c r="J33" s="1" t="b">
        <f t="shared" ref="J33:L33" si="41">EQ(F33,B33)</f>
        <v>1</v>
      </c>
      <c r="K33" s="1" t="b">
        <f t="shared" si="41"/>
        <v>1</v>
      </c>
      <c r="L33" s="1" t="b">
        <f t="shared" si="41"/>
        <v>1</v>
      </c>
      <c r="N33" s="2" t="s">
        <v>114</v>
      </c>
      <c r="O33" s="31">
        <f t="shared" si="5"/>
        <v>12</v>
      </c>
    </row>
    <row r="34">
      <c r="A34" s="32">
        <v>72.0</v>
      </c>
      <c r="B34" s="2">
        <v>48.0</v>
      </c>
      <c r="C34" s="1">
        <f t="shared" si="36"/>
        <v>24</v>
      </c>
      <c r="D34" s="2">
        <v>0.0</v>
      </c>
      <c r="E34" s="1">
        <f t="shared" si="2"/>
        <v>7</v>
      </c>
      <c r="F34" s="2">
        <v>60.0</v>
      </c>
      <c r="G34" s="1">
        <f t="shared" si="37"/>
        <v>12</v>
      </c>
      <c r="H34" s="2">
        <v>0.0</v>
      </c>
      <c r="I34" s="1">
        <f t="shared" si="3"/>
        <v>72</v>
      </c>
      <c r="J34" s="1" t="b">
        <f t="shared" ref="J34:L34" si="42">EQ(F34,B34)</f>
        <v>0</v>
      </c>
      <c r="K34" s="1" t="b">
        <f t="shared" si="42"/>
        <v>0</v>
      </c>
      <c r="L34" s="1" t="b">
        <f t="shared" si="42"/>
        <v>1</v>
      </c>
      <c r="M34" s="1" t="b">
        <f>EQ(F34,G34)</f>
        <v>0</v>
      </c>
      <c r="O34" s="31">
        <f t="shared" si="5"/>
        <v>3</v>
      </c>
    </row>
    <row r="35">
      <c r="A35" s="29">
        <v>73.0</v>
      </c>
      <c r="B35" s="2">
        <v>57.0</v>
      </c>
      <c r="C35" s="1">
        <f t="shared" si="36"/>
        <v>16</v>
      </c>
      <c r="D35" s="2">
        <v>0.0</v>
      </c>
      <c r="E35" s="1">
        <f t="shared" si="2"/>
        <v>6</v>
      </c>
      <c r="F35" s="2">
        <v>57.0</v>
      </c>
      <c r="G35" s="1">
        <f t="shared" si="37"/>
        <v>16</v>
      </c>
      <c r="H35" s="2">
        <v>0.0</v>
      </c>
      <c r="I35" s="1">
        <f t="shared" si="3"/>
        <v>73</v>
      </c>
      <c r="J35" s="1" t="b">
        <f t="shared" ref="J35:L35" si="43">EQ(F35,B35)</f>
        <v>1</v>
      </c>
      <c r="K35" s="1" t="b">
        <f t="shared" si="43"/>
        <v>1</v>
      </c>
      <c r="L35" s="1" t="b">
        <f t="shared" si="43"/>
        <v>1</v>
      </c>
      <c r="N35" s="2" t="s">
        <v>114</v>
      </c>
      <c r="O35" s="31">
        <f t="shared" si="5"/>
        <v>5</v>
      </c>
    </row>
    <row r="36">
      <c r="A36" s="32">
        <v>74.0</v>
      </c>
      <c r="B36" s="2">
        <v>42.0</v>
      </c>
      <c r="C36" s="1">
        <f t="shared" si="36"/>
        <v>32</v>
      </c>
      <c r="D36" s="2">
        <v>0.0</v>
      </c>
      <c r="E36" s="1">
        <f t="shared" si="2"/>
        <v>16</v>
      </c>
      <c r="F36" s="2">
        <v>54.0</v>
      </c>
      <c r="G36" s="1">
        <f t="shared" si="37"/>
        <v>20</v>
      </c>
      <c r="H36" s="2">
        <v>0.0</v>
      </c>
      <c r="I36" s="1">
        <f t="shared" si="3"/>
        <v>74</v>
      </c>
      <c r="J36" s="1" t="b">
        <f t="shared" ref="J36:L36" si="44">EQ(F36,B36)</f>
        <v>0</v>
      </c>
      <c r="K36" s="1" t="b">
        <f t="shared" si="44"/>
        <v>0</v>
      </c>
      <c r="L36" s="1" t="b">
        <f t="shared" si="44"/>
        <v>1</v>
      </c>
      <c r="M36" s="1" t="b">
        <f>EQ(F36,G36)</f>
        <v>0</v>
      </c>
      <c r="O36" s="31">
        <f t="shared" si="5"/>
        <v>5</v>
      </c>
    </row>
    <row r="37">
      <c r="A37" s="29">
        <v>75.0</v>
      </c>
      <c r="B37" s="2">
        <v>51.0</v>
      </c>
      <c r="C37" s="1">
        <f t="shared" si="36"/>
        <v>24</v>
      </c>
      <c r="D37" s="2">
        <v>0.0</v>
      </c>
      <c r="E37" s="1">
        <f t="shared" si="2"/>
        <v>7</v>
      </c>
      <c r="F37" s="2">
        <v>51.0</v>
      </c>
      <c r="G37" s="1">
        <f t="shared" si="37"/>
        <v>24</v>
      </c>
      <c r="H37" s="2">
        <v>0.0</v>
      </c>
      <c r="I37" s="1">
        <f t="shared" si="3"/>
        <v>75</v>
      </c>
      <c r="J37" s="1" t="b">
        <f t="shared" ref="J37:L37" si="45">EQ(F37,B37)</f>
        <v>1</v>
      </c>
      <c r="K37" s="1" t="b">
        <f t="shared" si="45"/>
        <v>1</v>
      </c>
      <c r="L37" s="1" t="b">
        <f t="shared" si="45"/>
        <v>1</v>
      </c>
      <c r="N37" s="2" t="s">
        <v>114</v>
      </c>
      <c r="O37" s="31">
        <f t="shared" si="5"/>
        <v>2</v>
      </c>
    </row>
    <row r="38">
      <c r="A38" s="29">
        <v>76.0</v>
      </c>
      <c r="B38" s="2">
        <v>60.0</v>
      </c>
      <c r="C38" s="1">
        <f t="shared" si="36"/>
        <v>16</v>
      </c>
      <c r="D38" s="2">
        <v>0.0</v>
      </c>
      <c r="E38" s="1">
        <f t="shared" si="2"/>
        <v>6</v>
      </c>
      <c r="F38" s="2">
        <v>60.0</v>
      </c>
      <c r="G38" s="1">
        <f t="shared" si="37"/>
        <v>16</v>
      </c>
      <c r="H38" s="2">
        <v>0.0</v>
      </c>
      <c r="I38" s="1">
        <f t="shared" si="3"/>
        <v>76</v>
      </c>
      <c r="J38" s="1" t="b">
        <f t="shared" ref="J38:L38" si="46">EQ(F38,B38)</f>
        <v>1</v>
      </c>
      <c r="K38" s="1" t="b">
        <f t="shared" si="46"/>
        <v>1</v>
      </c>
      <c r="L38" s="1" t="b">
        <f t="shared" si="46"/>
        <v>1</v>
      </c>
      <c r="N38" s="2" t="s">
        <v>114</v>
      </c>
      <c r="O38" s="31">
        <f t="shared" si="5"/>
        <v>5</v>
      </c>
    </row>
    <row r="39">
      <c r="A39" s="29">
        <v>77.0</v>
      </c>
      <c r="B39" s="2">
        <v>57.0</v>
      </c>
      <c r="C39" s="1">
        <f t="shared" si="36"/>
        <v>20</v>
      </c>
      <c r="D39" s="2">
        <v>0.0</v>
      </c>
      <c r="E39" s="1">
        <f t="shared" si="2"/>
        <v>2</v>
      </c>
      <c r="F39" s="2">
        <v>57.0</v>
      </c>
      <c r="G39" s="1">
        <f t="shared" si="37"/>
        <v>20</v>
      </c>
      <c r="H39" s="2">
        <v>0.0</v>
      </c>
      <c r="I39" s="1">
        <f t="shared" si="3"/>
        <v>77</v>
      </c>
      <c r="J39" s="1" t="b">
        <f t="shared" ref="J39:L39" si="47">EQ(F39,B39)</f>
        <v>1</v>
      </c>
      <c r="K39" s="1" t="b">
        <f t="shared" si="47"/>
        <v>1</v>
      </c>
      <c r="L39" s="1" t="b">
        <f t="shared" si="47"/>
        <v>1</v>
      </c>
      <c r="N39" s="2" t="s">
        <v>114</v>
      </c>
      <c r="O39" s="31">
        <f t="shared" si="5"/>
        <v>5</v>
      </c>
    </row>
    <row r="40">
      <c r="A40" s="29">
        <v>78.0</v>
      </c>
      <c r="B40" s="2">
        <v>54.0</v>
      </c>
      <c r="C40" s="1">
        <f t="shared" si="36"/>
        <v>24</v>
      </c>
      <c r="D40" s="2">
        <v>0.0</v>
      </c>
      <c r="E40" s="1">
        <f t="shared" si="2"/>
        <v>7</v>
      </c>
      <c r="F40" s="2">
        <v>54.0</v>
      </c>
      <c r="G40" s="1">
        <f t="shared" si="37"/>
        <v>24</v>
      </c>
      <c r="H40" s="2">
        <v>0.0</v>
      </c>
      <c r="I40" s="1">
        <f t="shared" si="3"/>
        <v>78</v>
      </c>
      <c r="J40" s="1" t="b">
        <f t="shared" ref="J40:L40" si="48">EQ(F40,B40)</f>
        <v>1</v>
      </c>
      <c r="K40" s="1" t="b">
        <f t="shared" si="48"/>
        <v>1</v>
      </c>
      <c r="L40" s="1" t="b">
        <f t="shared" si="48"/>
        <v>1</v>
      </c>
      <c r="N40" s="2" t="s">
        <v>114</v>
      </c>
      <c r="O40" s="31">
        <f t="shared" si="5"/>
        <v>2</v>
      </c>
    </row>
    <row r="41">
      <c r="A41" s="29">
        <v>79.0</v>
      </c>
      <c r="B41" s="2">
        <v>57.0</v>
      </c>
      <c r="C41" s="1">
        <f t="shared" si="36"/>
        <v>22</v>
      </c>
      <c r="D41" s="2">
        <v>0.0</v>
      </c>
      <c r="E41" s="1">
        <f t="shared" si="2"/>
        <v>1</v>
      </c>
      <c r="F41" s="2">
        <v>57.0</v>
      </c>
      <c r="G41" s="1">
        <f t="shared" si="37"/>
        <v>22</v>
      </c>
      <c r="H41" s="2">
        <v>0.0</v>
      </c>
      <c r="I41" s="1">
        <f t="shared" si="3"/>
        <v>79</v>
      </c>
      <c r="J41" s="1" t="b">
        <f t="shared" ref="J41:L41" si="49">EQ(F41,B41)</f>
        <v>1</v>
      </c>
      <c r="K41" s="1" t="b">
        <f t="shared" si="49"/>
        <v>1</v>
      </c>
      <c r="L41" s="1" t="b">
        <f t="shared" si="49"/>
        <v>1</v>
      </c>
      <c r="N41" s="2" t="s">
        <v>114</v>
      </c>
      <c r="O41" s="31">
        <f t="shared" si="5"/>
        <v>1</v>
      </c>
    </row>
    <row r="42">
      <c r="A42" s="29">
        <v>80.0</v>
      </c>
      <c r="B42" s="2">
        <v>60.0</v>
      </c>
      <c r="C42" s="1">
        <f t="shared" si="36"/>
        <v>20</v>
      </c>
      <c r="D42" s="2">
        <v>0.0</v>
      </c>
      <c r="E42" s="1">
        <f t="shared" si="2"/>
        <v>2</v>
      </c>
      <c r="F42" s="2">
        <v>60.0</v>
      </c>
      <c r="G42" s="1">
        <f t="shared" si="37"/>
        <v>20</v>
      </c>
      <c r="H42" s="2">
        <v>0.0</v>
      </c>
      <c r="I42" s="1">
        <f t="shared" si="3"/>
        <v>80</v>
      </c>
      <c r="J42" s="1" t="b">
        <f t="shared" ref="J42:L42" si="50">EQ(F42,B42)</f>
        <v>1</v>
      </c>
      <c r="K42" s="1" t="b">
        <f t="shared" si="50"/>
        <v>1</v>
      </c>
      <c r="L42" s="1" t="b">
        <f t="shared" si="50"/>
        <v>1</v>
      </c>
      <c r="N42" s="2" t="s">
        <v>114</v>
      </c>
      <c r="O42" s="31">
        <f t="shared" si="5"/>
        <v>5</v>
      </c>
    </row>
    <row r="43">
      <c r="A43" s="32">
        <v>81.0</v>
      </c>
      <c r="B43" s="2">
        <v>57.0</v>
      </c>
      <c r="C43" s="1">
        <f t="shared" si="36"/>
        <v>24</v>
      </c>
      <c r="D43" s="2">
        <v>0.0</v>
      </c>
      <c r="E43" s="1">
        <f t="shared" si="2"/>
        <v>7</v>
      </c>
      <c r="F43" s="2">
        <v>45.0</v>
      </c>
      <c r="G43" s="1">
        <f t="shared" si="37"/>
        <v>36</v>
      </c>
      <c r="H43" s="2">
        <v>0.0</v>
      </c>
      <c r="I43" s="1">
        <f t="shared" si="3"/>
        <v>81</v>
      </c>
      <c r="J43" s="1" t="b">
        <f t="shared" ref="J43:L43" si="51">EQ(F43,B43)</f>
        <v>0</v>
      </c>
      <c r="K43" s="1" t="b">
        <f t="shared" si="51"/>
        <v>0</v>
      </c>
      <c r="L43" s="1" t="b">
        <f t="shared" si="51"/>
        <v>1</v>
      </c>
      <c r="M43" s="1" t="b">
        <f>EQ(F43,G43)</f>
        <v>0</v>
      </c>
      <c r="O43" s="31">
        <f t="shared" si="5"/>
        <v>10</v>
      </c>
    </row>
    <row r="44">
      <c r="A44" s="29">
        <v>82.0</v>
      </c>
      <c r="B44" s="2">
        <v>50.0</v>
      </c>
      <c r="C44" s="1">
        <f t="shared" si="36"/>
        <v>32</v>
      </c>
      <c r="D44" s="2">
        <v>0.0</v>
      </c>
      <c r="E44" s="1">
        <f t="shared" si="2"/>
        <v>16</v>
      </c>
      <c r="F44" s="2">
        <v>50.0</v>
      </c>
      <c r="G44" s="1">
        <f t="shared" si="37"/>
        <v>32</v>
      </c>
      <c r="H44" s="2">
        <v>0.0</v>
      </c>
      <c r="I44" s="1">
        <f t="shared" si="3"/>
        <v>82</v>
      </c>
      <c r="J44" s="1" t="b">
        <f t="shared" ref="J44:L44" si="52">EQ(F44,B44)</f>
        <v>1</v>
      </c>
      <c r="K44" s="1" t="b">
        <f t="shared" si="52"/>
        <v>1</v>
      </c>
      <c r="L44" s="1" t="b">
        <f t="shared" si="52"/>
        <v>1</v>
      </c>
      <c r="N44" s="2" t="s">
        <v>114</v>
      </c>
      <c r="O44" s="31">
        <f t="shared" si="5"/>
        <v>12</v>
      </c>
    </row>
    <row r="45">
      <c r="A45" s="29">
        <v>83.0</v>
      </c>
      <c r="B45" s="2">
        <v>51.0</v>
      </c>
      <c r="C45" s="1">
        <f t="shared" si="36"/>
        <v>32</v>
      </c>
      <c r="D45" s="2">
        <v>0.0</v>
      </c>
      <c r="E45" s="1">
        <f t="shared" si="2"/>
        <v>16</v>
      </c>
      <c r="F45" s="2">
        <v>51.0</v>
      </c>
      <c r="G45" s="1">
        <f t="shared" si="37"/>
        <v>32</v>
      </c>
      <c r="H45" s="2">
        <v>0.0</v>
      </c>
      <c r="I45" s="1">
        <f t="shared" si="3"/>
        <v>83</v>
      </c>
      <c r="J45" s="1" t="b">
        <f t="shared" ref="J45:L45" si="53">EQ(F45,B45)</f>
        <v>1</v>
      </c>
      <c r="K45" s="1" t="b">
        <f t="shared" si="53"/>
        <v>1</v>
      </c>
      <c r="L45" s="1" t="b">
        <f t="shared" si="53"/>
        <v>1</v>
      </c>
      <c r="N45" s="2" t="s">
        <v>114</v>
      </c>
      <c r="O45" s="31">
        <f t="shared" si="5"/>
        <v>12</v>
      </c>
    </row>
    <row r="46">
      <c r="A46" s="32">
        <v>84.0</v>
      </c>
      <c r="B46" s="2">
        <v>60.0</v>
      </c>
      <c r="C46" s="1">
        <f t="shared" si="36"/>
        <v>24</v>
      </c>
      <c r="D46" s="2">
        <v>0.0</v>
      </c>
      <c r="E46" s="1">
        <f t="shared" si="2"/>
        <v>7</v>
      </c>
      <c r="F46" s="2">
        <v>48.0</v>
      </c>
      <c r="G46" s="1">
        <f t="shared" si="37"/>
        <v>36</v>
      </c>
      <c r="H46" s="2">
        <v>0.0</v>
      </c>
      <c r="I46" s="1">
        <f t="shared" si="3"/>
        <v>84</v>
      </c>
      <c r="J46" s="1" t="b">
        <f t="shared" ref="J46:L46" si="54">EQ(F46,B46)</f>
        <v>0</v>
      </c>
      <c r="K46" s="1" t="b">
        <f t="shared" si="54"/>
        <v>0</v>
      </c>
      <c r="L46" s="1" t="b">
        <f t="shared" si="54"/>
        <v>1</v>
      </c>
      <c r="M46" s="1" t="b">
        <f t="shared" ref="M46:M47" si="56">EQ(F46,G46)</f>
        <v>0</v>
      </c>
      <c r="O46" s="31">
        <f t="shared" si="5"/>
        <v>10</v>
      </c>
    </row>
    <row r="47">
      <c r="A47" s="32">
        <v>85.0</v>
      </c>
      <c r="B47" s="2">
        <v>45.0</v>
      </c>
      <c r="C47" s="1">
        <f t="shared" si="36"/>
        <v>40</v>
      </c>
      <c r="D47" s="2">
        <v>0.0</v>
      </c>
      <c r="E47" s="1">
        <f t="shared" si="2"/>
        <v>16</v>
      </c>
      <c r="F47" s="2">
        <v>57.0</v>
      </c>
      <c r="G47" s="1">
        <f t="shared" si="37"/>
        <v>28</v>
      </c>
      <c r="H47" s="2">
        <v>0.0</v>
      </c>
      <c r="I47" s="1">
        <f t="shared" si="3"/>
        <v>85</v>
      </c>
      <c r="J47" s="1" t="b">
        <f t="shared" ref="J47:L47" si="55">EQ(F47,B47)</f>
        <v>0</v>
      </c>
      <c r="K47" s="1" t="b">
        <f t="shared" si="55"/>
        <v>0</v>
      </c>
      <c r="L47" s="1" t="b">
        <f t="shared" si="55"/>
        <v>1</v>
      </c>
      <c r="M47" s="1" t="b">
        <f t="shared" si="56"/>
        <v>0</v>
      </c>
      <c r="O47" s="31">
        <f t="shared" si="5"/>
        <v>2</v>
      </c>
    </row>
    <row r="48">
      <c r="A48" s="29">
        <v>86.0</v>
      </c>
      <c r="B48" s="2">
        <v>54.0</v>
      </c>
      <c r="C48" s="1">
        <f t="shared" si="36"/>
        <v>32</v>
      </c>
      <c r="D48" s="2">
        <v>0.0</v>
      </c>
      <c r="E48" s="1">
        <f t="shared" si="2"/>
        <v>16</v>
      </c>
      <c r="F48" s="2">
        <v>54.0</v>
      </c>
      <c r="G48" s="1">
        <f t="shared" si="37"/>
        <v>32</v>
      </c>
      <c r="H48" s="2">
        <v>0.0</v>
      </c>
      <c r="I48" s="1">
        <f t="shared" si="3"/>
        <v>86</v>
      </c>
      <c r="J48" s="1" t="b">
        <f t="shared" ref="J48:L48" si="57">EQ(F48,B48)</f>
        <v>1</v>
      </c>
      <c r="K48" s="1" t="b">
        <f t="shared" si="57"/>
        <v>1</v>
      </c>
      <c r="L48" s="1" t="b">
        <f t="shared" si="57"/>
        <v>1</v>
      </c>
      <c r="N48" s="2" t="s">
        <v>114</v>
      </c>
      <c r="O48" s="31">
        <f t="shared" si="5"/>
        <v>12</v>
      </c>
    </row>
    <row r="49">
      <c r="A49" s="29">
        <v>87.0</v>
      </c>
      <c r="B49" s="2">
        <v>51.0</v>
      </c>
      <c r="C49" s="1">
        <f t="shared" si="36"/>
        <v>36</v>
      </c>
      <c r="D49" s="2">
        <v>0.0</v>
      </c>
      <c r="E49" s="1">
        <f t="shared" si="2"/>
        <v>3</v>
      </c>
      <c r="F49" s="2">
        <v>51.0</v>
      </c>
      <c r="G49" s="1">
        <f t="shared" si="37"/>
        <v>36</v>
      </c>
      <c r="H49" s="2">
        <v>0.0</v>
      </c>
      <c r="I49" s="1">
        <f t="shared" si="3"/>
        <v>87</v>
      </c>
      <c r="J49" s="1" t="b">
        <f t="shared" ref="J49:L49" si="58">EQ(F49,B49)</f>
        <v>1</v>
      </c>
      <c r="K49" s="1" t="b">
        <f t="shared" si="58"/>
        <v>1</v>
      </c>
      <c r="L49" s="1" t="b">
        <f t="shared" si="58"/>
        <v>1</v>
      </c>
      <c r="N49" s="2" t="s">
        <v>114</v>
      </c>
      <c r="O49" s="31">
        <f t="shared" si="5"/>
        <v>10</v>
      </c>
    </row>
    <row r="50">
      <c r="A50" s="29">
        <v>88.0</v>
      </c>
      <c r="B50" s="2">
        <v>60.0</v>
      </c>
      <c r="C50" s="1">
        <f t="shared" si="36"/>
        <v>28</v>
      </c>
      <c r="D50" s="2">
        <v>0.0</v>
      </c>
      <c r="E50" s="1">
        <f t="shared" si="2"/>
        <v>1</v>
      </c>
      <c r="F50" s="2">
        <v>60.0</v>
      </c>
      <c r="G50" s="1">
        <f t="shared" si="37"/>
        <v>28</v>
      </c>
      <c r="H50" s="2">
        <v>0.0</v>
      </c>
      <c r="I50" s="1">
        <f t="shared" si="3"/>
        <v>88</v>
      </c>
      <c r="J50" s="1" t="b">
        <f t="shared" ref="J50:L50" si="59">EQ(F50,B50)</f>
        <v>1</v>
      </c>
      <c r="K50" s="1" t="b">
        <f t="shared" si="59"/>
        <v>1</v>
      </c>
      <c r="L50" s="1" t="b">
        <f t="shared" si="59"/>
        <v>1</v>
      </c>
      <c r="N50" s="2" t="s">
        <v>114</v>
      </c>
      <c r="O50" s="31">
        <f t="shared" si="5"/>
        <v>2</v>
      </c>
    </row>
    <row r="51">
      <c r="A51" s="29">
        <v>89.0</v>
      </c>
      <c r="B51" s="2">
        <v>57.0</v>
      </c>
      <c r="C51" s="1">
        <f t="shared" si="36"/>
        <v>32</v>
      </c>
      <c r="D51" s="2">
        <v>0.0</v>
      </c>
      <c r="E51" s="1">
        <f t="shared" si="2"/>
        <v>16</v>
      </c>
      <c r="F51" s="2">
        <v>57.0</v>
      </c>
      <c r="G51" s="1">
        <f t="shared" si="37"/>
        <v>32</v>
      </c>
      <c r="H51" s="2">
        <v>0.0</v>
      </c>
      <c r="I51" s="1">
        <f t="shared" si="3"/>
        <v>89</v>
      </c>
      <c r="J51" s="1" t="b">
        <f t="shared" ref="J51:L51" si="60">EQ(F51,B51)</f>
        <v>1</v>
      </c>
      <c r="K51" s="1" t="b">
        <f t="shared" si="60"/>
        <v>1</v>
      </c>
      <c r="L51" s="1" t="b">
        <f t="shared" si="60"/>
        <v>1</v>
      </c>
      <c r="N51" s="2" t="s">
        <v>114</v>
      </c>
      <c r="O51" s="31">
        <f t="shared" si="5"/>
        <v>12</v>
      </c>
    </row>
    <row r="52">
      <c r="A52" s="32">
        <v>90.0</v>
      </c>
      <c r="B52" s="2">
        <v>60.0</v>
      </c>
      <c r="C52" s="1">
        <f t="shared" si="36"/>
        <v>30</v>
      </c>
      <c r="D52" s="2">
        <v>0.0</v>
      </c>
      <c r="E52" s="1">
        <f t="shared" si="2"/>
        <v>1</v>
      </c>
      <c r="F52" s="2">
        <v>54.0</v>
      </c>
      <c r="G52" s="1">
        <f t="shared" si="37"/>
        <v>36</v>
      </c>
      <c r="H52" s="2">
        <v>0.0</v>
      </c>
      <c r="I52" s="1">
        <f t="shared" si="3"/>
        <v>90</v>
      </c>
      <c r="J52" s="1" t="b">
        <f t="shared" ref="J52:L52" si="61">EQ(F52,B52)</f>
        <v>0</v>
      </c>
      <c r="K52" s="1" t="b">
        <f t="shared" si="61"/>
        <v>0</v>
      </c>
      <c r="L52" s="1" t="b">
        <f t="shared" si="61"/>
        <v>1</v>
      </c>
      <c r="M52" s="1" t="b">
        <f>EQ(F52,G52)</f>
        <v>0</v>
      </c>
      <c r="O52" s="31">
        <f t="shared" si="5"/>
        <v>10</v>
      </c>
    </row>
    <row r="53">
      <c r="A53" s="29">
        <v>91.0</v>
      </c>
      <c r="B53" s="2">
        <v>51.0</v>
      </c>
      <c r="C53" s="1">
        <f t="shared" si="36"/>
        <v>40</v>
      </c>
      <c r="D53" s="2">
        <v>0.0</v>
      </c>
      <c r="E53" s="1">
        <f t="shared" si="2"/>
        <v>16</v>
      </c>
      <c r="F53" s="2">
        <v>51.0</v>
      </c>
      <c r="G53" s="1">
        <f t="shared" si="37"/>
        <v>40</v>
      </c>
      <c r="H53" s="2">
        <v>0.0</v>
      </c>
      <c r="I53" s="1">
        <f t="shared" si="3"/>
        <v>91</v>
      </c>
      <c r="J53" s="1" t="b">
        <f t="shared" ref="J53:L53" si="62">EQ(F53,B53)</f>
        <v>1</v>
      </c>
      <c r="K53" s="1" t="b">
        <f t="shared" si="62"/>
        <v>1</v>
      </c>
      <c r="L53" s="1" t="b">
        <f t="shared" si="62"/>
        <v>1</v>
      </c>
      <c r="N53" s="2" t="s">
        <v>114</v>
      </c>
      <c r="O53" s="31">
        <f t="shared" si="5"/>
        <v>15</v>
      </c>
    </row>
    <row r="54">
      <c r="A54" s="29">
        <v>92.0</v>
      </c>
      <c r="B54" s="2">
        <v>60.0</v>
      </c>
      <c r="C54" s="1">
        <f t="shared" si="36"/>
        <v>32</v>
      </c>
      <c r="D54" s="2">
        <v>0.0</v>
      </c>
      <c r="E54" s="1">
        <f t="shared" si="2"/>
        <v>16</v>
      </c>
      <c r="F54" s="2">
        <v>60.0</v>
      </c>
      <c r="G54" s="1">
        <f t="shared" si="37"/>
        <v>32</v>
      </c>
      <c r="H54" s="2">
        <v>0.0</v>
      </c>
      <c r="I54" s="1">
        <f t="shared" si="3"/>
        <v>92</v>
      </c>
      <c r="J54" s="1" t="b">
        <f t="shared" ref="J54:L54" si="63">EQ(F54,B54)</f>
        <v>1</v>
      </c>
      <c r="K54" s="1" t="b">
        <f t="shared" si="63"/>
        <v>1</v>
      </c>
      <c r="L54" s="1" t="b">
        <f t="shared" si="63"/>
        <v>1</v>
      </c>
      <c r="N54" s="2" t="s">
        <v>114</v>
      </c>
      <c r="O54" s="31">
        <f t="shared" si="5"/>
        <v>12</v>
      </c>
    </row>
    <row r="55">
      <c r="A55" s="29">
        <v>93.0</v>
      </c>
      <c r="B55" s="2">
        <v>57.0</v>
      </c>
      <c r="C55" s="1">
        <f t="shared" si="36"/>
        <v>36</v>
      </c>
      <c r="D55" s="2">
        <v>0.0</v>
      </c>
      <c r="E55" s="1">
        <f t="shared" si="2"/>
        <v>3</v>
      </c>
      <c r="F55" s="2">
        <v>57.0</v>
      </c>
      <c r="G55" s="1">
        <f t="shared" si="37"/>
        <v>36</v>
      </c>
      <c r="H55" s="2">
        <v>0.0</v>
      </c>
      <c r="I55" s="1">
        <f t="shared" si="3"/>
        <v>93</v>
      </c>
      <c r="J55" s="1" t="b">
        <f t="shared" ref="J55:L55" si="64">EQ(F55,B55)</f>
        <v>1</v>
      </c>
      <c r="K55" s="1" t="b">
        <f t="shared" si="64"/>
        <v>1</v>
      </c>
      <c r="L55" s="1" t="b">
        <f t="shared" si="64"/>
        <v>1</v>
      </c>
      <c r="N55" s="2" t="s">
        <v>114</v>
      </c>
      <c r="O55" s="31">
        <f t="shared" si="5"/>
        <v>10</v>
      </c>
    </row>
    <row r="56">
      <c r="A56" s="29">
        <v>94.0</v>
      </c>
      <c r="B56" s="2">
        <v>54.0</v>
      </c>
      <c r="C56" s="1">
        <f t="shared" si="36"/>
        <v>40</v>
      </c>
      <c r="D56" s="2">
        <v>0.0</v>
      </c>
      <c r="E56" s="1">
        <f t="shared" si="2"/>
        <v>16</v>
      </c>
      <c r="F56" s="2">
        <v>54.0</v>
      </c>
      <c r="G56" s="1">
        <f t="shared" si="37"/>
        <v>40</v>
      </c>
      <c r="H56" s="2">
        <v>0.0</v>
      </c>
      <c r="I56" s="1">
        <f t="shared" si="3"/>
        <v>94</v>
      </c>
      <c r="J56" s="1" t="b">
        <f t="shared" ref="J56:L56" si="65">EQ(F56,B56)</f>
        <v>1</v>
      </c>
      <c r="K56" s="1" t="b">
        <f t="shared" si="65"/>
        <v>1</v>
      </c>
      <c r="L56" s="1" t="b">
        <f t="shared" si="65"/>
        <v>1</v>
      </c>
      <c r="N56" s="2" t="s">
        <v>114</v>
      </c>
      <c r="O56" s="31">
        <f t="shared" si="5"/>
        <v>15</v>
      </c>
    </row>
    <row r="57">
      <c r="A57" s="29">
        <v>95.0</v>
      </c>
      <c r="B57" s="2">
        <v>57.0</v>
      </c>
      <c r="C57" s="1">
        <f t="shared" si="36"/>
        <v>38</v>
      </c>
      <c r="D57" s="2">
        <v>0.0</v>
      </c>
      <c r="E57" s="1">
        <f t="shared" si="2"/>
        <v>2</v>
      </c>
      <c r="F57" s="2">
        <v>57.0</v>
      </c>
      <c r="G57" s="1">
        <f t="shared" si="37"/>
        <v>38</v>
      </c>
      <c r="H57" s="2">
        <v>0.0</v>
      </c>
      <c r="I57" s="1">
        <f t="shared" si="3"/>
        <v>95</v>
      </c>
      <c r="J57" s="1" t="b">
        <f t="shared" ref="J57:L57" si="66">EQ(F57,B57)</f>
        <v>1</v>
      </c>
      <c r="K57" s="1" t="b">
        <f t="shared" si="66"/>
        <v>1</v>
      </c>
      <c r="L57" s="1" t="b">
        <f t="shared" si="66"/>
        <v>1</v>
      </c>
      <c r="N57" s="2" t="s">
        <v>114</v>
      </c>
      <c r="O57" s="31">
        <f t="shared" si="5"/>
        <v>2</v>
      </c>
    </row>
    <row r="58">
      <c r="A58" s="29">
        <v>96.0</v>
      </c>
      <c r="B58" s="2">
        <v>60.0</v>
      </c>
      <c r="C58" s="1">
        <f t="shared" si="36"/>
        <v>36</v>
      </c>
      <c r="D58" s="2">
        <v>0.0</v>
      </c>
      <c r="E58" s="1">
        <f t="shared" si="2"/>
        <v>3</v>
      </c>
      <c r="F58" s="2">
        <v>60.0</v>
      </c>
      <c r="G58" s="1">
        <f t="shared" si="37"/>
        <v>36</v>
      </c>
      <c r="H58" s="2">
        <v>0.0</v>
      </c>
      <c r="I58" s="1">
        <f t="shared" si="3"/>
        <v>96</v>
      </c>
      <c r="J58" s="1" t="b">
        <f t="shared" ref="J58:L58" si="67">EQ(F58,B58)</f>
        <v>1</v>
      </c>
      <c r="K58" s="1" t="b">
        <f t="shared" si="67"/>
        <v>1</v>
      </c>
      <c r="L58" s="1" t="b">
        <f t="shared" si="67"/>
        <v>1</v>
      </c>
      <c r="N58" s="2" t="s">
        <v>114</v>
      </c>
      <c r="O58" s="31">
        <f t="shared" si="5"/>
        <v>10</v>
      </c>
    </row>
    <row r="59">
      <c r="A59" s="29">
        <v>97.0</v>
      </c>
      <c r="B59" s="2">
        <v>57.0</v>
      </c>
      <c r="C59" s="1">
        <f t="shared" si="36"/>
        <v>40</v>
      </c>
      <c r="D59" s="2">
        <v>0.0</v>
      </c>
      <c r="E59" s="1">
        <f t="shared" si="2"/>
        <v>16</v>
      </c>
      <c r="F59" s="2">
        <v>57.0</v>
      </c>
      <c r="G59" s="1">
        <f t="shared" si="37"/>
        <v>40</v>
      </c>
      <c r="H59" s="2">
        <v>0.0</v>
      </c>
      <c r="I59" s="1">
        <f t="shared" si="3"/>
        <v>97</v>
      </c>
      <c r="J59" s="1" t="b">
        <f t="shared" ref="J59:L59" si="68">EQ(F59,B59)</f>
        <v>1</v>
      </c>
      <c r="K59" s="1" t="b">
        <f t="shared" si="68"/>
        <v>1</v>
      </c>
      <c r="L59" s="1" t="b">
        <f t="shared" si="68"/>
        <v>1</v>
      </c>
      <c r="N59" s="2" t="s">
        <v>114</v>
      </c>
      <c r="O59" s="31">
        <f t="shared" si="5"/>
        <v>15</v>
      </c>
    </row>
    <row r="60">
      <c r="A60" s="29">
        <v>98.0</v>
      </c>
      <c r="B60" s="2">
        <v>60.0</v>
      </c>
      <c r="C60" s="1">
        <f t="shared" si="36"/>
        <v>38</v>
      </c>
      <c r="D60" s="2">
        <v>0.0</v>
      </c>
      <c r="E60" s="1">
        <f t="shared" si="2"/>
        <v>2</v>
      </c>
      <c r="F60" s="2">
        <v>60.0</v>
      </c>
      <c r="G60" s="1">
        <f t="shared" si="37"/>
        <v>38</v>
      </c>
      <c r="H60" s="2">
        <v>0.0</v>
      </c>
      <c r="I60" s="1">
        <f t="shared" si="3"/>
        <v>98</v>
      </c>
      <c r="J60" s="1" t="b">
        <f t="shared" ref="J60:L60" si="69">EQ(F60,B60)</f>
        <v>1</v>
      </c>
      <c r="K60" s="1" t="b">
        <f t="shared" si="69"/>
        <v>1</v>
      </c>
      <c r="L60" s="1" t="b">
        <f t="shared" si="69"/>
        <v>1</v>
      </c>
      <c r="N60" s="2" t="s">
        <v>114</v>
      </c>
      <c r="O60" s="31">
        <f t="shared" si="5"/>
        <v>2</v>
      </c>
    </row>
    <row r="61">
      <c r="A61" s="32">
        <v>99.0</v>
      </c>
      <c r="B61" s="2">
        <v>57.0</v>
      </c>
      <c r="C61" s="2">
        <v>10.0</v>
      </c>
      <c r="D61" s="2">
        <v>32.0</v>
      </c>
      <c r="E61" s="1">
        <f>COUNTIF(D:D,D61)</f>
        <v>13</v>
      </c>
      <c r="F61" s="2">
        <v>51.0</v>
      </c>
      <c r="G61" s="2">
        <v>16.0</v>
      </c>
      <c r="H61" s="2">
        <v>32.0</v>
      </c>
      <c r="I61" s="1">
        <f t="shared" si="3"/>
        <v>99</v>
      </c>
      <c r="J61" s="1" t="b">
        <f t="shared" ref="J61:L61" si="70">EQ(F61,B61)</f>
        <v>0</v>
      </c>
      <c r="K61" s="1" t="b">
        <f t="shared" si="70"/>
        <v>0</v>
      </c>
      <c r="L61" s="1" t="b">
        <f t="shared" si="70"/>
        <v>1</v>
      </c>
      <c r="M61" s="1" t="b">
        <f>EQ(F61,G61)</f>
        <v>0</v>
      </c>
      <c r="O61" s="1">
        <f t="shared" ref="O61:O124" si="72">COUNTIF(H$61:H$124,H61)</f>
        <v>14</v>
      </c>
    </row>
    <row r="62">
      <c r="A62" s="29">
        <v>100.0</v>
      </c>
      <c r="B62" s="2">
        <v>60.0</v>
      </c>
      <c r="C62" s="2">
        <v>40.0</v>
      </c>
      <c r="D62" s="2">
        <v>0.0</v>
      </c>
      <c r="F62" s="2">
        <v>60.0</v>
      </c>
      <c r="G62" s="2">
        <v>40.0</v>
      </c>
      <c r="H62" s="2">
        <v>0.0</v>
      </c>
      <c r="I62" s="1">
        <f t="shared" si="3"/>
        <v>100</v>
      </c>
      <c r="J62" s="1" t="b">
        <f t="shared" ref="J62:L62" si="71">EQ(F62,B62)</f>
        <v>1</v>
      </c>
      <c r="K62" s="1" t="b">
        <f t="shared" si="71"/>
        <v>1</v>
      </c>
      <c r="L62" s="1" t="b">
        <f t="shared" si="71"/>
        <v>1</v>
      </c>
      <c r="N62" s="2" t="s">
        <v>114</v>
      </c>
      <c r="O62" s="1">
        <f t="shared" si="72"/>
        <v>1</v>
      </c>
    </row>
    <row r="63">
      <c r="A63" s="32">
        <v>101.0</v>
      </c>
      <c r="B63" s="2">
        <v>51.0</v>
      </c>
      <c r="C63" s="2">
        <v>10.0</v>
      </c>
      <c r="D63" s="2">
        <v>40.0</v>
      </c>
      <c r="E63" s="1">
        <f t="shared" ref="E63:E124" si="74">COUNTIF(D:D,D63)</f>
        <v>21</v>
      </c>
      <c r="F63" s="2">
        <v>60.0</v>
      </c>
      <c r="G63" s="2">
        <v>1.0</v>
      </c>
      <c r="H63" s="2">
        <v>40.0</v>
      </c>
      <c r="I63" s="1">
        <f t="shared" si="3"/>
        <v>101</v>
      </c>
      <c r="J63" s="1" t="b">
        <f t="shared" ref="J63:L63" si="73">EQ(F63,B63)</f>
        <v>0</v>
      </c>
      <c r="K63" s="1" t="b">
        <f t="shared" si="73"/>
        <v>0</v>
      </c>
      <c r="L63" s="1" t="b">
        <f t="shared" si="73"/>
        <v>1</v>
      </c>
      <c r="M63" s="1" t="b">
        <f>EQ(F63,G63)</f>
        <v>0</v>
      </c>
      <c r="O63" s="1">
        <f t="shared" si="72"/>
        <v>17</v>
      </c>
    </row>
    <row r="64">
      <c r="A64" s="29">
        <v>102.0</v>
      </c>
      <c r="B64" s="2">
        <v>60.0</v>
      </c>
      <c r="C64" s="2">
        <v>10.0</v>
      </c>
      <c r="D64" s="2">
        <v>32.0</v>
      </c>
      <c r="E64" s="1">
        <f t="shared" si="74"/>
        <v>13</v>
      </c>
      <c r="F64" s="2">
        <v>60.0</v>
      </c>
      <c r="G64" s="2">
        <v>10.0</v>
      </c>
      <c r="H64" s="2">
        <v>32.0</v>
      </c>
      <c r="I64" s="1">
        <f t="shared" si="3"/>
        <v>102</v>
      </c>
      <c r="J64" s="1" t="b">
        <f t="shared" ref="J64:L64" si="75">EQ(F64,B64)</f>
        <v>1</v>
      </c>
      <c r="K64" s="1" t="b">
        <f t="shared" si="75"/>
        <v>1</v>
      </c>
      <c r="L64" s="1" t="b">
        <f t="shared" si="75"/>
        <v>1</v>
      </c>
      <c r="N64" s="2" t="s">
        <v>114</v>
      </c>
      <c r="O64" s="1">
        <f t="shared" si="72"/>
        <v>14</v>
      </c>
    </row>
    <row r="65">
      <c r="A65" s="29">
        <v>103.0</v>
      </c>
      <c r="B65" s="2">
        <v>57.0</v>
      </c>
      <c r="C65" s="2">
        <v>10.0</v>
      </c>
      <c r="D65" s="2">
        <v>36.0</v>
      </c>
      <c r="E65" s="1">
        <f t="shared" si="74"/>
        <v>8</v>
      </c>
      <c r="F65" s="2">
        <v>57.0</v>
      </c>
      <c r="G65" s="2">
        <v>10.0</v>
      </c>
      <c r="H65" s="2">
        <v>36.0</v>
      </c>
      <c r="I65" s="1">
        <f t="shared" si="3"/>
        <v>103</v>
      </c>
      <c r="J65" s="1" t="b">
        <f t="shared" ref="J65:L65" si="76">EQ(F65,B65)</f>
        <v>1</v>
      </c>
      <c r="K65" s="1" t="b">
        <f t="shared" si="76"/>
        <v>1</v>
      </c>
      <c r="L65" s="1" t="b">
        <f t="shared" si="76"/>
        <v>1</v>
      </c>
      <c r="N65" s="2" t="s">
        <v>114</v>
      </c>
      <c r="O65" s="1">
        <f t="shared" si="72"/>
        <v>8</v>
      </c>
    </row>
    <row r="66">
      <c r="A66" s="32">
        <v>104.0</v>
      </c>
      <c r="B66" s="2">
        <v>60.0</v>
      </c>
      <c r="C66" s="2">
        <v>12.0</v>
      </c>
      <c r="D66" s="2">
        <v>32.0</v>
      </c>
      <c r="E66" s="1">
        <f t="shared" si="74"/>
        <v>13</v>
      </c>
      <c r="F66" s="2">
        <v>57.0</v>
      </c>
      <c r="G66" s="2">
        <v>7.0</v>
      </c>
      <c r="H66" s="2">
        <v>40.0</v>
      </c>
      <c r="I66" s="1">
        <f t="shared" si="3"/>
        <v>104</v>
      </c>
      <c r="J66" s="1" t="b">
        <f t="shared" ref="J66:L66" si="77">EQ(F66,B66)</f>
        <v>0</v>
      </c>
      <c r="K66" s="1" t="b">
        <f t="shared" si="77"/>
        <v>0</v>
      </c>
      <c r="L66" s="1" t="b">
        <f t="shared" si="77"/>
        <v>0</v>
      </c>
      <c r="M66" s="1" t="b">
        <f>EQ(F66,G66)</f>
        <v>0</v>
      </c>
      <c r="O66" s="1">
        <f t="shared" si="72"/>
        <v>17</v>
      </c>
    </row>
    <row r="67">
      <c r="A67" s="29">
        <v>105.0</v>
      </c>
      <c r="B67" s="2">
        <v>60.0</v>
      </c>
      <c r="C67" s="2">
        <v>13.0</v>
      </c>
      <c r="D67" s="2">
        <v>32.0</v>
      </c>
      <c r="E67" s="1">
        <f t="shared" si="74"/>
        <v>13</v>
      </c>
      <c r="F67" s="2">
        <v>60.0</v>
      </c>
      <c r="G67" s="2">
        <v>13.0</v>
      </c>
      <c r="H67" s="2">
        <v>32.0</v>
      </c>
      <c r="I67" s="1">
        <f t="shared" si="3"/>
        <v>105</v>
      </c>
      <c r="J67" s="1" t="b">
        <f t="shared" ref="J67:L67" si="78">EQ(F67,B67)</f>
        <v>1</v>
      </c>
      <c r="K67" s="1" t="b">
        <f t="shared" si="78"/>
        <v>1</v>
      </c>
      <c r="L67" s="1" t="b">
        <f t="shared" si="78"/>
        <v>1</v>
      </c>
      <c r="N67" s="2" t="s">
        <v>114</v>
      </c>
      <c r="O67" s="1">
        <f t="shared" si="72"/>
        <v>14</v>
      </c>
    </row>
    <row r="68">
      <c r="A68" s="29">
        <v>106.0</v>
      </c>
      <c r="B68" s="2">
        <v>60.0</v>
      </c>
      <c r="C68" s="2">
        <v>10.0</v>
      </c>
      <c r="D68" s="2">
        <v>36.0</v>
      </c>
      <c r="E68" s="1">
        <f t="shared" si="74"/>
        <v>8</v>
      </c>
      <c r="F68" s="2">
        <v>60.0</v>
      </c>
      <c r="G68" s="2">
        <v>10.0</v>
      </c>
      <c r="H68" s="2">
        <v>36.0</v>
      </c>
      <c r="I68" s="1">
        <f t="shared" si="3"/>
        <v>106</v>
      </c>
      <c r="J68" s="1" t="b">
        <f t="shared" ref="J68:L68" si="79">EQ(F68,B68)</f>
        <v>1</v>
      </c>
      <c r="K68" s="1" t="b">
        <f t="shared" si="79"/>
        <v>1</v>
      </c>
      <c r="L68" s="1" t="b">
        <f t="shared" si="79"/>
        <v>1</v>
      </c>
      <c r="N68" s="2" t="s">
        <v>114</v>
      </c>
      <c r="O68" s="1">
        <f t="shared" si="72"/>
        <v>8</v>
      </c>
    </row>
    <row r="69">
      <c r="A69" s="29">
        <v>107.0</v>
      </c>
      <c r="B69" s="2">
        <v>57.0</v>
      </c>
      <c r="C69" s="2">
        <v>10.0</v>
      </c>
      <c r="D69" s="2">
        <v>40.0</v>
      </c>
      <c r="E69" s="1">
        <f t="shared" si="74"/>
        <v>21</v>
      </c>
      <c r="F69" s="2">
        <v>57.0</v>
      </c>
      <c r="G69" s="2">
        <v>10.0</v>
      </c>
      <c r="H69" s="2">
        <v>40.0</v>
      </c>
      <c r="I69" s="1">
        <f t="shared" si="3"/>
        <v>107</v>
      </c>
      <c r="J69" s="1" t="b">
        <f t="shared" ref="J69:L69" si="80">EQ(F69,B69)</f>
        <v>1</v>
      </c>
      <c r="K69" s="1" t="b">
        <f t="shared" si="80"/>
        <v>1</v>
      </c>
      <c r="L69" s="1" t="b">
        <f t="shared" si="80"/>
        <v>1</v>
      </c>
      <c r="N69" s="2" t="s">
        <v>114</v>
      </c>
      <c r="O69" s="1">
        <f t="shared" si="72"/>
        <v>17</v>
      </c>
    </row>
    <row r="70">
      <c r="A70" s="32">
        <v>108.0</v>
      </c>
      <c r="B70" s="2">
        <v>60.0</v>
      </c>
      <c r="C70" s="2">
        <v>16.0</v>
      </c>
      <c r="D70" s="2">
        <v>32.0</v>
      </c>
      <c r="E70" s="1">
        <f t="shared" si="74"/>
        <v>13</v>
      </c>
      <c r="F70" s="2">
        <v>57.0</v>
      </c>
      <c r="G70" s="2">
        <v>19.0</v>
      </c>
      <c r="H70" s="2">
        <v>32.0</v>
      </c>
      <c r="I70" s="1">
        <f t="shared" si="3"/>
        <v>108</v>
      </c>
      <c r="J70" s="1" t="b">
        <f t="shared" ref="J70:L70" si="81">EQ(F70,B70)</f>
        <v>0</v>
      </c>
      <c r="K70" s="1" t="b">
        <f t="shared" si="81"/>
        <v>0</v>
      </c>
      <c r="L70" s="1" t="b">
        <f t="shared" si="81"/>
        <v>1</v>
      </c>
      <c r="M70" s="1" t="b">
        <f t="shared" ref="M70:M73" si="83">EQ(F70,G70)</f>
        <v>0</v>
      </c>
      <c r="O70" s="1">
        <f t="shared" si="72"/>
        <v>14</v>
      </c>
    </row>
    <row r="71">
      <c r="A71" s="32">
        <v>109.0</v>
      </c>
      <c r="B71" s="2">
        <v>57.0</v>
      </c>
      <c r="C71" s="2">
        <v>12.0</v>
      </c>
      <c r="D71" s="2">
        <v>40.0</v>
      </c>
      <c r="E71" s="1">
        <f t="shared" si="74"/>
        <v>21</v>
      </c>
      <c r="F71" s="2">
        <v>60.0</v>
      </c>
      <c r="G71" s="2">
        <v>9.0</v>
      </c>
      <c r="H71" s="2">
        <v>40.0</v>
      </c>
      <c r="I71" s="1">
        <f t="shared" si="3"/>
        <v>109</v>
      </c>
      <c r="J71" s="1" t="b">
        <f t="shared" ref="J71:L71" si="82">EQ(F71,B71)</f>
        <v>0</v>
      </c>
      <c r="K71" s="1" t="b">
        <f t="shared" si="82"/>
        <v>0</v>
      </c>
      <c r="L71" s="1" t="b">
        <f t="shared" si="82"/>
        <v>1</v>
      </c>
      <c r="M71" s="1" t="b">
        <f t="shared" si="83"/>
        <v>0</v>
      </c>
      <c r="O71" s="1">
        <f t="shared" si="72"/>
        <v>17</v>
      </c>
    </row>
    <row r="72">
      <c r="A72" s="32">
        <v>110.0</v>
      </c>
      <c r="B72" s="2">
        <v>60.0</v>
      </c>
      <c r="C72" s="2">
        <v>10.0</v>
      </c>
      <c r="D72" s="2">
        <v>40.0</v>
      </c>
      <c r="E72" s="1">
        <f t="shared" si="74"/>
        <v>21</v>
      </c>
      <c r="F72" s="2">
        <v>57.0</v>
      </c>
      <c r="G72" s="2">
        <v>17.0</v>
      </c>
      <c r="H72" s="2">
        <v>36.0</v>
      </c>
      <c r="I72" s="1">
        <f t="shared" si="3"/>
        <v>110</v>
      </c>
      <c r="J72" s="1" t="b">
        <f t="shared" ref="J72:L72" si="84">EQ(F72,B72)</f>
        <v>0</v>
      </c>
      <c r="K72" s="1" t="b">
        <f t="shared" si="84"/>
        <v>0</v>
      </c>
      <c r="L72" s="1" t="b">
        <f t="shared" si="84"/>
        <v>0</v>
      </c>
      <c r="M72" s="1" t="b">
        <f t="shared" si="83"/>
        <v>0</v>
      </c>
      <c r="O72" s="1">
        <f t="shared" si="72"/>
        <v>8</v>
      </c>
    </row>
    <row r="73">
      <c r="A73" s="32">
        <v>111.0</v>
      </c>
      <c r="B73" s="2">
        <v>60.0</v>
      </c>
      <c r="C73" s="2">
        <v>19.0</v>
      </c>
      <c r="D73" s="2">
        <v>32.0</v>
      </c>
      <c r="E73" s="1">
        <f t="shared" si="74"/>
        <v>13</v>
      </c>
      <c r="F73" s="2">
        <v>57.0</v>
      </c>
      <c r="G73" s="2">
        <v>14.0</v>
      </c>
      <c r="H73" s="2">
        <v>40.0</v>
      </c>
      <c r="I73" s="1">
        <f t="shared" si="3"/>
        <v>111</v>
      </c>
      <c r="J73" s="1" t="b">
        <f t="shared" ref="J73:L73" si="85">EQ(F73,B73)</f>
        <v>0</v>
      </c>
      <c r="K73" s="1" t="b">
        <f t="shared" si="85"/>
        <v>0</v>
      </c>
      <c r="L73" s="1" t="b">
        <f t="shared" si="85"/>
        <v>0</v>
      </c>
      <c r="M73" s="1" t="b">
        <f t="shared" si="83"/>
        <v>0</v>
      </c>
      <c r="O73" s="1">
        <f t="shared" si="72"/>
        <v>17</v>
      </c>
    </row>
    <row r="74">
      <c r="A74" s="29">
        <v>112.0</v>
      </c>
      <c r="B74" s="2">
        <v>60.0</v>
      </c>
      <c r="C74" s="2">
        <v>12.0</v>
      </c>
      <c r="D74" s="2">
        <v>40.0</v>
      </c>
      <c r="E74" s="1">
        <f t="shared" si="74"/>
        <v>21</v>
      </c>
      <c r="F74" s="2">
        <v>60.0</v>
      </c>
      <c r="G74" s="2">
        <v>12.0</v>
      </c>
      <c r="H74" s="2">
        <v>40.0</v>
      </c>
      <c r="I74" s="1">
        <f t="shared" si="3"/>
        <v>112</v>
      </c>
      <c r="J74" s="1" t="b">
        <f t="shared" ref="J74:L74" si="86">EQ(F74,B74)</f>
        <v>1</v>
      </c>
      <c r="K74" s="1" t="b">
        <f t="shared" si="86"/>
        <v>1</v>
      </c>
      <c r="L74" s="1" t="b">
        <f t="shared" si="86"/>
        <v>1</v>
      </c>
      <c r="N74" s="2" t="s">
        <v>114</v>
      </c>
      <c r="O74" s="1">
        <f t="shared" si="72"/>
        <v>17</v>
      </c>
    </row>
    <row r="75">
      <c r="A75" s="32">
        <v>113.0</v>
      </c>
      <c r="B75" s="2">
        <v>60.0</v>
      </c>
      <c r="C75" s="2">
        <v>13.0</v>
      </c>
      <c r="D75" s="2">
        <v>40.0</v>
      </c>
      <c r="E75" s="1">
        <f t="shared" si="74"/>
        <v>21</v>
      </c>
      <c r="F75" s="2">
        <v>57.0</v>
      </c>
      <c r="G75" s="2">
        <v>16.0</v>
      </c>
      <c r="H75" s="2">
        <v>40.0</v>
      </c>
      <c r="I75" s="1">
        <f t="shared" si="3"/>
        <v>113</v>
      </c>
      <c r="J75" s="1" t="b">
        <f t="shared" ref="J75:L75" si="87">EQ(F75,B75)</f>
        <v>0</v>
      </c>
      <c r="K75" s="1" t="b">
        <f t="shared" si="87"/>
        <v>0</v>
      </c>
      <c r="L75" s="1" t="b">
        <f t="shared" si="87"/>
        <v>1</v>
      </c>
      <c r="M75" s="1" t="b">
        <f t="shared" ref="M75:M77" si="89">EQ(F75,G75)</f>
        <v>0</v>
      </c>
      <c r="O75" s="1">
        <f t="shared" si="72"/>
        <v>17</v>
      </c>
    </row>
    <row r="76">
      <c r="A76" s="32">
        <v>114.0</v>
      </c>
      <c r="B76" s="2">
        <v>60.0</v>
      </c>
      <c r="C76" s="2">
        <v>14.0</v>
      </c>
      <c r="D76" s="2">
        <v>40.0</v>
      </c>
      <c r="E76" s="1">
        <f t="shared" si="74"/>
        <v>21</v>
      </c>
      <c r="F76" s="2">
        <v>54.0</v>
      </c>
      <c r="G76" s="2">
        <v>20.0</v>
      </c>
      <c r="H76" s="2">
        <v>40.0</v>
      </c>
      <c r="I76" s="1">
        <f t="shared" si="3"/>
        <v>114</v>
      </c>
      <c r="J76" s="1" t="b">
        <f t="shared" ref="J76:L76" si="88">EQ(F76,B76)</f>
        <v>0</v>
      </c>
      <c r="K76" s="1" t="b">
        <f t="shared" si="88"/>
        <v>0</v>
      </c>
      <c r="L76" s="1" t="b">
        <f t="shared" si="88"/>
        <v>1</v>
      </c>
      <c r="M76" s="1" t="b">
        <f t="shared" si="89"/>
        <v>0</v>
      </c>
      <c r="O76" s="1">
        <f t="shared" si="72"/>
        <v>17</v>
      </c>
    </row>
    <row r="77">
      <c r="A77" s="32">
        <v>115.0</v>
      </c>
      <c r="B77" s="2">
        <v>60.0</v>
      </c>
      <c r="C77" s="2">
        <v>15.0</v>
      </c>
      <c r="D77" s="2">
        <v>40.0</v>
      </c>
      <c r="E77" s="1">
        <f t="shared" si="74"/>
        <v>21</v>
      </c>
      <c r="F77" s="2">
        <v>57.0</v>
      </c>
      <c r="G77" s="2">
        <v>18.0</v>
      </c>
      <c r="H77" s="2">
        <v>40.0</v>
      </c>
      <c r="I77" s="1">
        <f t="shared" si="3"/>
        <v>115</v>
      </c>
      <c r="J77" s="1" t="b">
        <f t="shared" ref="J77:L77" si="90">EQ(F77,B77)</f>
        <v>0</v>
      </c>
      <c r="K77" s="1" t="b">
        <f t="shared" si="90"/>
        <v>0</v>
      </c>
      <c r="L77" s="1" t="b">
        <f t="shared" si="90"/>
        <v>1</v>
      </c>
      <c r="M77" s="1" t="b">
        <f t="shared" si="89"/>
        <v>0</v>
      </c>
      <c r="O77" s="1">
        <f t="shared" si="72"/>
        <v>17</v>
      </c>
    </row>
    <row r="78">
      <c r="A78" s="29">
        <v>116.0</v>
      </c>
      <c r="B78" s="2">
        <v>60.0</v>
      </c>
      <c r="C78" s="2">
        <v>16.0</v>
      </c>
      <c r="D78" s="2">
        <v>40.0</v>
      </c>
      <c r="E78" s="1">
        <f t="shared" si="74"/>
        <v>21</v>
      </c>
      <c r="F78" s="2">
        <v>60.0</v>
      </c>
      <c r="G78" s="2">
        <v>16.0</v>
      </c>
      <c r="H78" s="2">
        <v>40.0</v>
      </c>
      <c r="I78" s="1">
        <f t="shared" si="3"/>
        <v>116</v>
      </c>
      <c r="J78" s="1" t="b">
        <f t="shared" ref="J78:L78" si="91">EQ(F78,B78)</f>
        <v>1</v>
      </c>
      <c r="K78" s="1" t="b">
        <f t="shared" si="91"/>
        <v>1</v>
      </c>
      <c r="L78" s="1" t="b">
        <f t="shared" si="91"/>
        <v>1</v>
      </c>
      <c r="M78" s="2" t="s">
        <v>115</v>
      </c>
      <c r="N78" s="2" t="s">
        <v>114</v>
      </c>
      <c r="O78" s="1">
        <f t="shared" si="72"/>
        <v>17</v>
      </c>
    </row>
    <row r="79">
      <c r="A79" s="29">
        <v>117.0</v>
      </c>
      <c r="B79" s="2">
        <v>60.0</v>
      </c>
      <c r="C79" s="2">
        <v>17.0</v>
      </c>
      <c r="D79" s="2">
        <v>40.0</v>
      </c>
      <c r="E79" s="1">
        <f t="shared" si="74"/>
        <v>21</v>
      </c>
      <c r="F79" s="2">
        <v>60.0</v>
      </c>
      <c r="G79" s="2">
        <v>17.0</v>
      </c>
      <c r="H79" s="2">
        <v>40.0</v>
      </c>
      <c r="I79" s="1">
        <f t="shared" si="3"/>
        <v>117</v>
      </c>
      <c r="J79" s="1" t="b">
        <f t="shared" ref="J79:L79" si="92">EQ(F79,B79)</f>
        <v>1</v>
      </c>
      <c r="K79" s="1" t="b">
        <f t="shared" si="92"/>
        <v>1</v>
      </c>
      <c r="L79" s="1" t="b">
        <f t="shared" si="92"/>
        <v>1</v>
      </c>
      <c r="N79" s="2" t="s">
        <v>114</v>
      </c>
      <c r="O79" s="1">
        <f t="shared" si="72"/>
        <v>17</v>
      </c>
    </row>
    <row r="80">
      <c r="A80" s="29">
        <v>118.0</v>
      </c>
      <c r="B80" s="2">
        <v>60.0</v>
      </c>
      <c r="C80" s="2">
        <v>18.0</v>
      </c>
      <c r="D80" s="2">
        <v>40.0</v>
      </c>
      <c r="E80" s="1">
        <f t="shared" si="74"/>
        <v>21</v>
      </c>
      <c r="F80" s="2">
        <v>60.0</v>
      </c>
      <c r="G80" s="2">
        <v>18.0</v>
      </c>
      <c r="H80" s="2">
        <v>40.0</v>
      </c>
      <c r="I80" s="1">
        <f t="shared" si="3"/>
        <v>118</v>
      </c>
      <c r="J80" s="1" t="b">
        <f t="shared" ref="J80:L80" si="93">EQ(F80,B80)</f>
        <v>1</v>
      </c>
      <c r="K80" s="1" t="b">
        <f t="shared" si="93"/>
        <v>1</v>
      </c>
      <c r="L80" s="1" t="b">
        <f t="shared" si="93"/>
        <v>1</v>
      </c>
      <c r="N80" s="2" t="s">
        <v>114</v>
      </c>
      <c r="O80" s="1">
        <f t="shared" si="72"/>
        <v>17</v>
      </c>
    </row>
    <row r="81">
      <c r="A81" s="32">
        <v>119.0</v>
      </c>
      <c r="B81" s="2">
        <v>60.0</v>
      </c>
      <c r="C81" s="2">
        <v>19.0</v>
      </c>
      <c r="D81" s="2">
        <v>40.0</v>
      </c>
      <c r="E81" s="1">
        <f t="shared" si="74"/>
        <v>21</v>
      </c>
      <c r="F81" s="2">
        <v>50.0</v>
      </c>
      <c r="G81" s="2">
        <v>57.0</v>
      </c>
      <c r="H81" s="2">
        <v>12.0</v>
      </c>
      <c r="I81" s="1">
        <f t="shared" si="3"/>
        <v>119</v>
      </c>
      <c r="J81" s="1" t="b">
        <f t="shared" ref="J81:L81" si="94">EQ(F81,B81)</f>
        <v>0</v>
      </c>
      <c r="K81" s="1" t="b">
        <f t="shared" si="94"/>
        <v>0</v>
      </c>
      <c r="L81" s="1" t="b">
        <f t="shared" si="94"/>
        <v>0</v>
      </c>
      <c r="M81" s="1" t="b">
        <f>EQ(F81,G81)</f>
        <v>0</v>
      </c>
      <c r="O81" s="1">
        <f t="shared" si="72"/>
        <v>3</v>
      </c>
    </row>
    <row r="82">
      <c r="A82" s="29">
        <v>120.0</v>
      </c>
      <c r="B82" s="2">
        <v>60.0</v>
      </c>
      <c r="C82" s="2">
        <v>20.0</v>
      </c>
      <c r="D82" s="2">
        <v>40.0</v>
      </c>
      <c r="E82" s="1">
        <f t="shared" si="74"/>
        <v>21</v>
      </c>
      <c r="F82" s="2">
        <v>60.0</v>
      </c>
      <c r="G82" s="2">
        <v>20.0</v>
      </c>
      <c r="H82" s="2">
        <v>40.0</v>
      </c>
      <c r="I82" s="1">
        <f t="shared" si="3"/>
        <v>120</v>
      </c>
      <c r="J82" s="1" t="b">
        <f t="shared" ref="J82:L82" si="95">EQ(F82,B82)</f>
        <v>1</v>
      </c>
      <c r="K82" s="1" t="b">
        <f t="shared" si="95"/>
        <v>1</v>
      </c>
      <c r="L82" s="1" t="b">
        <f t="shared" si="95"/>
        <v>1</v>
      </c>
      <c r="N82" s="2" t="s">
        <v>114</v>
      </c>
      <c r="O82" s="1">
        <f t="shared" si="72"/>
        <v>17</v>
      </c>
    </row>
    <row r="83">
      <c r="A83" s="32">
        <v>121.0</v>
      </c>
      <c r="B83" s="2">
        <v>57.0</v>
      </c>
      <c r="C83" s="2">
        <v>14.0</v>
      </c>
      <c r="D83" s="2">
        <v>50.0</v>
      </c>
      <c r="E83" s="1">
        <f t="shared" si="74"/>
        <v>6</v>
      </c>
      <c r="F83" s="2">
        <v>50.0</v>
      </c>
      <c r="G83" s="2">
        <v>39.0</v>
      </c>
      <c r="H83" s="2">
        <v>32.0</v>
      </c>
      <c r="I83" s="1">
        <f t="shared" si="3"/>
        <v>121</v>
      </c>
      <c r="J83" s="1" t="b">
        <f t="shared" ref="J83:L83" si="96">EQ(F83,B83)</f>
        <v>0</v>
      </c>
      <c r="K83" s="1" t="b">
        <f t="shared" si="96"/>
        <v>0</v>
      </c>
      <c r="L83" s="1" t="b">
        <f t="shared" si="96"/>
        <v>0</v>
      </c>
      <c r="M83" s="1" t="b">
        <f t="shared" ref="M83:M88" si="98">EQ(F83,G83)</f>
        <v>0</v>
      </c>
      <c r="O83" s="1">
        <f t="shared" si="72"/>
        <v>14</v>
      </c>
    </row>
    <row r="84">
      <c r="A84" s="32">
        <v>122.0</v>
      </c>
      <c r="B84" s="2">
        <v>54.0</v>
      </c>
      <c r="C84" s="2">
        <v>18.0</v>
      </c>
      <c r="D84" s="2">
        <v>50.0</v>
      </c>
      <c r="E84" s="1">
        <f t="shared" si="74"/>
        <v>6</v>
      </c>
      <c r="F84" s="2">
        <v>54.0</v>
      </c>
      <c r="G84" s="2">
        <v>54.0</v>
      </c>
      <c r="H84" s="2">
        <v>14.0</v>
      </c>
      <c r="I84" s="1">
        <f t="shared" si="3"/>
        <v>122</v>
      </c>
      <c r="J84" s="1" t="b">
        <f t="shared" ref="J84:L84" si="97">EQ(F84,B84)</f>
        <v>1</v>
      </c>
      <c r="K84" s="1" t="b">
        <f t="shared" si="97"/>
        <v>0</v>
      </c>
      <c r="L84" s="1" t="b">
        <f t="shared" si="97"/>
        <v>0</v>
      </c>
      <c r="M84" s="1" t="b">
        <f t="shared" si="98"/>
        <v>1</v>
      </c>
      <c r="O84" s="1">
        <f t="shared" si="72"/>
        <v>1</v>
      </c>
    </row>
    <row r="85">
      <c r="A85" s="32">
        <v>123.0</v>
      </c>
      <c r="B85" s="2">
        <v>60.0</v>
      </c>
      <c r="C85" s="2">
        <v>39.0</v>
      </c>
      <c r="D85" s="2">
        <v>24.0</v>
      </c>
      <c r="E85" s="1">
        <f t="shared" si="74"/>
        <v>4</v>
      </c>
      <c r="F85" s="2">
        <v>57.0</v>
      </c>
      <c r="G85" s="2">
        <v>48.0</v>
      </c>
      <c r="H85" s="2">
        <v>18.0</v>
      </c>
      <c r="I85" s="1">
        <f t="shared" si="3"/>
        <v>123</v>
      </c>
      <c r="J85" s="1" t="b">
        <f t="shared" ref="J85:L85" si="99">EQ(F85,B85)</f>
        <v>0</v>
      </c>
      <c r="K85" s="1" t="b">
        <f t="shared" si="99"/>
        <v>0</v>
      </c>
      <c r="L85" s="1" t="b">
        <f t="shared" si="99"/>
        <v>0</v>
      </c>
      <c r="M85" s="1" t="b">
        <f t="shared" si="98"/>
        <v>0</v>
      </c>
      <c r="O85" s="1">
        <f t="shared" si="72"/>
        <v>1</v>
      </c>
    </row>
    <row r="86">
      <c r="A86" s="32">
        <v>124.0</v>
      </c>
      <c r="B86" s="2">
        <v>60.0</v>
      </c>
      <c r="C86" s="2">
        <v>48.0</v>
      </c>
      <c r="D86" s="2">
        <v>16.0</v>
      </c>
      <c r="E86" s="1">
        <f t="shared" si="74"/>
        <v>5</v>
      </c>
      <c r="F86" s="2">
        <v>60.0</v>
      </c>
      <c r="G86" s="2">
        <v>42.0</v>
      </c>
      <c r="H86" s="2">
        <v>22.0</v>
      </c>
      <c r="I86" s="1">
        <f t="shared" si="3"/>
        <v>124</v>
      </c>
      <c r="J86" s="1" t="b">
        <f t="shared" ref="J86:L86" si="100">EQ(F86,B86)</f>
        <v>1</v>
      </c>
      <c r="K86" s="1" t="b">
        <f t="shared" si="100"/>
        <v>0</v>
      </c>
      <c r="L86" s="1" t="b">
        <f t="shared" si="100"/>
        <v>0</v>
      </c>
      <c r="M86" s="1" t="b">
        <f t="shared" si="98"/>
        <v>0</v>
      </c>
      <c r="O86" s="1">
        <f t="shared" si="72"/>
        <v>1</v>
      </c>
    </row>
    <row r="87">
      <c r="A87" s="32">
        <v>125.0</v>
      </c>
      <c r="B87" s="2">
        <v>60.0</v>
      </c>
      <c r="C87" s="2">
        <v>57.0</v>
      </c>
      <c r="D87" s="2">
        <v>8.0</v>
      </c>
      <c r="E87" s="1">
        <f t="shared" si="74"/>
        <v>2</v>
      </c>
      <c r="F87" s="2">
        <v>50.0</v>
      </c>
      <c r="G87" s="2">
        <v>25.0</v>
      </c>
      <c r="H87" s="2">
        <v>50.0</v>
      </c>
      <c r="I87" s="1">
        <f t="shared" si="3"/>
        <v>125</v>
      </c>
      <c r="J87" s="1" t="b">
        <f t="shared" ref="J87:L87" si="101">EQ(F87,B87)</f>
        <v>0</v>
      </c>
      <c r="K87" s="1" t="b">
        <f t="shared" si="101"/>
        <v>0</v>
      </c>
      <c r="L87" s="1" t="b">
        <f t="shared" si="101"/>
        <v>0</v>
      </c>
      <c r="M87" s="1" t="b">
        <f t="shared" si="98"/>
        <v>0</v>
      </c>
      <c r="O87" s="1">
        <f t="shared" si="72"/>
        <v>4</v>
      </c>
    </row>
    <row r="88">
      <c r="A88" s="32">
        <v>126.0</v>
      </c>
      <c r="B88" s="2">
        <v>57.0</v>
      </c>
      <c r="C88" s="2">
        <v>19.0</v>
      </c>
      <c r="D88" s="2">
        <v>50.0</v>
      </c>
      <c r="E88" s="1">
        <f t="shared" si="74"/>
        <v>6</v>
      </c>
      <c r="F88" s="2">
        <v>57.0</v>
      </c>
      <c r="G88" s="2">
        <v>57.0</v>
      </c>
      <c r="H88" s="2">
        <v>12.0</v>
      </c>
      <c r="I88" s="1">
        <f t="shared" si="3"/>
        <v>126</v>
      </c>
      <c r="J88" s="1" t="b">
        <f t="shared" ref="J88:L88" si="102">EQ(F88,B88)</f>
        <v>1</v>
      </c>
      <c r="K88" s="1" t="b">
        <f t="shared" si="102"/>
        <v>0</v>
      </c>
      <c r="L88" s="1" t="b">
        <f t="shared" si="102"/>
        <v>0</v>
      </c>
      <c r="M88" s="1" t="b">
        <f t="shared" si="98"/>
        <v>1</v>
      </c>
      <c r="O88" s="1">
        <f t="shared" si="72"/>
        <v>3</v>
      </c>
    </row>
    <row r="89">
      <c r="A89" s="29">
        <v>127.0</v>
      </c>
      <c r="B89" s="2">
        <v>60.0</v>
      </c>
      <c r="C89" s="2">
        <v>51.0</v>
      </c>
      <c r="D89" s="2">
        <v>16.0</v>
      </c>
      <c r="E89" s="1">
        <f t="shared" si="74"/>
        <v>5</v>
      </c>
      <c r="F89" s="2">
        <v>60.0</v>
      </c>
      <c r="G89" s="2">
        <v>51.0</v>
      </c>
      <c r="H89" s="2">
        <v>16.0</v>
      </c>
      <c r="I89" s="1">
        <f t="shared" si="3"/>
        <v>127</v>
      </c>
      <c r="J89" s="1" t="b">
        <f t="shared" ref="J89:L89" si="103">EQ(F89,B89)</f>
        <v>1</v>
      </c>
      <c r="K89" s="1" t="b">
        <f t="shared" si="103"/>
        <v>1</v>
      </c>
      <c r="L89" s="1" t="b">
        <f t="shared" si="103"/>
        <v>1</v>
      </c>
      <c r="N89" s="2" t="s">
        <v>114</v>
      </c>
      <c r="O89" s="1">
        <f t="shared" si="72"/>
        <v>3</v>
      </c>
    </row>
    <row r="90">
      <c r="A90" s="32">
        <v>128.0</v>
      </c>
      <c r="B90" s="2">
        <v>60.0</v>
      </c>
      <c r="C90" s="2">
        <v>60.0</v>
      </c>
      <c r="D90" s="2">
        <v>8.0</v>
      </c>
      <c r="E90" s="1">
        <f t="shared" si="74"/>
        <v>2</v>
      </c>
      <c r="F90" s="2">
        <v>54.0</v>
      </c>
      <c r="G90" s="2">
        <v>54.0</v>
      </c>
      <c r="H90" s="2">
        <v>20.0</v>
      </c>
      <c r="I90" s="1">
        <f t="shared" si="3"/>
        <v>128</v>
      </c>
      <c r="J90" s="1" t="b">
        <f t="shared" ref="J90:L90" si="104">EQ(F90,B90)</f>
        <v>0</v>
      </c>
      <c r="K90" s="1" t="b">
        <f t="shared" si="104"/>
        <v>0</v>
      </c>
      <c r="L90" s="1" t="b">
        <f t="shared" si="104"/>
        <v>0</v>
      </c>
      <c r="M90" s="1" t="b">
        <f t="shared" ref="M90:M92" si="106">EQ(F90,G90)</f>
        <v>1</v>
      </c>
      <c r="O90" s="1">
        <f t="shared" si="72"/>
        <v>3</v>
      </c>
    </row>
    <row r="91">
      <c r="A91" s="32">
        <v>129.0</v>
      </c>
      <c r="B91" s="2">
        <v>57.0</v>
      </c>
      <c r="C91" s="2">
        <v>48.0</v>
      </c>
      <c r="D91" s="2">
        <v>24.0</v>
      </c>
      <c r="E91" s="1">
        <f t="shared" si="74"/>
        <v>4</v>
      </c>
      <c r="F91" s="2">
        <v>57.0</v>
      </c>
      <c r="G91" s="2">
        <v>60.0</v>
      </c>
      <c r="H91" s="2">
        <v>12.0</v>
      </c>
      <c r="I91" s="1">
        <f t="shared" si="3"/>
        <v>129</v>
      </c>
      <c r="J91" s="1" t="b">
        <f t="shared" ref="J91:L91" si="105">EQ(F91,B91)</f>
        <v>1</v>
      </c>
      <c r="K91" s="1" t="b">
        <f t="shared" si="105"/>
        <v>0</v>
      </c>
      <c r="L91" s="1" t="b">
        <f t="shared" si="105"/>
        <v>0</v>
      </c>
      <c r="M91" s="1" t="b">
        <f t="shared" si="106"/>
        <v>0</v>
      </c>
      <c r="O91" s="1">
        <f t="shared" si="72"/>
        <v>3</v>
      </c>
    </row>
    <row r="92">
      <c r="A92" s="32">
        <v>130.0</v>
      </c>
      <c r="B92" s="2">
        <v>60.0</v>
      </c>
      <c r="C92" s="2">
        <v>54.0</v>
      </c>
      <c r="D92" s="2">
        <v>16.0</v>
      </c>
      <c r="E92" s="1">
        <f t="shared" si="74"/>
        <v>5</v>
      </c>
      <c r="F92" s="2">
        <v>60.0</v>
      </c>
      <c r="G92" s="2">
        <v>60.0</v>
      </c>
      <c r="H92" s="2">
        <v>10.0</v>
      </c>
      <c r="I92" s="1">
        <f t="shared" si="3"/>
        <v>130</v>
      </c>
      <c r="J92" s="1" t="b">
        <f t="shared" ref="J92:L92" si="107">EQ(F92,B92)</f>
        <v>1</v>
      </c>
      <c r="K92" s="1" t="b">
        <f t="shared" si="107"/>
        <v>0</v>
      </c>
      <c r="L92" s="1" t="b">
        <f t="shared" si="107"/>
        <v>0</v>
      </c>
      <c r="M92" s="1" t="b">
        <f t="shared" si="106"/>
        <v>1</v>
      </c>
      <c r="O92" s="1">
        <f t="shared" si="72"/>
        <v>1</v>
      </c>
    </row>
    <row r="93">
      <c r="A93" s="29">
        <v>131.0</v>
      </c>
      <c r="B93" s="2">
        <v>60.0</v>
      </c>
      <c r="C93" s="2">
        <v>39.0</v>
      </c>
      <c r="D93" s="2">
        <v>32.0</v>
      </c>
      <c r="E93" s="1">
        <f t="shared" si="74"/>
        <v>13</v>
      </c>
      <c r="F93" s="2">
        <v>60.0</v>
      </c>
      <c r="G93" s="2">
        <v>39.0</v>
      </c>
      <c r="H93" s="2">
        <v>32.0</v>
      </c>
      <c r="I93" s="1">
        <f t="shared" si="3"/>
        <v>131</v>
      </c>
      <c r="J93" s="1" t="b">
        <f t="shared" ref="J93:L93" si="108">EQ(F93,B93)</f>
        <v>1</v>
      </c>
      <c r="K93" s="1" t="b">
        <f t="shared" si="108"/>
        <v>1</v>
      </c>
      <c r="L93" s="1" t="b">
        <f t="shared" si="108"/>
        <v>1</v>
      </c>
      <c r="N93" s="2" t="s">
        <v>114</v>
      </c>
      <c r="O93" s="1">
        <f t="shared" si="72"/>
        <v>14</v>
      </c>
    </row>
    <row r="94">
      <c r="A94" s="32">
        <v>132.0</v>
      </c>
      <c r="B94" s="2">
        <v>60.0</v>
      </c>
      <c r="C94" s="2">
        <v>48.0</v>
      </c>
      <c r="D94" s="2">
        <v>24.0</v>
      </c>
      <c r="E94" s="1">
        <f t="shared" si="74"/>
        <v>4</v>
      </c>
      <c r="F94" s="2">
        <v>50.0</v>
      </c>
      <c r="G94" s="2">
        <v>50.0</v>
      </c>
      <c r="H94" s="2">
        <v>32.0</v>
      </c>
      <c r="I94" s="1">
        <f t="shared" si="3"/>
        <v>132</v>
      </c>
      <c r="J94" s="1" t="b">
        <f t="shared" ref="J94:L94" si="109">EQ(F94,B94)</f>
        <v>0</v>
      </c>
      <c r="K94" s="1" t="b">
        <f t="shared" si="109"/>
        <v>0</v>
      </c>
      <c r="L94" s="1" t="b">
        <f t="shared" si="109"/>
        <v>0</v>
      </c>
      <c r="M94" s="1" t="b">
        <f>EQ(F94,G94)</f>
        <v>1</v>
      </c>
      <c r="O94" s="1">
        <f t="shared" si="72"/>
        <v>14</v>
      </c>
    </row>
    <row r="95">
      <c r="A95" s="29">
        <v>133.0</v>
      </c>
      <c r="B95" s="2">
        <v>60.0</v>
      </c>
      <c r="C95" s="2">
        <v>57.0</v>
      </c>
      <c r="D95" s="2">
        <v>16.0</v>
      </c>
      <c r="E95" s="1">
        <f t="shared" si="74"/>
        <v>5</v>
      </c>
      <c r="F95" s="2">
        <v>60.0</v>
      </c>
      <c r="G95" s="2">
        <v>57.0</v>
      </c>
      <c r="H95" s="2">
        <v>16.0</v>
      </c>
      <c r="I95" s="1">
        <f t="shared" si="3"/>
        <v>133</v>
      </c>
      <c r="J95" s="1" t="b">
        <f t="shared" ref="J95:L95" si="110">EQ(F95,B95)</f>
        <v>1</v>
      </c>
      <c r="K95" s="1" t="b">
        <f t="shared" si="110"/>
        <v>1</v>
      </c>
      <c r="L95" s="1" t="b">
        <f t="shared" si="110"/>
        <v>1</v>
      </c>
      <c r="N95" s="2" t="s">
        <v>114</v>
      </c>
      <c r="O95" s="1">
        <f t="shared" si="72"/>
        <v>3</v>
      </c>
    </row>
    <row r="96">
      <c r="A96" s="32">
        <v>134.0</v>
      </c>
      <c r="B96" s="2">
        <v>60.0</v>
      </c>
      <c r="C96" s="2">
        <v>42.0</v>
      </c>
      <c r="D96" s="2">
        <v>32.0</v>
      </c>
      <c r="E96" s="1">
        <f t="shared" si="74"/>
        <v>13</v>
      </c>
      <c r="F96" s="2">
        <v>51.0</v>
      </c>
      <c r="G96" s="2">
        <v>51.0</v>
      </c>
      <c r="H96" s="2">
        <v>32.0</v>
      </c>
      <c r="I96" s="1">
        <f t="shared" si="3"/>
        <v>134</v>
      </c>
      <c r="J96" s="1" t="b">
        <f t="shared" ref="J96:L96" si="111">EQ(F96,B96)</f>
        <v>0</v>
      </c>
      <c r="K96" s="1" t="b">
        <f t="shared" si="111"/>
        <v>0</v>
      </c>
      <c r="L96" s="1" t="b">
        <f t="shared" si="111"/>
        <v>1</v>
      </c>
      <c r="M96" s="1" t="b">
        <f t="shared" ref="M96:M97" si="113">EQ(F96,G96)</f>
        <v>1</v>
      </c>
      <c r="O96" s="1">
        <f t="shared" si="72"/>
        <v>14</v>
      </c>
    </row>
    <row r="97">
      <c r="A97" s="32">
        <v>135.0</v>
      </c>
      <c r="B97" s="2">
        <v>60.0</v>
      </c>
      <c r="C97" s="2">
        <v>39.0</v>
      </c>
      <c r="D97" s="2">
        <v>36.0</v>
      </c>
      <c r="E97" s="1">
        <f t="shared" si="74"/>
        <v>8</v>
      </c>
      <c r="F97" s="2">
        <v>50.0</v>
      </c>
      <c r="G97" s="2">
        <v>57.0</v>
      </c>
      <c r="H97" s="2">
        <v>28.0</v>
      </c>
      <c r="I97" s="1">
        <f t="shared" si="3"/>
        <v>135</v>
      </c>
      <c r="J97" s="1" t="b">
        <f t="shared" ref="J97:L97" si="112">EQ(F97,B97)</f>
        <v>0</v>
      </c>
      <c r="K97" s="1" t="b">
        <f t="shared" si="112"/>
        <v>0</v>
      </c>
      <c r="L97" s="1" t="b">
        <f t="shared" si="112"/>
        <v>0</v>
      </c>
      <c r="M97" s="1" t="b">
        <f t="shared" si="113"/>
        <v>0</v>
      </c>
      <c r="O97" s="1">
        <f t="shared" si="72"/>
        <v>3</v>
      </c>
    </row>
    <row r="98">
      <c r="A98" s="29">
        <v>136.0</v>
      </c>
      <c r="B98" s="2">
        <v>60.0</v>
      </c>
      <c r="C98" s="2">
        <v>60.0</v>
      </c>
      <c r="D98" s="2">
        <v>16.0</v>
      </c>
      <c r="E98" s="1">
        <f t="shared" si="74"/>
        <v>5</v>
      </c>
      <c r="F98" s="2">
        <v>60.0</v>
      </c>
      <c r="G98" s="2">
        <v>60.0</v>
      </c>
      <c r="H98" s="2">
        <v>16.0</v>
      </c>
      <c r="I98" s="1">
        <f t="shared" si="3"/>
        <v>136</v>
      </c>
      <c r="J98" s="1" t="b">
        <f t="shared" ref="J98:L98" si="114">EQ(F98,B98)</f>
        <v>1</v>
      </c>
      <c r="K98" s="1" t="b">
        <f t="shared" si="114"/>
        <v>1</v>
      </c>
      <c r="L98" s="1" t="b">
        <f t="shared" si="114"/>
        <v>1</v>
      </c>
      <c r="N98" s="2" t="s">
        <v>114</v>
      </c>
      <c r="O98" s="1">
        <f t="shared" si="72"/>
        <v>3</v>
      </c>
    </row>
    <row r="99">
      <c r="A99" s="32">
        <v>137.0</v>
      </c>
      <c r="B99" s="2">
        <v>54.0</v>
      </c>
      <c r="C99" s="2">
        <v>51.0</v>
      </c>
      <c r="D99" s="2">
        <v>32.0</v>
      </c>
      <c r="E99" s="1">
        <f t="shared" si="74"/>
        <v>13</v>
      </c>
      <c r="F99" s="2">
        <v>60.0</v>
      </c>
      <c r="G99" s="2">
        <v>57.0</v>
      </c>
      <c r="H99" s="2">
        <v>20.0</v>
      </c>
      <c r="I99" s="1">
        <f t="shared" si="3"/>
        <v>137</v>
      </c>
      <c r="J99" s="1" t="b">
        <f t="shared" ref="J99:L99" si="115">EQ(F99,B99)</f>
        <v>0</v>
      </c>
      <c r="K99" s="1" t="b">
        <f t="shared" si="115"/>
        <v>0</v>
      </c>
      <c r="L99" s="1" t="b">
        <f t="shared" si="115"/>
        <v>0</v>
      </c>
      <c r="M99" s="1" t="b">
        <f t="shared" ref="M99:M102" si="117">EQ(F99,G99)</f>
        <v>0</v>
      </c>
      <c r="O99" s="1">
        <f t="shared" si="72"/>
        <v>3</v>
      </c>
    </row>
    <row r="100">
      <c r="A100" s="32">
        <v>138.0</v>
      </c>
      <c r="B100" s="2">
        <v>60.0</v>
      </c>
      <c r="C100" s="2">
        <v>48.0</v>
      </c>
      <c r="D100" s="2">
        <v>30.0</v>
      </c>
      <c r="E100" s="1">
        <f t="shared" si="74"/>
        <v>1</v>
      </c>
      <c r="F100" s="2">
        <v>57.0</v>
      </c>
      <c r="G100" s="2">
        <v>57.0</v>
      </c>
      <c r="H100" s="2">
        <v>24.0</v>
      </c>
      <c r="I100" s="1">
        <f t="shared" si="3"/>
        <v>138</v>
      </c>
      <c r="J100" s="1" t="b">
        <f t="shared" ref="J100:L100" si="116">EQ(F100,B100)</f>
        <v>0</v>
      </c>
      <c r="K100" s="1" t="b">
        <f t="shared" si="116"/>
        <v>0</v>
      </c>
      <c r="L100" s="1" t="b">
        <f t="shared" si="116"/>
        <v>0</v>
      </c>
      <c r="M100" s="1" t="b">
        <f t="shared" si="117"/>
        <v>1</v>
      </c>
      <c r="O100" s="1">
        <f t="shared" si="72"/>
        <v>2</v>
      </c>
    </row>
    <row r="101">
      <c r="A101" s="32">
        <v>139.0</v>
      </c>
      <c r="B101" s="2">
        <v>60.0</v>
      </c>
      <c r="C101" s="2">
        <v>39.0</v>
      </c>
      <c r="D101" s="2">
        <v>40.0</v>
      </c>
      <c r="E101" s="1">
        <f t="shared" si="74"/>
        <v>21</v>
      </c>
      <c r="F101" s="2">
        <v>57.0</v>
      </c>
      <c r="G101" s="2">
        <v>50.0</v>
      </c>
      <c r="H101" s="2">
        <v>32.0</v>
      </c>
      <c r="I101" s="1">
        <f t="shared" si="3"/>
        <v>139</v>
      </c>
      <c r="J101" s="1" t="b">
        <f t="shared" ref="J101:L101" si="118">EQ(F101,B101)</f>
        <v>0</v>
      </c>
      <c r="K101" s="1" t="b">
        <f t="shared" si="118"/>
        <v>0</v>
      </c>
      <c r="L101" s="1" t="b">
        <f t="shared" si="118"/>
        <v>0</v>
      </c>
      <c r="M101" s="1" t="b">
        <f t="shared" si="117"/>
        <v>0</v>
      </c>
      <c r="O101" s="1">
        <f t="shared" si="72"/>
        <v>14</v>
      </c>
    </row>
    <row r="102">
      <c r="A102" s="32">
        <v>140.0</v>
      </c>
      <c r="B102" s="2">
        <v>60.0</v>
      </c>
      <c r="C102" s="2">
        <v>48.0</v>
      </c>
      <c r="D102" s="2">
        <v>32.0</v>
      </c>
      <c r="E102" s="1">
        <f t="shared" si="74"/>
        <v>13</v>
      </c>
      <c r="F102" s="2">
        <v>60.0</v>
      </c>
      <c r="G102" s="2">
        <v>60.0</v>
      </c>
      <c r="H102" s="2">
        <v>20.0</v>
      </c>
      <c r="I102" s="1">
        <f t="shared" si="3"/>
        <v>140</v>
      </c>
      <c r="J102" s="1" t="b">
        <f t="shared" ref="J102:L102" si="119">EQ(F102,B102)</f>
        <v>1</v>
      </c>
      <c r="K102" s="1" t="b">
        <f t="shared" si="119"/>
        <v>0</v>
      </c>
      <c r="L102" s="1" t="b">
        <f t="shared" si="119"/>
        <v>0</v>
      </c>
      <c r="M102" s="1" t="b">
        <f t="shared" si="117"/>
        <v>1</v>
      </c>
      <c r="O102" s="1">
        <f t="shared" si="72"/>
        <v>3</v>
      </c>
    </row>
    <row r="103">
      <c r="A103" s="29">
        <v>141.0</v>
      </c>
      <c r="B103" s="2">
        <v>60.0</v>
      </c>
      <c r="C103" s="2">
        <v>45.0</v>
      </c>
      <c r="D103" s="2">
        <v>36.0</v>
      </c>
      <c r="E103" s="1">
        <f t="shared" si="74"/>
        <v>8</v>
      </c>
      <c r="F103" s="2">
        <v>60.0</v>
      </c>
      <c r="G103" s="2">
        <v>45.0</v>
      </c>
      <c r="H103" s="2">
        <v>36.0</v>
      </c>
      <c r="I103" s="1">
        <f t="shared" si="3"/>
        <v>141</v>
      </c>
      <c r="J103" s="1" t="b">
        <f t="shared" ref="J103:L103" si="120">EQ(F103,B103)</f>
        <v>1</v>
      </c>
      <c r="K103" s="1" t="b">
        <f t="shared" si="120"/>
        <v>1</v>
      </c>
      <c r="L103" s="1" t="b">
        <f t="shared" si="120"/>
        <v>1</v>
      </c>
      <c r="N103" s="2" t="s">
        <v>114</v>
      </c>
      <c r="O103" s="1">
        <f t="shared" si="72"/>
        <v>8</v>
      </c>
    </row>
    <row r="104">
      <c r="A104" s="32">
        <v>142.0</v>
      </c>
      <c r="B104" s="2">
        <v>60.0</v>
      </c>
      <c r="C104" s="2">
        <v>42.0</v>
      </c>
      <c r="D104" s="2">
        <v>40.0</v>
      </c>
      <c r="E104" s="1">
        <f t="shared" si="74"/>
        <v>21</v>
      </c>
      <c r="F104" s="2">
        <v>60.0</v>
      </c>
      <c r="G104" s="2">
        <v>50.0</v>
      </c>
      <c r="H104" s="2">
        <v>32.0</v>
      </c>
      <c r="I104" s="1">
        <f t="shared" si="3"/>
        <v>142</v>
      </c>
      <c r="J104" s="1" t="b">
        <f t="shared" ref="J104:L104" si="121">EQ(F104,B104)</f>
        <v>1</v>
      </c>
      <c r="K104" s="1" t="b">
        <f t="shared" si="121"/>
        <v>0</v>
      </c>
      <c r="L104" s="1" t="b">
        <f t="shared" si="121"/>
        <v>0</v>
      </c>
      <c r="M104" s="1" t="b">
        <f>EQ(F104,G104)</f>
        <v>0</v>
      </c>
      <c r="O104" s="1">
        <f t="shared" si="72"/>
        <v>14</v>
      </c>
    </row>
    <row r="105">
      <c r="A105" s="29">
        <v>143.0</v>
      </c>
      <c r="B105" s="2">
        <v>60.0</v>
      </c>
      <c r="C105" s="2">
        <v>51.0</v>
      </c>
      <c r="D105" s="2">
        <v>32.0</v>
      </c>
      <c r="E105" s="1">
        <f t="shared" si="74"/>
        <v>13</v>
      </c>
      <c r="F105" s="2">
        <v>60.0</v>
      </c>
      <c r="G105" s="2">
        <v>51.0</v>
      </c>
      <c r="H105" s="2">
        <v>32.0</v>
      </c>
      <c r="I105" s="1">
        <f t="shared" si="3"/>
        <v>143</v>
      </c>
      <c r="J105" s="1" t="b">
        <f t="shared" ref="J105:L105" si="122">EQ(F105,B105)</f>
        <v>1</v>
      </c>
      <c r="K105" s="1" t="b">
        <f t="shared" si="122"/>
        <v>1</v>
      </c>
      <c r="L105" s="1" t="b">
        <f t="shared" si="122"/>
        <v>1</v>
      </c>
      <c r="N105" s="2" t="s">
        <v>114</v>
      </c>
      <c r="O105" s="1">
        <f t="shared" si="72"/>
        <v>14</v>
      </c>
    </row>
    <row r="106">
      <c r="A106" s="29">
        <v>144.0</v>
      </c>
      <c r="B106" s="2">
        <v>60.0</v>
      </c>
      <c r="C106" s="2">
        <v>60.0</v>
      </c>
      <c r="D106" s="2">
        <v>24.0</v>
      </c>
      <c r="E106" s="1">
        <f t="shared" si="74"/>
        <v>4</v>
      </c>
      <c r="F106" s="2">
        <v>60.0</v>
      </c>
      <c r="G106" s="2">
        <v>60.0</v>
      </c>
      <c r="H106" s="2">
        <v>24.0</v>
      </c>
      <c r="I106" s="1">
        <f t="shared" si="3"/>
        <v>144</v>
      </c>
      <c r="J106" s="1" t="b">
        <f t="shared" ref="J106:L106" si="123">EQ(F106,B106)</f>
        <v>1</v>
      </c>
      <c r="K106" s="1" t="b">
        <f t="shared" si="123"/>
        <v>1</v>
      </c>
      <c r="L106" s="1" t="b">
        <f t="shared" si="123"/>
        <v>1</v>
      </c>
      <c r="N106" s="2" t="s">
        <v>114</v>
      </c>
      <c r="O106" s="1">
        <f t="shared" si="72"/>
        <v>2</v>
      </c>
    </row>
    <row r="107">
      <c r="A107" s="32">
        <v>145.0</v>
      </c>
      <c r="B107" s="2">
        <v>60.0</v>
      </c>
      <c r="C107" s="2">
        <v>45.0</v>
      </c>
      <c r="D107" s="2">
        <v>40.0</v>
      </c>
      <c r="E107" s="1">
        <f t="shared" si="74"/>
        <v>21</v>
      </c>
      <c r="F107" s="2">
        <v>60.0</v>
      </c>
      <c r="G107" s="2">
        <v>57.0</v>
      </c>
      <c r="H107" s="2">
        <v>28.0</v>
      </c>
      <c r="I107" s="1">
        <f t="shared" si="3"/>
        <v>145</v>
      </c>
      <c r="J107" s="1" t="b">
        <f t="shared" ref="J107:L107" si="124">EQ(F107,B107)</f>
        <v>1</v>
      </c>
      <c r="K107" s="1" t="b">
        <f t="shared" si="124"/>
        <v>0</v>
      </c>
      <c r="L107" s="1" t="b">
        <f t="shared" si="124"/>
        <v>0</v>
      </c>
      <c r="M107" s="1" t="b">
        <f t="shared" ref="M107:M108" si="126">EQ(F107,G107)</f>
        <v>0</v>
      </c>
      <c r="O107" s="1">
        <f t="shared" si="72"/>
        <v>3</v>
      </c>
    </row>
    <row r="108">
      <c r="A108" s="32">
        <v>146.0</v>
      </c>
      <c r="B108" s="2">
        <v>60.0</v>
      </c>
      <c r="C108" s="2">
        <v>45.0</v>
      </c>
      <c r="D108" s="2">
        <v>40.0</v>
      </c>
      <c r="E108" s="1">
        <f t="shared" si="74"/>
        <v>21</v>
      </c>
      <c r="F108" s="2">
        <v>57.0</v>
      </c>
      <c r="G108" s="2">
        <v>57.0</v>
      </c>
      <c r="H108" s="2">
        <v>32.0</v>
      </c>
      <c r="I108" s="1">
        <f t="shared" si="3"/>
        <v>146</v>
      </c>
      <c r="J108" s="1" t="b">
        <f t="shared" ref="J108:L108" si="125">EQ(F108,B108)</f>
        <v>0</v>
      </c>
      <c r="K108" s="1" t="b">
        <f t="shared" si="125"/>
        <v>0</v>
      </c>
      <c r="L108" s="1" t="b">
        <f t="shared" si="125"/>
        <v>0</v>
      </c>
      <c r="M108" s="1" t="b">
        <f t="shared" si="126"/>
        <v>1</v>
      </c>
      <c r="O108" s="1">
        <f t="shared" si="72"/>
        <v>14</v>
      </c>
    </row>
    <row r="109">
      <c r="A109" s="29">
        <v>147.0</v>
      </c>
      <c r="B109" s="2">
        <v>60.0</v>
      </c>
      <c r="C109" s="2">
        <v>51.0</v>
      </c>
      <c r="D109" s="2">
        <v>36.0</v>
      </c>
      <c r="E109" s="1">
        <f t="shared" si="74"/>
        <v>8</v>
      </c>
      <c r="F109" s="2">
        <v>60.0</v>
      </c>
      <c r="G109" s="2">
        <v>51.0</v>
      </c>
      <c r="H109" s="2">
        <v>36.0</v>
      </c>
      <c r="I109" s="1">
        <f t="shared" si="3"/>
        <v>147</v>
      </c>
      <c r="J109" s="1" t="b">
        <f t="shared" ref="J109:L109" si="127">EQ(F109,B109)</f>
        <v>1</v>
      </c>
      <c r="K109" s="1" t="b">
        <f t="shared" si="127"/>
        <v>1</v>
      </c>
      <c r="L109" s="1" t="b">
        <f t="shared" si="127"/>
        <v>1</v>
      </c>
      <c r="N109" s="2" t="s">
        <v>114</v>
      </c>
      <c r="O109" s="1">
        <f t="shared" si="72"/>
        <v>8</v>
      </c>
    </row>
    <row r="110">
      <c r="A110" s="29">
        <v>148.0</v>
      </c>
      <c r="B110" s="2">
        <v>60.0</v>
      </c>
      <c r="C110" s="2">
        <v>60.0</v>
      </c>
      <c r="D110" s="2">
        <v>28.0</v>
      </c>
      <c r="E110" s="1">
        <f t="shared" si="74"/>
        <v>1</v>
      </c>
      <c r="F110" s="2">
        <v>60.0</v>
      </c>
      <c r="G110" s="2">
        <v>60.0</v>
      </c>
      <c r="H110" s="2">
        <v>28.0</v>
      </c>
      <c r="I110" s="1">
        <f t="shared" si="3"/>
        <v>148</v>
      </c>
      <c r="J110" s="1" t="b">
        <f t="shared" ref="J110:L110" si="128">EQ(F110,B110)</f>
        <v>1</v>
      </c>
      <c r="K110" s="1" t="b">
        <f t="shared" si="128"/>
        <v>1</v>
      </c>
      <c r="L110" s="1" t="b">
        <f t="shared" si="128"/>
        <v>1</v>
      </c>
      <c r="N110" s="2" t="s">
        <v>114</v>
      </c>
      <c r="O110" s="1">
        <f t="shared" si="72"/>
        <v>3</v>
      </c>
    </row>
    <row r="111">
      <c r="A111" s="29">
        <v>149.0</v>
      </c>
      <c r="B111" s="2">
        <v>60.0</v>
      </c>
      <c r="C111" s="2">
        <v>57.0</v>
      </c>
      <c r="D111" s="2">
        <v>32.0</v>
      </c>
      <c r="E111" s="1">
        <f t="shared" si="74"/>
        <v>13</v>
      </c>
      <c r="F111" s="2">
        <v>60.0</v>
      </c>
      <c r="G111" s="2">
        <v>57.0</v>
      </c>
      <c r="H111" s="2">
        <v>32.0</v>
      </c>
      <c r="I111" s="1">
        <f t="shared" si="3"/>
        <v>149</v>
      </c>
      <c r="J111" s="1" t="b">
        <f t="shared" ref="J111:L111" si="129">EQ(F111,B111)</f>
        <v>1</v>
      </c>
      <c r="K111" s="1" t="b">
        <f t="shared" si="129"/>
        <v>1</v>
      </c>
      <c r="L111" s="1" t="b">
        <f t="shared" si="129"/>
        <v>1</v>
      </c>
      <c r="N111" s="2" t="s">
        <v>114</v>
      </c>
      <c r="O111" s="1">
        <f t="shared" si="72"/>
        <v>14</v>
      </c>
    </row>
    <row r="112">
      <c r="A112" s="32">
        <v>150.0</v>
      </c>
      <c r="B112" s="2">
        <v>60.0</v>
      </c>
      <c r="C112" s="2">
        <v>54.0</v>
      </c>
      <c r="D112" s="2">
        <v>36.0</v>
      </c>
      <c r="E112" s="1">
        <f t="shared" si="74"/>
        <v>8</v>
      </c>
      <c r="F112" s="2">
        <v>57.0</v>
      </c>
      <c r="G112" s="2">
        <v>57.0</v>
      </c>
      <c r="H112" s="2">
        <v>36.0</v>
      </c>
      <c r="I112" s="1">
        <f t="shared" si="3"/>
        <v>150</v>
      </c>
      <c r="J112" s="1" t="b">
        <f t="shared" ref="J112:L112" si="130">EQ(F112,B112)</f>
        <v>0</v>
      </c>
      <c r="K112" s="1" t="b">
        <f t="shared" si="130"/>
        <v>0</v>
      </c>
      <c r="L112" s="1" t="b">
        <f t="shared" si="130"/>
        <v>1</v>
      </c>
      <c r="M112" s="1" t="b">
        <f>EQ(F112,G112)</f>
        <v>1</v>
      </c>
      <c r="O112" s="1">
        <f t="shared" si="72"/>
        <v>8</v>
      </c>
    </row>
    <row r="113">
      <c r="A113" s="29">
        <v>151.0</v>
      </c>
      <c r="B113" s="2">
        <v>60.0</v>
      </c>
      <c r="C113" s="2">
        <v>51.0</v>
      </c>
      <c r="D113" s="2">
        <v>40.0</v>
      </c>
      <c r="E113" s="1">
        <f t="shared" si="74"/>
        <v>21</v>
      </c>
      <c r="F113" s="2">
        <v>60.0</v>
      </c>
      <c r="G113" s="2">
        <v>51.0</v>
      </c>
      <c r="H113" s="2">
        <v>40.0</v>
      </c>
      <c r="I113" s="1">
        <f t="shared" si="3"/>
        <v>151</v>
      </c>
      <c r="J113" s="1" t="b">
        <f t="shared" ref="J113:L113" si="131">EQ(F113,B113)</f>
        <v>1</v>
      </c>
      <c r="K113" s="1" t="b">
        <f t="shared" si="131"/>
        <v>1</v>
      </c>
      <c r="L113" s="1" t="b">
        <f t="shared" si="131"/>
        <v>1</v>
      </c>
      <c r="N113" s="2" t="s">
        <v>114</v>
      </c>
      <c r="O113" s="1">
        <f t="shared" si="72"/>
        <v>17</v>
      </c>
    </row>
    <row r="114">
      <c r="A114" s="29">
        <v>152.0</v>
      </c>
      <c r="B114" s="2">
        <v>60.0</v>
      </c>
      <c r="C114" s="2">
        <v>60.0</v>
      </c>
      <c r="D114" s="2">
        <v>32.0</v>
      </c>
      <c r="E114" s="1">
        <f t="shared" si="74"/>
        <v>13</v>
      </c>
      <c r="F114" s="2">
        <v>60.0</v>
      </c>
      <c r="G114" s="2">
        <v>60.0</v>
      </c>
      <c r="H114" s="2">
        <v>32.0</v>
      </c>
      <c r="I114" s="1">
        <f t="shared" si="3"/>
        <v>152</v>
      </c>
      <c r="J114" s="1" t="b">
        <f t="shared" ref="J114:L114" si="132">EQ(F114,B114)</f>
        <v>1</v>
      </c>
      <c r="K114" s="1" t="b">
        <f t="shared" si="132"/>
        <v>1</v>
      </c>
      <c r="L114" s="1" t="b">
        <f t="shared" si="132"/>
        <v>1</v>
      </c>
      <c r="N114" s="2" t="s">
        <v>114</v>
      </c>
      <c r="O114" s="1">
        <f t="shared" si="72"/>
        <v>14</v>
      </c>
    </row>
    <row r="115">
      <c r="A115" s="29">
        <v>153.0</v>
      </c>
      <c r="B115" s="2">
        <v>60.0</v>
      </c>
      <c r="C115" s="2">
        <v>57.0</v>
      </c>
      <c r="D115" s="2">
        <v>36.0</v>
      </c>
      <c r="E115" s="1">
        <f t="shared" si="74"/>
        <v>8</v>
      </c>
      <c r="F115" s="2">
        <v>60.0</v>
      </c>
      <c r="G115" s="2">
        <v>57.0</v>
      </c>
      <c r="H115" s="2">
        <v>36.0</v>
      </c>
      <c r="I115" s="1">
        <f t="shared" si="3"/>
        <v>153</v>
      </c>
      <c r="J115" s="1" t="b">
        <f t="shared" ref="J115:L115" si="133">EQ(F115,B115)</f>
        <v>1</v>
      </c>
      <c r="K115" s="1" t="b">
        <f t="shared" si="133"/>
        <v>1</v>
      </c>
      <c r="L115" s="1" t="b">
        <f t="shared" si="133"/>
        <v>1</v>
      </c>
      <c r="N115" s="2" t="s">
        <v>114</v>
      </c>
      <c r="O115" s="1">
        <f t="shared" si="72"/>
        <v>8</v>
      </c>
    </row>
    <row r="116">
      <c r="A116" s="32">
        <v>154.0</v>
      </c>
      <c r="B116" s="2">
        <v>60.0</v>
      </c>
      <c r="C116" s="2">
        <v>54.0</v>
      </c>
      <c r="D116" s="2">
        <v>40.0</v>
      </c>
      <c r="E116" s="1">
        <f t="shared" si="74"/>
        <v>21</v>
      </c>
      <c r="F116" s="2">
        <v>57.0</v>
      </c>
      <c r="G116" s="2">
        <v>57.0</v>
      </c>
      <c r="H116" s="2">
        <v>40.0</v>
      </c>
      <c r="I116" s="1">
        <f t="shared" si="3"/>
        <v>154</v>
      </c>
      <c r="J116" s="1" t="b">
        <f t="shared" ref="J116:L116" si="134">EQ(F116,B116)</f>
        <v>0</v>
      </c>
      <c r="K116" s="1" t="b">
        <f t="shared" si="134"/>
        <v>0</v>
      </c>
      <c r="L116" s="1" t="b">
        <f t="shared" si="134"/>
        <v>1</v>
      </c>
      <c r="M116" s="1" t="b">
        <f>EQ(F116,G116)</f>
        <v>1</v>
      </c>
      <c r="O116" s="1">
        <f t="shared" si="72"/>
        <v>17</v>
      </c>
    </row>
    <row r="117">
      <c r="A117" s="29">
        <v>155.0</v>
      </c>
      <c r="B117" s="2">
        <v>60.0</v>
      </c>
      <c r="C117" s="2">
        <v>57.0</v>
      </c>
      <c r="D117" s="2">
        <v>38.0</v>
      </c>
      <c r="E117" s="1">
        <f t="shared" si="74"/>
        <v>2</v>
      </c>
      <c r="F117" s="2">
        <v>60.0</v>
      </c>
      <c r="G117" s="2">
        <v>57.0</v>
      </c>
      <c r="H117" s="2">
        <v>38.0</v>
      </c>
      <c r="I117" s="1">
        <f t="shared" si="3"/>
        <v>155</v>
      </c>
      <c r="J117" s="1" t="b">
        <f t="shared" ref="J117:L117" si="135">EQ(F117,B117)</f>
        <v>1</v>
      </c>
      <c r="K117" s="1" t="b">
        <f t="shared" si="135"/>
        <v>1</v>
      </c>
      <c r="L117" s="1" t="b">
        <f t="shared" si="135"/>
        <v>1</v>
      </c>
      <c r="N117" s="2" t="s">
        <v>114</v>
      </c>
      <c r="O117" s="1">
        <f t="shared" si="72"/>
        <v>2</v>
      </c>
    </row>
    <row r="118">
      <c r="A118" s="29">
        <v>156.0</v>
      </c>
      <c r="B118" s="2">
        <v>60.0</v>
      </c>
      <c r="C118" s="2">
        <v>60.0</v>
      </c>
      <c r="D118" s="2">
        <v>36.0</v>
      </c>
      <c r="E118" s="1">
        <f t="shared" si="74"/>
        <v>8</v>
      </c>
      <c r="F118" s="2">
        <v>60.0</v>
      </c>
      <c r="G118" s="2">
        <v>60.0</v>
      </c>
      <c r="H118" s="2">
        <v>36.0</v>
      </c>
      <c r="I118" s="1">
        <f t="shared" si="3"/>
        <v>156</v>
      </c>
      <c r="J118" s="1" t="b">
        <f t="shared" ref="J118:L118" si="136">EQ(F118,B118)</f>
        <v>1</v>
      </c>
      <c r="K118" s="1" t="b">
        <f t="shared" si="136"/>
        <v>1</v>
      </c>
      <c r="L118" s="1" t="b">
        <f t="shared" si="136"/>
        <v>1</v>
      </c>
      <c r="N118" s="2" t="s">
        <v>114</v>
      </c>
      <c r="O118" s="1">
        <f t="shared" si="72"/>
        <v>8</v>
      </c>
    </row>
    <row r="119">
      <c r="A119" s="32">
        <v>157.0</v>
      </c>
      <c r="B119" s="2">
        <v>57.0</v>
      </c>
      <c r="C119" s="2">
        <v>60.0</v>
      </c>
      <c r="D119" s="2">
        <v>40.0</v>
      </c>
      <c r="E119" s="1">
        <f t="shared" si="74"/>
        <v>21</v>
      </c>
      <c r="F119" s="2">
        <v>60.0</v>
      </c>
      <c r="G119" s="2">
        <v>57.0</v>
      </c>
      <c r="H119" s="2">
        <v>40.0</v>
      </c>
      <c r="I119" s="1">
        <f t="shared" si="3"/>
        <v>157</v>
      </c>
      <c r="J119" s="1" t="b">
        <f t="shared" ref="J119:L119" si="137">EQ(F119,B119)</f>
        <v>0</v>
      </c>
      <c r="K119" s="1" t="b">
        <f t="shared" si="137"/>
        <v>0</v>
      </c>
      <c r="L119" s="1" t="b">
        <f t="shared" si="137"/>
        <v>1</v>
      </c>
      <c r="M119" s="1" t="b">
        <f>EQ(F119,G119)</f>
        <v>0</v>
      </c>
      <c r="O119" s="1">
        <f t="shared" si="72"/>
        <v>17</v>
      </c>
    </row>
    <row r="120">
      <c r="A120" s="29">
        <v>158.0</v>
      </c>
      <c r="B120" s="2">
        <v>60.0</v>
      </c>
      <c r="C120" s="2">
        <v>60.0</v>
      </c>
      <c r="D120" s="2">
        <v>38.0</v>
      </c>
      <c r="E120" s="1">
        <f t="shared" si="74"/>
        <v>2</v>
      </c>
      <c r="F120" s="2">
        <v>60.0</v>
      </c>
      <c r="G120" s="2">
        <v>60.0</v>
      </c>
      <c r="H120" s="2">
        <v>38.0</v>
      </c>
      <c r="I120" s="1">
        <f t="shared" si="3"/>
        <v>158</v>
      </c>
      <c r="J120" s="1" t="b">
        <f t="shared" ref="J120:L120" si="138">EQ(F120,B120)</f>
        <v>1</v>
      </c>
      <c r="K120" s="1" t="b">
        <f t="shared" si="138"/>
        <v>1</v>
      </c>
      <c r="L120" s="1" t="b">
        <f t="shared" si="138"/>
        <v>1</v>
      </c>
      <c r="N120" s="2" t="s">
        <v>114</v>
      </c>
      <c r="O120" s="1">
        <f t="shared" si="72"/>
        <v>2</v>
      </c>
    </row>
    <row r="121">
      <c r="A121" s="29">
        <v>160.0</v>
      </c>
      <c r="B121" s="2">
        <v>60.0</v>
      </c>
      <c r="C121" s="2">
        <v>60.0</v>
      </c>
      <c r="D121" s="2">
        <v>40.0</v>
      </c>
      <c r="E121" s="1">
        <f t="shared" si="74"/>
        <v>21</v>
      </c>
      <c r="F121" s="2">
        <v>60.0</v>
      </c>
      <c r="G121" s="2">
        <v>60.0</v>
      </c>
      <c r="H121" s="2">
        <v>40.0</v>
      </c>
      <c r="I121" s="1">
        <f t="shared" si="3"/>
        <v>160</v>
      </c>
      <c r="J121" s="1" t="b">
        <f t="shared" ref="J121:L121" si="139">EQ(F121,B121)</f>
        <v>1</v>
      </c>
      <c r="K121" s="1" t="b">
        <f t="shared" si="139"/>
        <v>1</v>
      </c>
      <c r="L121" s="1" t="b">
        <f t="shared" si="139"/>
        <v>1</v>
      </c>
      <c r="N121" s="2" t="s">
        <v>114</v>
      </c>
      <c r="O121" s="1">
        <f t="shared" si="72"/>
        <v>17</v>
      </c>
    </row>
    <row r="122">
      <c r="A122" s="29">
        <v>164.0</v>
      </c>
      <c r="B122" s="2">
        <v>57.0</v>
      </c>
      <c r="C122" s="2">
        <v>57.0</v>
      </c>
      <c r="D122" s="2">
        <v>50.0</v>
      </c>
      <c r="E122" s="1">
        <f t="shared" si="74"/>
        <v>6</v>
      </c>
      <c r="F122" s="2">
        <v>57.0</v>
      </c>
      <c r="G122" s="2">
        <v>57.0</v>
      </c>
      <c r="H122" s="2">
        <v>50.0</v>
      </c>
      <c r="I122" s="1">
        <f t="shared" si="3"/>
        <v>164</v>
      </c>
      <c r="J122" s="1" t="b">
        <f t="shared" ref="J122:L122" si="140">EQ(F122,B122)</f>
        <v>1</v>
      </c>
      <c r="K122" s="1" t="b">
        <f t="shared" si="140"/>
        <v>1</v>
      </c>
      <c r="L122" s="1" t="b">
        <f t="shared" si="140"/>
        <v>1</v>
      </c>
      <c r="N122" s="2" t="s">
        <v>114</v>
      </c>
      <c r="O122" s="1">
        <f t="shared" si="72"/>
        <v>4</v>
      </c>
    </row>
    <row r="123">
      <c r="A123" s="29">
        <v>167.0</v>
      </c>
      <c r="B123" s="2">
        <v>60.0</v>
      </c>
      <c r="C123" s="2">
        <v>57.0</v>
      </c>
      <c r="D123" s="2">
        <v>50.0</v>
      </c>
      <c r="E123" s="1">
        <f t="shared" si="74"/>
        <v>6</v>
      </c>
      <c r="F123" s="2">
        <v>60.0</v>
      </c>
      <c r="G123" s="2">
        <v>57.0</v>
      </c>
      <c r="H123" s="2">
        <v>50.0</v>
      </c>
      <c r="I123" s="1">
        <f t="shared" si="3"/>
        <v>167</v>
      </c>
      <c r="J123" s="1" t="b">
        <f t="shared" ref="J123:L123" si="141">EQ(F123,B123)</f>
        <v>1</v>
      </c>
      <c r="K123" s="1" t="b">
        <f t="shared" si="141"/>
        <v>1</v>
      </c>
      <c r="L123" s="1" t="b">
        <f t="shared" si="141"/>
        <v>1</v>
      </c>
      <c r="N123" s="2" t="s">
        <v>114</v>
      </c>
      <c r="O123" s="1">
        <f t="shared" si="72"/>
        <v>4</v>
      </c>
    </row>
    <row r="124">
      <c r="A124" s="29">
        <v>170.0</v>
      </c>
      <c r="B124" s="2">
        <v>60.0</v>
      </c>
      <c r="C124" s="2">
        <v>60.0</v>
      </c>
      <c r="D124" s="2">
        <v>50.0</v>
      </c>
      <c r="E124" s="1">
        <f t="shared" si="74"/>
        <v>6</v>
      </c>
      <c r="F124" s="2">
        <v>60.0</v>
      </c>
      <c r="G124" s="2">
        <v>60.0</v>
      </c>
      <c r="H124" s="2">
        <v>50.0</v>
      </c>
      <c r="I124" s="1">
        <f t="shared" si="3"/>
        <v>170</v>
      </c>
      <c r="J124" s="1" t="b">
        <f t="shared" ref="J124:L124" si="142">EQ(F124,B124)</f>
        <v>1</v>
      </c>
      <c r="K124" s="1" t="b">
        <f t="shared" si="142"/>
        <v>1</v>
      </c>
      <c r="L124" s="1" t="b">
        <f t="shared" si="142"/>
        <v>1</v>
      </c>
      <c r="N124" s="2" t="s">
        <v>114</v>
      </c>
      <c r="O124" s="1">
        <f t="shared" si="72"/>
        <v>4</v>
      </c>
    </row>
  </sheetData>
  <autoFilter ref="$A$1:$AB$993"/>
  <conditionalFormatting sqref="F3">
    <cfRule type="cellIs" dxfId="1" priority="1" operator="equal">
      <formula>"B3"</formula>
    </cfRule>
  </conditionalFormatting>
  <conditionalFormatting sqref="F3">
    <cfRule type="expression" dxfId="2" priority="2">
      <formula>"EQ(F3;B3)"</formula>
    </cfRule>
  </conditionalFormatting>
  <conditionalFormatting sqref="J3:L124">
    <cfRule type="expression" dxfId="2" priority="3">
      <formula>EQ(G3,C3)</formula>
    </cfRule>
  </conditionalFormatting>
  <conditionalFormatting sqref="I3:I124">
    <cfRule type="expression" dxfId="2" priority="4">
      <formula>EQ(I3,A3)</formula>
    </cfRule>
  </conditionalFormatting>
  <conditionalFormatting sqref="J3:L124">
    <cfRule type="cellIs" dxfId="3" priority="5" operator="equal">
      <formula>"FALSE"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8.57"/>
    <col customWidth="1" min="4" max="12" width="4.29"/>
  </cols>
  <sheetData>
    <row r="1">
      <c r="A1" s="2"/>
      <c r="B1" s="2" t="s">
        <v>116</v>
      </c>
      <c r="C1" s="2">
        <v>50.0</v>
      </c>
      <c r="D1" s="2">
        <v>40.0</v>
      </c>
      <c r="E1" s="2">
        <v>38.0</v>
      </c>
      <c r="F1" s="2">
        <v>36.0</v>
      </c>
      <c r="G1" s="2">
        <v>32.0</v>
      </c>
      <c r="H1" s="2"/>
      <c r="I1" s="2">
        <v>60.0</v>
      </c>
      <c r="J1" s="2">
        <v>57.0</v>
      </c>
      <c r="K1" s="2">
        <v>54.0</v>
      </c>
      <c r="L1" s="2">
        <v>51.0</v>
      </c>
    </row>
    <row r="2">
      <c r="A2" s="2"/>
      <c r="B2" s="2">
        <v>50.0</v>
      </c>
      <c r="C2" s="2">
        <f t="shared" ref="C2:C6" si="2">$C$1+B2</f>
        <v>100</v>
      </c>
      <c r="D2" s="2">
        <f t="shared" ref="D2:D6" si="3">$D$1+B2</f>
        <v>90</v>
      </c>
      <c r="E2" s="2">
        <f t="shared" ref="E2:E6" si="4">$E$1+$B2</f>
        <v>88</v>
      </c>
      <c r="F2" s="2">
        <f t="shared" ref="F2:F6" si="5">$F$1+$B2</f>
        <v>86</v>
      </c>
      <c r="G2" s="2">
        <f t="shared" ref="G2:G6" si="6">$G$1+$B2</f>
        <v>82</v>
      </c>
      <c r="I2" s="1">
        <f t="shared" ref="I2:L2" si="1">I$1 +C2</f>
        <v>160</v>
      </c>
      <c r="J2" s="1">
        <f t="shared" si="1"/>
        <v>147</v>
      </c>
      <c r="K2" s="1">
        <f t="shared" si="1"/>
        <v>142</v>
      </c>
      <c r="L2" s="1">
        <f t="shared" si="1"/>
        <v>137</v>
      </c>
    </row>
    <row r="3">
      <c r="A3" s="2"/>
      <c r="B3" s="2">
        <v>40.0</v>
      </c>
      <c r="C3" s="2">
        <f t="shared" si="2"/>
        <v>90</v>
      </c>
      <c r="D3" s="2">
        <f t="shared" si="3"/>
        <v>80</v>
      </c>
      <c r="E3" s="2">
        <f t="shared" si="4"/>
        <v>78</v>
      </c>
      <c r="F3" s="2">
        <f t="shared" si="5"/>
        <v>76</v>
      </c>
      <c r="G3" s="2">
        <f t="shared" si="6"/>
        <v>72</v>
      </c>
      <c r="I3" s="1">
        <f t="shared" ref="I3:L3" si="7">I$1 +C3</f>
        <v>150</v>
      </c>
      <c r="J3" s="1">
        <f t="shared" si="7"/>
        <v>137</v>
      </c>
      <c r="K3" s="1">
        <f t="shared" si="7"/>
        <v>132</v>
      </c>
      <c r="L3" s="1">
        <f t="shared" si="7"/>
        <v>127</v>
      </c>
    </row>
    <row r="4">
      <c r="A4" s="2"/>
      <c r="B4" s="2">
        <v>38.0</v>
      </c>
      <c r="C4" s="2">
        <f t="shared" si="2"/>
        <v>88</v>
      </c>
      <c r="D4" s="2">
        <f t="shared" si="3"/>
        <v>78</v>
      </c>
      <c r="E4" s="2">
        <f t="shared" si="4"/>
        <v>76</v>
      </c>
      <c r="F4" s="2">
        <f t="shared" si="5"/>
        <v>74</v>
      </c>
      <c r="G4" s="2">
        <f t="shared" si="6"/>
        <v>70</v>
      </c>
      <c r="I4" s="1">
        <f t="shared" ref="I4:L4" si="8">I$1 +C4</f>
        <v>148</v>
      </c>
      <c r="J4" s="1">
        <f t="shared" si="8"/>
        <v>135</v>
      </c>
      <c r="K4" s="1">
        <f t="shared" si="8"/>
        <v>130</v>
      </c>
      <c r="L4" s="1">
        <f t="shared" si="8"/>
        <v>125</v>
      </c>
    </row>
    <row r="5">
      <c r="A5" s="2"/>
      <c r="B5" s="2">
        <v>36.0</v>
      </c>
      <c r="C5" s="2">
        <f t="shared" si="2"/>
        <v>86</v>
      </c>
      <c r="D5" s="2">
        <f t="shared" si="3"/>
        <v>76</v>
      </c>
      <c r="E5" s="2">
        <f t="shared" si="4"/>
        <v>74</v>
      </c>
      <c r="F5" s="2">
        <f t="shared" si="5"/>
        <v>72</v>
      </c>
      <c r="G5" s="2">
        <f t="shared" si="6"/>
        <v>68</v>
      </c>
      <c r="I5" s="1">
        <f t="shared" ref="I5:L5" si="9">I$1 +C5</f>
        <v>146</v>
      </c>
      <c r="J5" s="1">
        <f t="shared" si="9"/>
        <v>133</v>
      </c>
      <c r="K5" s="1">
        <f t="shared" si="9"/>
        <v>128</v>
      </c>
      <c r="L5" s="1">
        <f t="shared" si="9"/>
        <v>123</v>
      </c>
    </row>
    <row r="6">
      <c r="A6" s="2"/>
      <c r="B6" s="2">
        <v>32.0</v>
      </c>
      <c r="C6" s="2">
        <f t="shared" si="2"/>
        <v>82</v>
      </c>
      <c r="D6" s="2">
        <f t="shared" si="3"/>
        <v>72</v>
      </c>
      <c r="E6" s="2">
        <f t="shared" si="4"/>
        <v>70</v>
      </c>
      <c r="F6" s="2">
        <f t="shared" si="5"/>
        <v>68</v>
      </c>
      <c r="G6" s="2">
        <f t="shared" si="6"/>
        <v>64</v>
      </c>
    </row>
    <row r="9">
      <c r="A9" s="2"/>
      <c r="B9" s="2"/>
      <c r="C9" s="2">
        <v>50.0</v>
      </c>
      <c r="D9" s="2">
        <v>51.0</v>
      </c>
      <c r="E9" s="2">
        <v>54.0</v>
      </c>
      <c r="F9" s="2">
        <v>57.0</v>
      </c>
      <c r="G9" s="2">
        <v>60.0</v>
      </c>
    </row>
    <row r="10">
      <c r="A10" s="2" t="s">
        <v>117</v>
      </c>
      <c r="B10" s="2">
        <v>100.0</v>
      </c>
      <c r="C10" s="1">
        <f t="shared" ref="C10:C22" si="10">$C$9+B10</f>
        <v>150</v>
      </c>
      <c r="D10" s="1">
        <f>$D$9+$B10</f>
        <v>151</v>
      </c>
      <c r="E10" s="1">
        <f t="shared" ref="E10:E22" si="11">$E$9+$B10</f>
        <v>154</v>
      </c>
      <c r="F10" s="1">
        <f t="shared" ref="F10:F22" si="12">$F$9+$B10</f>
        <v>157</v>
      </c>
      <c r="G10" s="1">
        <f t="shared" ref="G10:G22" si="13">$G$9+$B10</f>
        <v>160</v>
      </c>
    </row>
    <row r="11">
      <c r="A11" s="2" t="s">
        <v>118</v>
      </c>
      <c r="B11" s="2">
        <v>90.0</v>
      </c>
      <c r="C11" s="1">
        <f t="shared" si="10"/>
        <v>140</v>
      </c>
      <c r="D11" s="1">
        <f t="shared" ref="D11:D22" si="14">$D$9+B11</f>
        <v>141</v>
      </c>
      <c r="E11" s="1">
        <f t="shared" si="11"/>
        <v>144</v>
      </c>
      <c r="F11" s="1">
        <f t="shared" si="12"/>
        <v>147</v>
      </c>
      <c r="G11" s="1">
        <f t="shared" si="13"/>
        <v>150</v>
      </c>
    </row>
    <row r="12">
      <c r="A12" s="2" t="s">
        <v>119</v>
      </c>
      <c r="B12" s="2">
        <v>88.0</v>
      </c>
      <c r="C12" s="1">
        <f t="shared" si="10"/>
        <v>138</v>
      </c>
      <c r="D12" s="1">
        <f t="shared" si="14"/>
        <v>139</v>
      </c>
      <c r="E12" s="1">
        <f t="shared" si="11"/>
        <v>142</v>
      </c>
      <c r="F12" s="1">
        <f t="shared" si="12"/>
        <v>145</v>
      </c>
      <c r="G12" s="1">
        <f t="shared" si="13"/>
        <v>148</v>
      </c>
    </row>
    <row r="13">
      <c r="A13" s="2" t="s">
        <v>120</v>
      </c>
      <c r="B13" s="2">
        <v>86.0</v>
      </c>
      <c r="C13" s="1">
        <f t="shared" si="10"/>
        <v>136</v>
      </c>
      <c r="D13" s="1">
        <f t="shared" si="14"/>
        <v>137</v>
      </c>
      <c r="E13" s="1">
        <f t="shared" si="11"/>
        <v>140</v>
      </c>
      <c r="F13" s="1">
        <f t="shared" si="12"/>
        <v>143</v>
      </c>
      <c r="G13" s="1">
        <f t="shared" si="13"/>
        <v>146</v>
      </c>
    </row>
    <row r="14">
      <c r="A14" s="2" t="s">
        <v>121</v>
      </c>
      <c r="B14" s="2">
        <v>80.0</v>
      </c>
      <c r="C14" s="1">
        <f t="shared" si="10"/>
        <v>130</v>
      </c>
      <c r="D14" s="1">
        <f t="shared" si="14"/>
        <v>131</v>
      </c>
      <c r="E14" s="1">
        <f t="shared" si="11"/>
        <v>134</v>
      </c>
      <c r="F14" s="1">
        <f t="shared" si="12"/>
        <v>137</v>
      </c>
      <c r="G14" s="1">
        <f t="shared" si="13"/>
        <v>140</v>
      </c>
    </row>
    <row r="15">
      <c r="A15" s="2" t="s">
        <v>122</v>
      </c>
      <c r="B15" s="2">
        <v>78.0</v>
      </c>
      <c r="C15" s="1">
        <f t="shared" si="10"/>
        <v>128</v>
      </c>
      <c r="D15" s="1">
        <f t="shared" si="14"/>
        <v>129</v>
      </c>
      <c r="E15" s="1">
        <f t="shared" si="11"/>
        <v>132</v>
      </c>
      <c r="F15" s="1">
        <f t="shared" si="12"/>
        <v>135</v>
      </c>
      <c r="G15" s="1">
        <f t="shared" si="13"/>
        <v>138</v>
      </c>
    </row>
    <row r="16">
      <c r="A16" s="2" t="s">
        <v>123</v>
      </c>
      <c r="B16" s="2">
        <v>76.0</v>
      </c>
      <c r="C16" s="1">
        <f t="shared" si="10"/>
        <v>126</v>
      </c>
      <c r="D16" s="1">
        <f t="shared" si="14"/>
        <v>127</v>
      </c>
      <c r="E16" s="1">
        <f t="shared" si="11"/>
        <v>130</v>
      </c>
      <c r="F16" s="1">
        <f t="shared" si="12"/>
        <v>133</v>
      </c>
      <c r="G16" s="1">
        <f t="shared" si="13"/>
        <v>136</v>
      </c>
    </row>
    <row r="17">
      <c r="A17" s="2" t="s">
        <v>124</v>
      </c>
      <c r="B17" s="2">
        <v>74.0</v>
      </c>
      <c r="C17" s="1">
        <f t="shared" si="10"/>
        <v>124</v>
      </c>
      <c r="D17" s="1">
        <f t="shared" si="14"/>
        <v>125</v>
      </c>
      <c r="E17" s="1">
        <f t="shared" si="11"/>
        <v>128</v>
      </c>
      <c r="F17" s="1">
        <f t="shared" si="12"/>
        <v>131</v>
      </c>
      <c r="G17" s="1">
        <f t="shared" si="13"/>
        <v>134</v>
      </c>
    </row>
    <row r="18">
      <c r="A18" s="2" t="s">
        <v>125</v>
      </c>
      <c r="B18" s="2">
        <v>72.0</v>
      </c>
      <c r="C18" s="1">
        <f t="shared" si="10"/>
        <v>122</v>
      </c>
      <c r="D18" s="1">
        <f t="shared" si="14"/>
        <v>123</v>
      </c>
      <c r="E18" s="1">
        <f t="shared" si="11"/>
        <v>126</v>
      </c>
      <c r="F18" s="1">
        <f t="shared" si="12"/>
        <v>129</v>
      </c>
      <c r="G18" s="1">
        <f t="shared" si="13"/>
        <v>132</v>
      </c>
    </row>
    <row r="19">
      <c r="A19" s="2" t="s">
        <v>126</v>
      </c>
      <c r="B19" s="2">
        <v>82.0</v>
      </c>
      <c r="C19" s="1">
        <f t="shared" si="10"/>
        <v>132</v>
      </c>
      <c r="D19" s="1">
        <f t="shared" si="14"/>
        <v>133</v>
      </c>
      <c r="E19" s="1">
        <f t="shared" si="11"/>
        <v>136</v>
      </c>
      <c r="F19" s="1">
        <f t="shared" si="12"/>
        <v>139</v>
      </c>
      <c r="G19" s="1">
        <f t="shared" si="13"/>
        <v>142</v>
      </c>
    </row>
    <row r="20">
      <c r="A20" s="2" t="s">
        <v>127</v>
      </c>
      <c r="B20" s="2">
        <v>70.0</v>
      </c>
      <c r="C20" s="1">
        <f t="shared" si="10"/>
        <v>120</v>
      </c>
      <c r="D20" s="1">
        <f t="shared" si="14"/>
        <v>121</v>
      </c>
      <c r="E20" s="1">
        <f t="shared" si="11"/>
        <v>124</v>
      </c>
      <c r="F20" s="1">
        <f t="shared" si="12"/>
        <v>127</v>
      </c>
      <c r="G20" s="1">
        <f t="shared" si="13"/>
        <v>130</v>
      </c>
    </row>
    <row r="21">
      <c r="A21" s="2" t="s">
        <v>128</v>
      </c>
      <c r="B21" s="2">
        <v>68.0</v>
      </c>
      <c r="C21" s="1">
        <f t="shared" si="10"/>
        <v>118</v>
      </c>
      <c r="D21" s="1">
        <f t="shared" si="14"/>
        <v>119</v>
      </c>
      <c r="E21" s="1">
        <f t="shared" si="11"/>
        <v>122</v>
      </c>
      <c r="F21" s="1">
        <f t="shared" si="12"/>
        <v>125</v>
      </c>
      <c r="G21" s="1">
        <f t="shared" si="13"/>
        <v>128</v>
      </c>
    </row>
    <row r="22">
      <c r="A22" s="2" t="s">
        <v>129</v>
      </c>
      <c r="B22" s="2">
        <v>64.0</v>
      </c>
      <c r="C22" s="1">
        <f t="shared" si="10"/>
        <v>114</v>
      </c>
      <c r="D22" s="1">
        <f t="shared" si="14"/>
        <v>115</v>
      </c>
      <c r="E22" s="1">
        <f t="shared" si="11"/>
        <v>118</v>
      </c>
      <c r="F22" s="1">
        <f t="shared" si="12"/>
        <v>121</v>
      </c>
      <c r="G22" s="1">
        <f t="shared" si="13"/>
        <v>124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2.0</v>
      </c>
    </row>
    <row r="2">
      <c r="A2" s="2">
        <v>3.0</v>
      </c>
    </row>
    <row r="3">
      <c r="A3" s="2">
        <v>4.0</v>
      </c>
    </row>
    <row r="4">
      <c r="A4" s="2">
        <v>5.0</v>
      </c>
    </row>
    <row r="5">
      <c r="A5" s="2">
        <v>6.0</v>
      </c>
    </row>
    <row r="6">
      <c r="A6" s="2">
        <v>7.0</v>
      </c>
    </row>
    <row r="7">
      <c r="A7" s="2">
        <v>8.0</v>
      </c>
    </row>
    <row r="8">
      <c r="A8" s="2">
        <v>9.0</v>
      </c>
    </row>
    <row r="9">
      <c r="A9" s="2">
        <v>10.0</v>
      </c>
    </row>
    <row r="10">
      <c r="A10" s="2">
        <v>11.0</v>
      </c>
    </row>
    <row r="11">
      <c r="A11" s="2">
        <v>12.0</v>
      </c>
    </row>
    <row r="12">
      <c r="A12" s="2">
        <v>13.0</v>
      </c>
    </row>
    <row r="13">
      <c r="A13" s="2">
        <v>14.0</v>
      </c>
    </row>
    <row r="14">
      <c r="A14" s="2">
        <v>15.0</v>
      </c>
    </row>
    <row r="15">
      <c r="A15" s="2">
        <v>16.0</v>
      </c>
    </row>
    <row r="16">
      <c r="A16" s="2">
        <v>17.0</v>
      </c>
    </row>
    <row r="17">
      <c r="A17" s="2">
        <v>18.0</v>
      </c>
    </row>
    <row r="18">
      <c r="A18" s="2">
        <v>19.0</v>
      </c>
    </row>
    <row r="19">
      <c r="A19" s="2">
        <v>20.0</v>
      </c>
    </row>
    <row r="20">
      <c r="A20" s="2">
        <v>21.0</v>
      </c>
    </row>
    <row r="21">
      <c r="A21" s="2">
        <v>22.0</v>
      </c>
    </row>
    <row r="22">
      <c r="A22" s="2">
        <v>23.0</v>
      </c>
    </row>
    <row r="23">
      <c r="A23" s="2">
        <v>24.0</v>
      </c>
    </row>
    <row r="24">
      <c r="A24" s="2">
        <v>25.0</v>
      </c>
    </row>
    <row r="25">
      <c r="A25" s="2">
        <v>26.0</v>
      </c>
    </row>
    <row r="26">
      <c r="A26" s="2">
        <v>27.0</v>
      </c>
    </row>
    <row r="27">
      <c r="A27" s="2">
        <v>28.0</v>
      </c>
    </row>
    <row r="28">
      <c r="A28" s="2">
        <v>29.0</v>
      </c>
    </row>
    <row r="29">
      <c r="A29" s="2">
        <v>30.0</v>
      </c>
    </row>
    <row r="30">
      <c r="A30" s="2">
        <v>31.0</v>
      </c>
    </row>
    <row r="31">
      <c r="A31" s="2">
        <v>32.0</v>
      </c>
    </row>
    <row r="32">
      <c r="A32" s="2">
        <v>33.0</v>
      </c>
    </row>
    <row r="33">
      <c r="A33" s="2">
        <v>34.0</v>
      </c>
    </row>
    <row r="34">
      <c r="A34" s="2">
        <v>35.0</v>
      </c>
    </row>
    <row r="35">
      <c r="A35" s="2">
        <v>36.0</v>
      </c>
    </row>
    <row r="36">
      <c r="A36" s="2">
        <v>37.0</v>
      </c>
    </row>
    <row r="37">
      <c r="A37" s="2">
        <v>38.0</v>
      </c>
    </row>
    <row r="38">
      <c r="A38" s="2">
        <v>39.0</v>
      </c>
    </row>
    <row r="39">
      <c r="A39" s="2">
        <v>40.0</v>
      </c>
    </row>
    <row r="41">
      <c r="A41" s="2" t="s">
        <v>130</v>
      </c>
      <c r="D41" s="2">
        <v>39.0</v>
      </c>
    </row>
    <row r="42">
      <c r="D42" s="2">
        <v>122.0</v>
      </c>
    </row>
    <row r="43">
      <c r="D43" s="2">
        <v>161.0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>
        <v>3.0</v>
      </c>
    </row>
    <row r="2">
      <c r="A2" s="6">
        <v>5.0</v>
      </c>
    </row>
    <row r="3">
      <c r="A3" s="6">
        <v>7.0</v>
      </c>
    </row>
    <row r="4">
      <c r="A4" s="6">
        <v>9.0</v>
      </c>
    </row>
    <row r="5">
      <c r="A5" s="6">
        <v>11.0</v>
      </c>
    </row>
    <row r="6">
      <c r="A6" s="6">
        <v>13.0</v>
      </c>
    </row>
    <row r="7">
      <c r="A7" s="6">
        <v>15.0</v>
      </c>
    </row>
    <row r="8">
      <c r="A8" s="6">
        <v>17.0</v>
      </c>
    </row>
    <row r="9">
      <c r="A9" s="6">
        <v>19.0</v>
      </c>
    </row>
    <row r="10">
      <c r="A10" s="6">
        <v>21.0</v>
      </c>
    </row>
    <row r="11">
      <c r="A11" s="6">
        <v>23.0</v>
      </c>
    </row>
    <row r="12">
      <c r="A12" s="6">
        <v>25.0</v>
      </c>
    </row>
    <row r="13">
      <c r="A13" s="6">
        <v>27.0</v>
      </c>
    </row>
    <row r="14">
      <c r="A14" s="6">
        <v>29.0</v>
      </c>
    </row>
    <row r="15">
      <c r="A15" s="6">
        <v>31.0</v>
      </c>
    </row>
    <row r="16">
      <c r="A16" s="6">
        <v>33.0</v>
      </c>
    </row>
    <row r="17">
      <c r="A17" s="6">
        <v>35.0</v>
      </c>
    </row>
    <row r="18">
      <c r="A18" s="6">
        <v>37.0</v>
      </c>
    </row>
    <row r="19">
      <c r="A19" s="6">
        <v>39.0</v>
      </c>
    </row>
    <row r="20">
      <c r="A20" s="6">
        <v>41.0</v>
      </c>
    </row>
    <row r="21">
      <c r="A21" s="6">
        <v>43.0</v>
      </c>
    </row>
    <row r="22">
      <c r="A22" s="6">
        <v>45.0</v>
      </c>
    </row>
    <row r="23">
      <c r="A23" s="6">
        <v>47.0</v>
      </c>
    </row>
    <row r="24">
      <c r="A24" s="6">
        <v>49.0</v>
      </c>
    </row>
    <row r="25">
      <c r="A25" s="6">
        <v>51.0</v>
      </c>
    </row>
    <row r="26">
      <c r="A26" s="6">
        <v>52.0</v>
      </c>
    </row>
    <row r="27">
      <c r="A27" s="6">
        <v>53.0</v>
      </c>
    </row>
    <row r="28">
      <c r="A28" s="6">
        <v>54.0</v>
      </c>
    </row>
    <row r="29">
      <c r="A29" s="6">
        <v>55.0</v>
      </c>
    </row>
    <row r="30">
      <c r="A30" s="6">
        <v>56.0</v>
      </c>
    </row>
    <row r="31">
      <c r="A31" s="6">
        <v>57.0</v>
      </c>
    </row>
    <row r="32">
      <c r="A32" s="6">
        <v>58.0</v>
      </c>
    </row>
    <row r="33">
      <c r="A33" s="6">
        <v>59.0</v>
      </c>
    </row>
    <row r="34">
      <c r="A34" s="6">
        <v>60.0</v>
      </c>
    </row>
    <row r="35">
      <c r="A35" s="6">
        <v>61.0</v>
      </c>
    </row>
    <row r="36">
      <c r="A36" s="6">
        <v>62.0</v>
      </c>
    </row>
    <row r="37">
      <c r="A37" s="6">
        <v>63.0</v>
      </c>
    </row>
    <row r="38">
      <c r="A38" s="6">
        <v>64.0</v>
      </c>
    </row>
    <row r="39">
      <c r="A39" s="6">
        <v>65.0</v>
      </c>
    </row>
    <row r="40">
      <c r="A40" s="6">
        <v>66.0</v>
      </c>
    </row>
    <row r="41">
      <c r="A41" s="6">
        <v>67.0</v>
      </c>
    </row>
    <row r="42">
      <c r="A42" s="6">
        <v>68.0</v>
      </c>
    </row>
    <row r="43">
      <c r="A43" s="6">
        <v>69.0</v>
      </c>
    </row>
    <row r="44">
      <c r="A44" s="6">
        <v>70.0</v>
      </c>
    </row>
    <row r="45">
      <c r="A45" s="6">
        <v>71.0</v>
      </c>
    </row>
    <row r="46">
      <c r="A46" s="6">
        <v>72.0</v>
      </c>
    </row>
    <row r="47">
      <c r="A47" s="6">
        <v>73.0</v>
      </c>
    </row>
    <row r="48">
      <c r="A48" s="6">
        <v>74.0</v>
      </c>
    </row>
    <row r="49">
      <c r="A49" s="6">
        <v>75.0</v>
      </c>
    </row>
    <row r="50">
      <c r="A50" s="6">
        <v>76.0</v>
      </c>
    </row>
    <row r="51">
      <c r="A51" s="6">
        <v>77.0</v>
      </c>
    </row>
    <row r="52">
      <c r="A52" s="6">
        <v>78.0</v>
      </c>
    </row>
    <row r="53">
      <c r="A53" s="6">
        <v>79.0</v>
      </c>
    </row>
    <row r="54">
      <c r="A54" s="6">
        <v>80.0</v>
      </c>
    </row>
    <row r="55">
      <c r="A55" s="6">
        <v>81.0</v>
      </c>
    </row>
    <row r="56">
      <c r="A56" s="6">
        <v>82.0</v>
      </c>
    </row>
    <row r="57">
      <c r="A57" s="6">
        <v>83.0</v>
      </c>
    </row>
    <row r="58">
      <c r="A58" s="6">
        <v>84.0</v>
      </c>
    </row>
    <row r="59">
      <c r="A59" s="6">
        <v>85.0</v>
      </c>
    </row>
    <row r="60">
      <c r="A60" s="6">
        <v>86.0</v>
      </c>
    </row>
    <row r="61">
      <c r="A61" s="6">
        <v>87.0</v>
      </c>
    </row>
    <row r="62">
      <c r="A62" s="6">
        <v>88.0</v>
      </c>
    </row>
    <row r="63">
      <c r="A63" s="6">
        <v>89.0</v>
      </c>
    </row>
    <row r="64">
      <c r="A64" s="6">
        <v>90.0</v>
      </c>
    </row>
    <row r="65">
      <c r="A65" s="6">
        <v>91.0</v>
      </c>
    </row>
    <row r="66">
      <c r="A66" s="6">
        <v>92.0</v>
      </c>
    </row>
    <row r="67">
      <c r="A67" s="6">
        <v>93.0</v>
      </c>
    </row>
    <row r="68">
      <c r="A68" s="6">
        <v>94.0</v>
      </c>
    </row>
    <row r="69">
      <c r="A69" s="6">
        <v>95.0</v>
      </c>
    </row>
    <row r="70">
      <c r="A70" s="6">
        <v>96.0</v>
      </c>
    </row>
    <row r="71">
      <c r="A71" s="6">
        <v>97.0</v>
      </c>
    </row>
    <row r="72">
      <c r="A72" s="6">
        <v>98.0</v>
      </c>
    </row>
    <row r="73">
      <c r="A73" s="6">
        <v>99.0</v>
      </c>
    </row>
    <row r="74">
      <c r="A74" s="6">
        <v>100.0</v>
      </c>
    </row>
    <row r="75">
      <c r="A75" s="6">
        <v>101.0</v>
      </c>
    </row>
    <row r="76">
      <c r="A76" s="6">
        <v>102.0</v>
      </c>
    </row>
    <row r="77">
      <c r="A77" s="6">
        <v>103.0</v>
      </c>
    </row>
    <row r="78">
      <c r="A78" s="6">
        <v>104.0</v>
      </c>
    </row>
    <row r="79">
      <c r="A79" s="6">
        <v>105.0</v>
      </c>
    </row>
    <row r="80">
      <c r="A80" s="6">
        <v>106.0</v>
      </c>
    </row>
    <row r="81">
      <c r="A81" s="6">
        <v>107.0</v>
      </c>
    </row>
    <row r="82">
      <c r="A82" s="6">
        <v>108.0</v>
      </c>
    </row>
    <row r="83">
      <c r="A83" s="6">
        <v>109.0</v>
      </c>
    </row>
    <row r="84">
      <c r="A84" s="6">
        <v>110.0</v>
      </c>
    </row>
    <row r="85">
      <c r="A85" s="6">
        <v>111.0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5" width="4.43"/>
  </cols>
  <sheetData>
    <row r="1">
      <c r="B1" s="2" t="s">
        <v>131</v>
      </c>
      <c r="C1" s="2" t="s">
        <v>132</v>
      </c>
      <c r="D1" s="2" t="s">
        <v>133</v>
      </c>
      <c r="E1" s="2" t="s">
        <v>134</v>
      </c>
    </row>
    <row r="2">
      <c r="A2" s="2">
        <v>1.0</v>
      </c>
      <c r="B2" s="1">
        <f t="shared" ref="B2:B22" si="1">A2*4</f>
        <v>4</v>
      </c>
      <c r="C2" s="1">
        <f t="shared" ref="C2:C22" si="2">B2+32</f>
        <v>36</v>
      </c>
      <c r="D2" s="1">
        <f t="shared" ref="D2:D22" si="3">B2+36</f>
        <v>40</v>
      </c>
      <c r="E2" s="2">
        <f t="shared" ref="E2:E22" si="4">B2+40</f>
        <v>44</v>
      </c>
    </row>
    <row r="3">
      <c r="A3" s="2">
        <v>2.0</v>
      </c>
      <c r="B3" s="1">
        <f t="shared" si="1"/>
        <v>8</v>
      </c>
      <c r="C3" s="1">
        <f t="shared" si="2"/>
        <v>40</v>
      </c>
      <c r="D3" s="1">
        <f t="shared" si="3"/>
        <v>44</v>
      </c>
      <c r="E3" s="2">
        <f t="shared" si="4"/>
        <v>48</v>
      </c>
    </row>
    <row r="4">
      <c r="A4" s="2">
        <v>3.0</v>
      </c>
      <c r="B4" s="1">
        <f t="shared" si="1"/>
        <v>12</v>
      </c>
      <c r="C4" s="1">
        <f t="shared" si="2"/>
        <v>44</v>
      </c>
      <c r="D4" s="1">
        <f t="shared" si="3"/>
        <v>48</v>
      </c>
      <c r="E4" s="2">
        <f t="shared" si="4"/>
        <v>52</v>
      </c>
    </row>
    <row r="5">
      <c r="A5" s="2">
        <v>4.0</v>
      </c>
      <c r="B5" s="1">
        <f t="shared" si="1"/>
        <v>16</v>
      </c>
      <c r="C5" s="1">
        <f t="shared" si="2"/>
        <v>48</v>
      </c>
      <c r="D5" s="1">
        <f t="shared" si="3"/>
        <v>52</v>
      </c>
      <c r="E5" s="2">
        <f t="shared" si="4"/>
        <v>56</v>
      </c>
    </row>
    <row r="6">
      <c r="A6" s="2">
        <v>5.0</v>
      </c>
      <c r="B6" s="1">
        <f t="shared" si="1"/>
        <v>20</v>
      </c>
      <c r="C6" s="1">
        <f t="shared" si="2"/>
        <v>52</v>
      </c>
      <c r="D6" s="1">
        <f t="shared" si="3"/>
        <v>56</v>
      </c>
      <c r="E6" s="2">
        <f t="shared" si="4"/>
        <v>60</v>
      </c>
    </row>
    <row r="7">
      <c r="A7" s="2">
        <v>6.0</v>
      </c>
      <c r="B7" s="1">
        <f t="shared" si="1"/>
        <v>24</v>
      </c>
      <c r="C7" s="1">
        <f t="shared" si="2"/>
        <v>56</v>
      </c>
      <c r="D7" s="1">
        <f t="shared" si="3"/>
        <v>60</v>
      </c>
      <c r="E7" s="2">
        <f t="shared" si="4"/>
        <v>64</v>
      </c>
    </row>
    <row r="8">
      <c r="A8" s="2">
        <v>7.0</v>
      </c>
      <c r="B8" s="1">
        <f t="shared" si="1"/>
        <v>28</v>
      </c>
      <c r="C8" s="1">
        <f t="shared" si="2"/>
        <v>60</v>
      </c>
      <c r="D8" s="1">
        <f t="shared" si="3"/>
        <v>64</v>
      </c>
      <c r="E8" s="2">
        <f t="shared" si="4"/>
        <v>68</v>
      </c>
    </row>
    <row r="9">
      <c r="A9" s="2">
        <v>8.0</v>
      </c>
      <c r="B9" s="1">
        <f t="shared" si="1"/>
        <v>32</v>
      </c>
      <c r="C9" s="1">
        <f t="shared" si="2"/>
        <v>64</v>
      </c>
      <c r="D9" s="1">
        <f t="shared" si="3"/>
        <v>68</v>
      </c>
      <c r="E9" s="2">
        <f t="shared" si="4"/>
        <v>72</v>
      </c>
    </row>
    <row r="10">
      <c r="A10" s="2">
        <v>9.0</v>
      </c>
      <c r="B10" s="1">
        <f t="shared" si="1"/>
        <v>36</v>
      </c>
      <c r="C10" s="1">
        <f t="shared" si="2"/>
        <v>68</v>
      </c>
      <c r="D10" s="1">
        <f t="shared" si="3"/>
        <v>72</v>
      </c>
      <c r="E10" s="2">
        <f t="shared" si="4"/>
        <v>76</v>
      </c>
    </row>
    <row r="11">
      <c r="A11" s="2">
        <v>10.0</v>
      </c>
      <c r="B11" s="1">
        <f t="shared" si="1"/>
        <v>40</v>
      </c>
      <c r="C11" s="1">
        <f t="shared" si="2"/>
        <v>72</v>
      </c>
      <c r="D11" s="1">
        <f t="shared" si="3"/>
        <v>76</v>
      </c>
      <c r="E11" s="2">
        <f t="shared" si="4"/>
        <v>80</v>
      </c>
    </row>
    <row r="12">
      <c r="A12" s="2">
        <v>11.0</v>
      </c>
      <c r="B12" s="1">
        <f t="shared" si="1"/>
        <v>44</v>
      </c>
      <c r="C12" s="1">
        <f t="shared" si="2"/>
        <v>76</v>
      </c>
      <c r="D12" s="1">
        <f t="shared" si="3"/>
        <v>80</v>
      </c>
      <c r="E12" s="2">
        <f t="shared" si="4"/>
        <v>84</v>
      </c>
    </row>
    <row r="13">
      <c r="A13" s="2">
        <v>12.0</v>
      </c>
      <c r="B13" s="1">
        <f t="shared" si="1"/>
        <v>48</v>
      </c>
      <c r="C13" s="1">
        <f t="shared" si="2"/>
        <v>80</v>
      </c>
      <c r="D13" s="1">
        <f t="shared" si="3"/>
        <v>84</v>
      </c>
      <c r="E13" s="2">
        <f t="shared" si="4"/>
        <v>88</v>
      </c>
    </row>
    <row r="14">
      <c r="A14" s="2">
        <v>13.0</v>
      </c>
      <c r="B14" s="1">
        <f t="shared" si="1"/>
        <v>52</v>
      </c>
      <c r="C14" s="1">
        <f t="shared" si="2"/>
        <v>84</v>
      </c>
      <c r="D14" s="1">
        <f t="shared" si="3"/>
        <v>88</v>
      </c>
      <c r="E14" s="2">
        <f t="shared" si="4"/>
        <v>92</v>
      </c>
    </row>
    <row r="15">
      <c r="A15" s="2">
        <v>14.0</v>
      </c>
      <c r="B15" s="1">
        <f t="shared" si="1"/>
        <v>56</v>
      </c>
      <c r="C15" s="1">
        <f t="shared" si="2"/>
        <v>88</v>
      </c>
      <c r="D15" s="1">
        <f t="shared" si="3"/>
        <v>92</v>
      </c>
      <c r="E15" s="2">
        <f t="shared" si="4"/>
        <v>96</v>
      </c>
    </row>
    <row r="16">
      <c r="A16" s="2">
        <v>15.0</v>
      </c>
      <c r="B16" s="1">
        <f t="shared" si="1"/>
        <v>60</v>
      </c>
      <c r="C16" s="1">
        <f t="shared" si="2"/>
        <v>92</v>
      </c>
      <c r="D16" s="1">
        <f t="shared" si="3"/>
        <v>96</v>
      </c>
      <c r="E16" s="2">
        <f t="shared" si="4"/>
        <v>100</v>
      </c>
    </row>
    <row r="17">
      <c r="A17" s="2">
        <v>16.0</v>
      </c>
      <c r="B17" s="1">
        <f t="shared" si="1"/>
        <v>64</v>
      </c>
      <c r="C17" s="1">
        <f t="shared" si="2"/>
        <v>96</v>
      </c>
      <c r="D17" s="1">
        <f t="shared" si="3"/>
        <v>100</v>
      </c>
      <c r="E17" s="2">
        <f t="shared" si="4"/>
        <v>104</v>
      </c>
    </row>
    <row r="18">
      <c r="A18" s="2">
        <v>17.0</v>
      </c>
      <c r="B18" s="1">
        <f t="shared" si="1"/>
        <v>68</v>
      </c>
      <c r="C18" s="1">
        <f t="shared" si="2"/>
        <v>100</v>
      </c>
      <c r="D18" s="1">
        <f t="shared" si="3"/>
        <v>104</v>
      </c>
      <c r="E18" s="2">
        <f t="shared" si="4"/>
        <v>108</v>
      </c>
    </row>
    <row r="19">
      <c r="A19" s="2">
        <v>18.0</v>
      </c>
      <c r="B19" s="1">
        <f t="shared" si="1"/>
        <v>72</v>
      </c>
      <c r="C19" s="1">
        <f t="shared" si="2"/>
        <v>104</v>
      </c>
      <c r="D19" s="1">
        <f t="shared" si="3"/>
        <v>108</v>
      </c>
      <c r="E19" s="2">
        <f t="shared" si="4"/>
        <v>112</v>
      </c>
    </row>
    <row r="20">
      <c r="A20" s="2">
        <v>19.0</v>
      </c>
      <c r="B20" s="1">
        <f t="shared" si="1"/>
        <v>76</v>
      </c>
      <c r="C20" s="1">
        <f t="shared" si="2"/>
        <v>108</v>
      </c>
      <c r="D20" s="1">
        <f t="shared" si="3"/>
        <v>112</v>
      </c>
      <c r="E20" s="2">
        <f t="shared" si="4"/>
        <v>116</v>
      </c>
    </row>
    <row r="21">
      <c r="A21" s="2">
        <v>20.0</v>
      </c>
      <c r="B21" s="1">
        <f t="shared" si="1"/>
        <v>80</v>
      </c>
      <c r="C21" s="1">
        <f t="shared" si="2"/>
        <v>112</v>
      </c>
      <c r="D21" s="1">
        <f t="shared" si="3"/>
        <v>116</v>
      </c>
      <c r="E21" s="2">
        <f t="shared" si="4"/>
        <v>120</v>
      </c>
    </row>
    <row r="22">
      <c r="A22" s="2">
        <v>25.0</v>
      </c>
      <c r="B22" s="1">
        <f t="shared" si="1"/>
        <v>100</v>
      </c>
      <c r="C22" s="1">
        <f t="shared" si="2"/>
        <v>132</v>
      </c>
      <c r="D22" s="1">
        <f t="shared" si="3"/>
        <v>136</v>
      </c>
      <c r="E22" s="2">
        <f t="shared" si="4"/>
        <v>140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71"/>
  </cols>
  <sheetData>
    <row r="1">
      <c r="A1" s="2" t="s">
        <v>135</v>
      </c>
    </row>
    <row r="2">
      <c r="A2" s="2" t="s">
        <v>136</v>
      </c>
      <c r="B2" s="2" t="s">
        <v>137</v>
      </c>
    </row>
    <row r="3">
      <c r="A3" s="2" t="s">
        <v>138</v>
      </c>
      <c r="B3" s="2" t="s">
        <v>139</v>
      </c>
    </row>
    <row r="4">
      <c r="A4" s="2" t="s">
        <v>87</v>
      </c>
      <c r="B4" s="2" t="s">
        <v>140</v>
      </c>
    </row>
    <row r="5">
      <c r="A5" s="2" t="s">
        <v>141</v>
      </c>
      <c r="B5" s="2" t="s">
        <v>142</v>
      </c>
    </row>
    <row r="6">
      <c r="A6" s="2" t="s">
        <v>90</v>
      </c>
      <c r="B6" s="2" t="s">
        <v>143</v>
      </c>
    </row>
    <row r="7">
      <c r="A7" s="2" t="s">
        <v>89</v>
      </c>
    </row>
    <row r="9">
      <c r="B9" s="2">
        <v>20.0</v>
      </c>
      <c r="C9" s="2">
        <v>19.0</v>
      </c>
      <c r="D9" s="2">
        <v>18.0</v>
      </c>
    </row>
    <row r="10">
      <c r="A10" s="2" t="s">
        <v>91</v>
      </c>
      <c r="B10" s="2">
        <v>180.0</v>
      </c>
    </row>
    <row r="11">
      <c r="A11" s="2" t="s">
        <v>90</v>
      </c>
      <c r="B11" s="2">
        <v>145.0</v>
      </c>
    </row>
    <row r="12">
      <c r="A12" s="2" t="s">
        <v>89</v>
      </c>
      <c r="B12" s="2">
        <v>140.0</v>
      </c>
    </row>
    <row r="14">
      <c r="A14" s="2">
        <v>26.0</v>
      </c>
    </row>
    <row r="15">
      <c r="A15" s="2">
        <v>28.0</v>
      </c>
    </row>
    <row r="16">
      <c r="A16" s="2">
        <v>30.0</v>
      </c>
    </row>
    <row r="17">
      <c r="A17" s="2">
        <v>32.0</v>
      </c>
    </row>
    <row r="18">
      <c r="A18" s="2">
        <v>34.0</v>
      </c>
    </row>
    <row r="19">
      <c r="A19" s="2">
        <v>36.0</v>
      </c>
    </row>
    <row r="20">
      <c r="A20" s="2">
        <v>38.0</v>
      </c>
    </row>
    <row r="21">
      <c r="A21" s="2">
        <v>40.0</v>
      </c>
    </row>
    <row r="22">
      <c r="A22" s="2">
        <v>50.0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13" width="4.29"/>
  </cols>
  <sheetData>
    <row r="1">
      <c r="B1" s="2">
        <v>180.0</v>
      </c>
      <c r="C1" s="2">
        <v>177.0</v>
      </c>
      <c r="D1" s="2">
        <v>174.0</v>
      </c>
      <c r="E1" s="2">
        <v>171.0</v>
      </c>
      <c r="F1" s="2">
        <v>170.0</v>
      </c>
      <c r="G1" s="2">
        <v>168.0</v>
      </c>
      <c r="H1" s="2">
        <v>167.0</v>
      </c>
      <c r="I1" s="2">
        <v>164.0</v>
      </c>
      <c r="J1" s="2">
        <v>162.0</v>
      </c>
      <c r="K1" s="2">
        <v>145.0</v>
      </c>
    </row>
    <row r="2">
      <c r="A2" s="2">
        <v>170.0</v>
      </c>
      <c r="B2" s="1">
        <f t="shared" ref="B2:K2" si="1">$A2+B$1</f>
        <v>350</v>
      </c>
      <c r="C2" s="1">
        <f t="shared" si="1"/>
        <v>347</v>
      </c>
      <c r="D2" s="1">
        <f t="shared" si="1"/>
        <v>344</v>
      </c>
      <c r="E2" s="1">
        <f t="shared" si="1"/>
        <v>341</v>
      </c>
      <c r="F2" s="1">
        <f t="shared" si="1"/>
        <v>340</v>
      </c>
      <c r="G2" s="1">
        <f t="shared" si="1"/>
        <v>338</v>
      </c>
      <c r="H2" s="1">
        <f t="shared" si="1"/>
        <v>337</v>
      </c>
      <c r="I2" s="1">
        <f t="shared" si="1"/>
        <v>334</v>
      </c>
      <c r="J2" s="1">
        <f t="shared" si="1"/>
        <v>332</v>
      </c>
      <c r="K2" s="1">
        <f t="shared" si="1"/>
        <v>315</v>
      </c>
    </row>
    <row r="3">
      <c r="A3" s="2">
        <v>167.0</v>
      </c>
      <c r="B3" s="1">
        <f t="shared" ref="B3:K3" si="2">$A3+B$1</f>
        <v>347</v>
      </c>
      <c r="C3" s="1">
        <f t="shared" si="2"/>
        <v>344</v>
      </c>
      <c r="D3" s="1">
        <f t="shared" si="2"/>
        <v>341</v>
      </c>
      <c r="E3" s="1">
        <f t="shared" si="2"/>
        <v>338</v>
      </c>
      <c r="F3" s="1">
        <f t="shared" si="2"/>
        <v>337</v>
      </c>
      <c r="G3" s="1">
        <f t="shared" si="2"/>
        <v>335</v>
      </c>
      <c r="H3" s="1">
        <f t="shared" si="2"/>
        <v>334</v>
      </c>
      <c r="I3" s="1">
        <f t="shared" si="2"/>
        <v>331</v>
      </c>
      <c r="J3" s="1">
        <f t="shared" si="2"/>
        <v>329</v>
      </c>
      <c r="K3" s="1">
        <f t="shared" si="2"/>
        <v>312</v>
      </c>
    </row>
    <row r="4">
      <c r="A4" s="2">
        <v>164.0</v>
      </c>
      <c r="B4" s="1">
        <f t="shared" ref="B4:K4" si="3">$A4+B$1</f>
        <v>344</v>
      </c>
      <c r="C4" s="1">
        <f t="shared" si="3"/>
        <v>341</v>
      </c>
      <c r="D4" s="1">
        <f t="shared" si="3"/>
        <v>338</v>
      </c>
      <c r="E4" s="1">
        <f t="shared" si="3"/>
        <v>335</v>
      </c>
      <c r="F4" s="1">
        <f t="shared" si="3"/>
        <v>334</v>
      </c>
      <c r="G4" s="1">
        <f t="shared" si="3"/>
        <v>332</v>
      </c>
      <c r="H4" s="1">
        <f t="shared" si="3"/>
        <v>331</v>
      </c>
      <c r="I4" s="1">
        <f t="shared" si="3"/>
        <v>328</v>
      </c>
      <c r="J4" s="1">
        <f t="shared" si="3"/>
        <v>326</v>
      </c>
      <c r="K4" s="1">
        <f t="shared" si="3"/>
        <v>309</v>
      </c>
    </row>
    <row r="5">
      <c r="A5" s="2">
        <v>161.0</v>
      </c>
      <c r="B5" s="1">
        <f t="shared" ref="B5:K5" si="4">$A5+B$1</f>
        <v>341</v>
      </c>
      <c r="C5" s="1">
        <f t="shared" si="4"/>
        <v>338</v>
      </c>
      <c r="D5" s="1">
        <f t="shared" si="4"/>
        <v>335</v>
      </c>
      <c r="E5" s="1">
        <f t="shared" si="4"/>
        <v>332</v>
      </c>
      <c r="F5" s="1">
        <f t="shared" si="4"/>
        <v>331</v>
      </c>
      <c r="G5" s="1">
        <f t="shared" si="4"/>
        <v>329</v>
      </c>
      <c r="H5" s="1">
        <f t="shared" si="4"/>
        <v>328</v>
      </c>
      <c r="I5" s="1">
        <f t="shared" si="4"/>
        <v>325</v>
      </c>
      <c r="J5" s="1">
        <f t="shared" si="4"/>
        <v>323</v>
      </c>
      <c r="K5" s="1">
        <f t="shared" si="4"/>
        <v>306</v>
      </c>
    </row>
    <row r="6">
      <c r="A6" s="2">
        <v>160.0</v>
      </c>
      <c r="B6" s="1">
        <f t="shared" ref="B6:K6" si="5">$A6+B$1</f>
        <v>340</v>
      </c>
      <c r="C6" s="1">
        <f t="shared" si="5"/>
        <v>337</v>
      </c>
      <c r="D6" s="1">
        <f t="shared" si="5"/>
        <v>334</v>
      </c>
      <c r="E6" s="1">
        <f t="shared" si="5"/>
        <v>331</v>
      </c>
      <c r="F6" s="1">
        <f t="shared" si="5"/>
        <v>330</v>
      </c>
      <c r="G6" s="1">
        <f t="shared" si="5"/>
        <v>328</v>
      </c>
      <c r="H6" s="1">
        <f t="shared" si="5"/>
        <v>327</v>
      </c>
      <c r="I6" s="1">
        <f t="shared" si="5"/>
        <v>324</v>
      </c>
      <c r="J6" s="1">
        <f t="shared" si="5"/>
        <v>322</v>
      </c>
      <c r="K6" s="1">
        <f t="shared" si="5"/>
        <v>305</v>
      </c>
    </row>
    <row r="9">
      <c r="A9" s="2">
        <v>350.0</v>
      </c>
      <c r="B9" s="1">
        <f t="shared" ref="B9:B135" si="6">$A9-B$1</f>
        <v>170</v>
      </c>
    </row>
    <row r="10">
      <c r="A10" s="33">
        <v>349.0</v>
      </c>
      <c r="B10" s="1">
        <f t="shared" si="6"/>
        <v>169</v>
      </c>
    </row>
    <row r="11">
      <c r="A11" s="2">
        <v>348.0</v>
      </c>
      <c r="B11" s="1">
        <f t="shared" si="6"/>
        <v>168</v>
      </c>
    </row>
    <row r="12">
      <c r="A12" s="2">
        <v>347.0</v>
      </c>
      <c r="B12" s="1">
        <f t="shared" si="6"/>
        <v>167</v>
      </c>
    </row>
    <row r="13">
      <c r="A13" s="33">
        <v>346.0</v>
      </c>
      <c r="B13" s="1">
        <f t="shared" si="6"/>
        <v>166</v>
      </c>
    </row>
    <row r="14">
      <c r="A14" s="33">
        <v>345.0</v>
      </c>
      <c r="B14" s="1">
        <f t="shared" si="6"/>
        <v>165</v>
      </c>
    </row>
    <row r="15">
      <c r="A15" s="2">
        <v>344.0</v>
      </c>
      <c r="B15" s="1">
        <f t="shared" si="6"/>
        <v>164</v>
      </c>
    </row>
    <row r="16">
      <c r="A16" s="33">
        <v>343.0</v>
      </c>
      <c r="B16" s="1">
        <f t="shared" si="6"/>
        <v>163</v>
      </c>
    </row>
    <row r="17">
      <c r="A17" s="33">
        <v>342.0</v>
      </c>
      <c r="B17" s="1">
        <f t="shared" si="6"/>
        <v>162</v>
      </c>
    </row>
    <row r="18">
      <c r="A18" s="2">
        <v>341.0</v>
      </c>
      <c r="B18" s="1">
        <f t="shared" si="6"/>
        <v>161</v>
      </c>
    </row>
    <row r="19">
      <c r="A19" s="2">
        <v>340.0</v>
      </c>
      <c r="B19" s="1">
        <f t="shared" si="6"/>
        <v>160</v>
      </c>
    </row>
    <row r="20">
      <c r="A20" s="33">
        <v>339.0</v>
      </c>
      <c r="B20" s="1">
        <f t="shared" si="6"/>
        <v>159</v>
      </c>
    </row>
    <row r="21">
      <c r="A21" s="2">
        <v>338.0</v>
      </c>
      <c r="B21" s="1">
        <f t="shared" si="6"/>
        <v>158</v>
      </c>
    </row>
    <row r="22">
      <c r="A22" s="2">
        <v>337.0</v>
      </c>
      <c r="B22" s="1">
        <f t="shared" si="6"/>
        <v>157</v>
      </c>
    </row>
    <row r="23">
      <c r="A23" s="2">
        <v>336.0</v>
      </c>
      <c r="B23" s="1">
        <f t="shared" si="6"/>
        <v>156</v>
      </c>
    </row>
    <row r="24">
      <c r="A24" s="2">
        <v>335.0</v>
      </c>
      <c r="B24" s="1">
        <f t="shared" si="6"/>
        <v>155</v>
      </c>
    </row>
    <row r="25">
      <c r="A25" s="2">
        <v>334.0</v>
      </c>
      <c r="B25" s="1">
        <f t="shared" si="6"/>
        <v>154</v>
      </c>
    </row>
    <row r="26">
      <c r="A26" s="2">
        <v>333.0</v>
      </c>
      <c r="B26" s="1">
        <f t="shared" si="6"/>
        <v>153</v>
      </c>
    </row>
    <row r="27">
      <c r="A27" s="2">
        <v>332.0</v>
      </c>
      <c r="B27" s="1">
        <f t="shared" si="6"/>
        <v>152</v>
      </c>
    </row>
    <row r="28">
      <c r="A28" s="2">
        <v>331.0</v>
      </c>
      <c r="B28" s="1">
        <f t="shared" si="6"/>
        <v>151</v>
      </c>
    </row>
    <row r="29">
      <c r="A29" s="2">
        <v>330.0</v>
      </c>
      <c r="B29" s="1">
        <f t="shared" si="6"/>
        <v>150</v>
      </c>
    </row>
    <row r="30">
      <c r="A30" s="2">
        <v>329.0</v>
      </c>
      <c r="B30" s="1">
        <f t="shared" si="6"/>
        <v>149</v>
      </c>
    </row>
    <row r="31">
      <c r="A31" s="2">
        <v>328.0</v>
      </c>
      <c r="B31" s="1">
        <f t="shared" si="6"/>
        <v>148</v>
      </c>
    </row>
    <row r="32">
      <c r="A32" s="2">
        <v>327.0</v>
      </c>
      <c r="B32" s="1">
        <f t="shared" si="6"/>
        <v>147</v>
      </c>
    </row>
    <row r="33">
      <c r="A33" s="2">
        <v>326.0</v>
      </c>
      <c r="B33" s="1">
        <f t="shared" si="6"/>
        <v>146</v>
      </c>
    </row>
    <row r="34">
      <c r="A34" s="2">
        <v>325.0</v>
      </c>
      <c r="B34" s="1">
        <f t="shared" si="6"/>
        <v>145</v>
      </c>
    </row>
    <row r="35">
      <c r="A35" s="2">
        <v>324.0</v>
      </c>
      <c r="B35" s="1">
        <f t="shared" si="6"/>
        <v>144</v>
      </c>
    </row>
    <row r="36">
      <c r="A36" s="2">
        <v>323.0</v>
      </c>
      <c r="B36" s="1">
        <f t="shared" si="6"/>
        <v>143</v>
      </c>
    </row>
    <row r="37">
      <c r="A37" s="2">
        <v>322.0</v>
      </c>
      <c r="B37" s="1">
        <f t="shared" si="6"/>
        <v>142</v>
      </c>
    </row>
    <row r="38">
      <c r="A38" s="2">
        <v>321.0</v>
      </c>
      <c r="B38" s="1">
        <f t="shared" si="6"/>
        <v>141</v>
      </c>
    </row>
    <row r="39">
      <c r="A39" s="2">
        <v>320.0</v>
      </c>
      <c r="B39" s="1">
        <f t="shared" si="6"/>
        <v>140</v>
      </c>
    </row>
    <row r="40">
      <c r="A40" s="2">
        <v>319.0</v>
      </c>
      <c r="B40" s="1">
        <f t="shared" si="6"/>
        <v>139</v>
      </c>
    </row>
    <row r="41">
      <c r="A41" s="2">
        <v>318.0</v>
      </c>
      <c r="B41" s="1">
        <f t="shared" si="6"/>
        <v>138</v>
      </c>
    </row>
    <row r="42">
      <c r="A42" s="2">
        <v>317.0</v>
      </c>
      <c r="B42" s="1">
        <f t="shared" si="6"/>
        <v>137</v>
      </c>
    </row>
    <row r="43">
      <c r="A43" s="2">
        <v>316.0</v>
      </c>
      <c r="B43" s="1">
        <f t="shared" si="6"/>
        <v>136</v>
      </c>
    </row>
    <row r="44">
      <c r="A44" s="2">
        <v>315.0</v>
      </c>
      <c r="B44" s="1">
        <f t="shared" si="6"/>
        <v>135</v>
      </c>
      <c r="C44" s="1">
        <f t="shared" ref="C44:C135" si="7">$A44-140</f>
        <v>175</v>
      </c>
      <c r="D44" s="1">
        <f t="shared" ref="D44:D135" si="8">$A44-145</f>
        <v>170</v>
      </c>
    </row>
    <row r="45">
      <c r="A45" s="2">
        <v>314.0</v>
      </c>
      <c r="B45" s="1">
        <f t="shared" si="6"/>
        <v>134</v>
      </c>
      <c r="C45" s="1">
        <f t="shared" si="7"/>
        <v>174</v>
      </c>
      <c r="D45" s="1">
        <f t="shared" si="8"/>
        <v>169</v>
      </c>
    </row>
    <row r="46">
      <c r="A46" s="2">
        <v>313.0</v>
      </c>
      <c r="B46" s="1">
        <f t="shared" si="6"/>
        <v>133</v>
      </c>
      <c r="C46" s="1">
        <f t="shared" si="7"/>
        <v>173</v>
      </c>
      <c r="D46" s="1">
        <f t="shared" si="8"/>
        <v>168</v>
      </c>
    </row>
    <row r="47">
      <c r="A47" s="2">
        <v>312.0</v>
      </c>
      <c r="B47" s="1">
        <f t="shared" si="6"/>
        <v>132</v>
      </c>
      <c r="C47" s="1">
        <f t="shared" si="7"/>
        <v>172</v>
      </c>
      <c r="D47" s="1">
        <f t="shared" si="8"/>
        <v>167</v>
      </c>
    </row>
    <row r="48">
      <c r="A48" s="2">
        <v>311.0</v>
      </c>
      <c r="B48" s="1">
        <f t="shared" si="6"/>
        <v>131</v>
      </c>
      <c r="C48" s="1">
        <f t="shared" si="7"/>
        <v>171</v>
      </c>
      <c r="D48" s="1">
        <f t="shared" si="8"/>
        <v>166</v>
      </c>
    </row>
    <row r="49">
      <c r="A49" s="2">
        <v>310.0</v>
      </c>
      <c r="B49" s="1">
        <f t="shared" si="6"/>
        <v>130</v>
      </c>
      <c r="C49" s="1">
        <f t="shared" si="7"/>
        <v>170</v>
      </c>
      <c r="D49" s="1">
        <f t="shared" si="8"/>
        <v>165</v>
      </c>
    </row>
    <row r="50">
      <c r="A50" s="2">
        <v>309.0</v>
      </c>
      <c r="B50" s="1">
        <f t="shared" si="6"/>
        <v>129</v>
      </c>
      <c r="C50" s="1">
        <f t="shared" si="7"/>
        <v>169</v>
      </c>
      <c r="D50" s="1">
        <f t="shared" si="8"/>
        <v>164</v>
      </c>
    </row>
    <row r="51">
      <c r="A51" s="2">
        <v>308.0</v>
      </c>
      <c r="B51" s="1">
        <f t="shared" si="6"/>
        <v>128</v>
      </c>
      <c r="C51" s="1">
        <f t="shared" si="7"/>
        <v>168</v>
      </c>
      <c r="D51" s="1">
        <f t="shared" si="8"/>
        <v>163</v>
      </c>
    </row>
    <row r="52">
      <c r="A52" s="2">
        <v>307.0</v>
      </c>
      <c r="B52" s="1">
        <f t="shared" si="6"/>
        <v>127</v>
      </c>
      <c r="C52" s="1">
        <f t="shared" si="7"/>
        <v>167</v>
      </c>
      <c r="D52" s="1">
        <f t="shared" si="8"/>
        <v>162</v>
      </c>
    </row>
    <row r="53">
      <c r="A53" s="2">
        <v>306.0</v>
      </c>
      <c r="B53" s="1">
        <f t="shared" si="6"/>
        <v>126</v>
      </c>
      <c r="C53" s="1">
        <f t="shared" si="7"/>
        <v>166</v>
      </c>
      <c r="D53" s="1">
        <f t="shared" si="8"/>
        <v>161</v>
      </c>
    </row>
    <row r="54">
      <c r="A54" s="2">
        <v>305.0</v>
      </c>
      <c r="B54" s="1">
        <f t="shared" si="6"/>
        <v>125</v>
      </c>
      <c r="C54" s="1">
        <f t="shared" si="7"/>
        <v>165</v>
      </c>
      <c r="D54" s="1">
        <f t="shared" si="8"/>
        <v>160</v>
      </c>
    </row>
    <row r="55">
      <c r="A55" s="2">
        <v>304.0</v>
      </c>
      <c r="B55" s="1">
        <f t="shared" si="6"/>
        <v>124</v>
      </c>
      <c r="C55" s="1">
        <f t="shared" si="7"/>
        <v>164</v>
      </c>
      <c r="D55" s="1">
        <f t="shared" si="8"/>
        <v>159</v>
      </c>
    </row>
    <row r="56">
      <c r="A56" s="2">
        <v>303.0</v>
      </c>
      <c r="B56" s="1">
        <f t="shared" si="6"/>
        <v>123</v>
      </c>
      <c r="C56" s="1">
        <f t="shared" si="7"/>
        <v>163</v>
      </c>
      <c r="D56" s="1">
        <f t="shared" si="8"/>
        <v>158</v>
      </c>
    </row>
    <row r="57">
      <c r="A57" s="2">
        <v>302.0</v>
      </c>
      <c r="B57" s="1">
        <f t="shared" si="6"/>
        <v>122</v>
      </c>
      <c r="C57" s="1">
        <f t="shared" si="7"/>
        <v>162</v>
      </c>
      <c r="D57" s="1">
        <f t="shared" si="8"/>
        <v>157</v>
      </c>
    </row>
    <row r="58">
      <c r="A58" s="2">
        <v>301.0</v>
      </c>
      <c r="B58" s="1">
        <f t="shared" si="6"/>
        <v>121</v>
      </c>
      <c r="C58" s="1">
        <f t="shared" si="7"/>
        <v>161</v>
      </c>
      <c r="D58" s="1">
        <f t="shared" si="8"/>
        <v>156</v>
      </c>
    </row>
    <row r="59">
      <c r="A59" s="2">
        <v>300.0</v>
      </c>
      <c r="B59" s="1">
        <f t="shared" si="6"/>
        <v>120</v>
      </c>
      <c r="C59" s="1">
        <f t="shared" si="7"/>
        <v>160</v>
      </c>
      <c r="D59" s="1">
        <f t="shared" si="8"/>
        <v>155</v>
      </c>
    </row>
    <row r="60">
      <c r="A60" s="2">
        <v>299.0</v>
      </c>
      <c r="B60" s="1">
        <f t="shared" si="6"/>
        <v>119</v>
      </c>
      <c r="C60" s="1">
        <f t="shared" si="7"/>
        <v>159</v>
      </c>
      <c r="D60" s="1">
        <f t="shared" si="8"/>
        <v>154</v>
      </c>
    </row>
    <row r="61">
      <c r="A61" s="2">
        <v>298.0</v>
      </c>
      <c r="B61" s="1">
        <f t="shared" si="6"/>
        <v>118</v>
      </c>
      <c r="C61" s="1">
        <f t="shared" si="7"/>
        <v>158</v>
      </c>
      <c r="D61" s="1">
        <f t="shared" si="8"/>
        <v>153</v>
      </c>
    </row>
    <row r="62">
      <c r="A62" s="2">
        <v>297.0</v>
      </c>
      <c r="B62" s="1">
        <f t="shared" si="6"/>
        <v>117</v>
      </c>
      <c r="C62" s="1">
        <f t="shared" si="7"/>
        <v>157</v>
      </c>
      <c r="D62" s="1">
        <f t="shared" si="8"/>
        <v>152</v>
      </c>
    </row>
    <row r="63">
      <c r="A63" s="2">
        <v>296.0</v>
      </c>
      <c r="B63" s="1">
        <f t="shared" si="6"/>
        <v>116</v>
      </c>
      <c r="C63" s="1">
        <f t="shared" si="7"/>
        <v>156</v>
      </c>
      <c r="D63" s="1">
        <f t="shared" si="8"/>
        <v>151</v>
      </c>
    </row>
    <row r="64">
      <c r="A64" s="2">
        <v>295.0</v>
      </c>
      <c r="B64" s="1">
        <f t="shared" si="6"/>
        <v>115</v>
      </c>
      <c r="C64" s="1">
        <f t="shared" si="7"/>
        <v>155</v>
      </c>
      <c r="D64" s="1">
        <f t="shared" si="8"/>
        <v>150</v>
      </c>
    </row>
    <row r="65">
      <c r="A65" s="2">
        <v>294.0</v>
      </c>
      <c r="B65" s="1">
        <f t="shared" si="6"/>
        <v>114</v>
      </c>
      <c r="C65" s="1">
        <f t="shared" si="7"/>
        <v>154</v>
      </c>
      <c r="D65" s="1">
        <f t="shared" si="8"/>
        <v>149</v>
      </c>
    </row>
    <row r="66">
      <c r="A66" s="2">
        <v>293.0</v>
      </c>
      <c r="B66" s="1">
        <f t="shared" si="6"/>
        <v>113</v>
      </c>
      <c r="C66" s="1">
        <f t="shared" si="7"/>
        <v>153</v>
      </c>
      <c r="D66" s="1">
        <f t="shared" si="8"/>
        <v>148</v>
      </c>
    </row>
    <row r="67">
      <c r="A67" s="2">
        <v>292.0</v>
      </c>
      <c r="B67" s="1">
        <f t="shared" si="6"/>
        <v>112</v>
      </c>
      <c r="C67" s="1">
        <f t="shared" si="7"/>
        <v>152</v>
      </c>
      <c r="D67" s="1">
        <f t="shared" si="8"/>
        <v>147</v>
      </c>
    </row>
    <row r="68">
      <c r="A68" s="2">
        <v>291.0</v>
      </c>
      <c r="B68" s="1">
        <f t="shared" si="6"/>
        <v>111</v>
      </c>
      <c r="C68" s="1">
        <f t="shared" si="7"/>
        <v>151</v>
      </c>
      <c r="D68" s="1">
        <f t="shared" si="8"/>
        <v>146</v>
      </c>
    </row>
    <row r="69">
      <c r="A69" s="2">
        <v>290.0</v>
      </c>
      <c r="B69" s="1">
        <f t="shared" si="6"/>
        <v>110</v>
      </c>
      <c r="C69" s="1">
        <f t="shared" si="7"/>
        <v>150</v>
      </c>
      <c r="D69" s="1">
        <f t="shared" si="8"/>
        <v>145</v>
      </c>
    </row>
    <row r="70">
      <c r="A70" s="2">
        <v>289.0</v>
      </c>
      <c r="B70" s="1">
        <f t="shared" si="6"/>
        <v>109</v>
      </c>
      <c r="C70" s="1">
        <f t="shared" si="7"/>
        <v>149</v>
      </c>
      <c r="D70" s="1">
        <f t="shared" si="8"/>
        <v>144</v>
      </c>
    </row>
    <row r="71">
      <c r="A71" s="2">
        <v>288.0</v>
      </c>
      <c r="B71" s="1">
        <f t="shared" si="6"/>
        <v>108</v>
      </c>
      <c r="C71" s="1">
        <f t="shared" si="7"/>
        <v>148</v>
      </c>
      <c r="D71" s="1">
        <f t="shared" si="8"/>
        <v>143</v>
      </c>
    </row>
    <row r="72">
      <c r="A72" s="2">
        <v>287.0</v>
      </c>
      <c r="B72" s="1">
        <f t="shared" si="6"/>
        <v>107</v>
      </c>
      <c r="C72" s="1">
        <f t="shared" si="7"/>
        <v>147</v>
      </c>
      <c r="D72" s="1">
        <f t="shared" si="8"/>
        <v>142</v>
      </c>
    </row>
    <row r="73">
      <c r="A73" s="2">
        <v>286.0</v>
      </c>
      <c r="B73" s="1">
        <f t="shared" si="6"/>
        <v>106</v>
      </c>
      <c r="C73" s="1">
        <f t="shared" si="7"/>
        <v>146</v>
      </c>
      <c r="D73" s="1">
        <f t="shared" si="8"/>
        <v>141</v>
      </c>
    </row>
    <row r="74">
      <c r="A74" s="2">
        <v>285.0</v>
      </c>
      <c r="B74" s="1">
        <f t="shared" si="6"/>
        <v>105</v>
      </c>
      <c r="C74" s="1">
        <f t="shared" si="7"/>
        <v>145</v>
      </c>
      <c r="D74" s="1">
        <f t="shared" si="8"/>
        <v>140</v>
      </c>
    </row>
    <row r="75">
      <c r="A75" s="2">
        <v>284.0</v>
      </c>
      <c r="B75" s="1">
        <f t="shared" si="6"/>
        <v>104</v>
      </c>
      <c r="C75" s="1">
        <f t="shared" si="7"/>
        <v>144</v>
      </c>
      <c r="D75" s="1">
        <f t="shared" si="8"/>
        <v>139</v>
      </c>
    </row>
    <row r="76">
      <c r="A76" s="2">
        <v>283.0</v>
      </c>
      <c r="B76" s="1">
        <f t="shared" si="6"/>
        <v>103</v>
      </c>
      <c r="C76" s="1">
        <f t="shared" si="7"/>
        <v>143</v>
      </c>
      <c r="D76" s="1">
        <f t="shared" si="8"/>
        <v>138</v>
      </c>
    </row>
    <row r="77">
      <c r="A77" s="2">
        <v>282.0</v>
      </c>
      <c r="B77" s="1">
        <f t="shared" si="6"/>
        <v>102</v>
      </c>
      <c r="C77" s="1">
        <f t="shared" si="7"/>
        <v>142</v>
      </c>
      <c r="D77" s="1">
        <f t="shared" si="8"/>
        <v>137</v>
      </c>
    </row>
    <row r="78">
      <c r="A78" s="2">
        <v>281.0</v>
      </c>
      <c r="B78" s="1">
        <f t="shared" si="6"/>
        <v>101</v>
      </c>
      <c r="C78" s="1">
        <f t="shared" si="7"/>
        <v>141</v>
      </c>
      <c r="D78" s="1">
        <f t="shared" si="8"/>
        <v>136</v>
      </c>
    </row>
    <row r="79">
      <c r="A79" s="2">
        <v>280.0</v>
      </c>
      <c r="B79" s="1">
        <f t="shared" si="6"/>
        <v>100</v>
      </c>
      <c r="C79" s="1">
        <f t="shared" si="7"/>
        <v>140</v>
      </c>
      <c r="D79" s="1">
        <f t="shared" si="8"/>
        <v>135</v>
      </c>
    </row>
    <row r="80">
      <c r="A80" s="2">
        <v>279.0</v>
      </c>
      <c r="B80" s="1">
        <f t="shared" si="6"/>
        <v>99</v>
      </c>
      <c r="C80" s="1">
        <f t="shared" si="7"/>
        <v>139</v>
      </c>
      <c r="D80" s="1">
        <f t="shared" si="8"/>
        <v>134</v>
      </c>
    </row>
    <row r="81">
      <c r="A81" s="2">
        <v>278.0</v>
      </c>
      <c r="B81" s="1">
        <f t="shared" si="6"/>
        <v>98</v>
      </c>
      <c r="C81" s="1">
        <f t="shared" si="7"/>
        <v>138</v>
      </c>
      <c r="D81" s="1">
        <f t="shared" si="8"/>
        <v>133</v>
      </c>
    </row>
    <row r="82">
      <c r="A82" s="2">
        <v>277.0</v>
      </c>
      <c r="B82" s="1">
        <f t="shared" si="6"/>
        <v>97</v>
      </c>
      <c r="C82" s="1">
        <f t="shared" si="7"/>
        <v>137</v>
      </c>
      <c r="D82" s="1">
        <f t="shared" si="8"/>
        <v>132</v>
      </c>
    </row>
    <row r="83">
      <c r="A83" s="2">
        <v>276.0</v>
      </c>
      <c r="B83" s="1">
        <f t="shared" si="6"/>
        <v>96</v>
      </c>
      <c r="C83" s="1">
        <f t="shared" si="7"/>
        <v>136</v>
      </c>
      <c r="D83" s="1">
        <f t="shared" si="8"/>
        <v>131</v>
      </c>
    </row>
    <row r="84">
      <c r="A84" s="2">
        <v>275.0</v>
      </c>
      <c r="B84" s="1">
        <f t="shared" si="6"/>
        <v>95</v>
      </c>
      <c r="C84" s="1">
        <f t="shared" si="7"/>
        <v>135</v>
      </c>
      <c r="D84" s="1">
        <f t="shared" si="8"/>
        <v>130</v>
      </c>
    </row>
    <row r="85">
      <c r="A85" s="2">
        <v>274.0</v>
      </c>
      <c r="B85" s="1">
        <f t="shared" si="6"/>
        <v>94</v>
      </c>
      <c r="C85" s="1">
        <f t="shared" si="7"/>
        <v>134</v>
      </c>
      <c r="D85" s="1">
        <f t="shared" si="8"/>
        <v>129</v>
      </c>
    </row>
    <row r="86">
      <c r="A86" s="2">
        <v>273.0</v>
      </c>
      <c r="B86" s="1">
        <f t="shared" si="6"/>
        <v>93</v>
      </c>
      <c r="C86" s="1">
        <f t="shared" si="7"/>
        <v>133</v>
      </c>
      <c r="D86" s="1">
        <f t="shared" si="8"/>
        <v>128</v>
      </c>
    </row>
    <row r="87">
      <c r="A87" s="2">
        <v>272.0</v>
      </c>
      <c r="B87" s="1">
        <f t="shared" si="6"/>
        <v>92</v>
      </c>
      <c r="C87" s="1">
        <f t="shared" si="7"/>
        <v>132</v>
      </c>
      <c r="D87" s="1">
        <f t="shared" si="8"/>
        <v>127</v>
      </c>
    </row>
    <row r="88">
      <c r="A88" s="2">
        <v>271.0</v>
      </c>
      <c r="B88" s="1">
        <f t="shared" si="6"/>
        <v>91</v>
      </c>
      <c r="C88" s="1">
        <f t="shared" si="7"/>
        <v>131</v>
      </c>
      <c r="D88" s="1">
        <f t="shared" si="8"/>
        <v>126</v>
      </c>
    </row>
    <row r="89">
      <c r="A89" s="2">
        <v>270.0</v>
      </c>
      <c r="B89" s="1">
        <f t="shared" si="6"/>
        <v>90</v>
      </c>
      <c r="C89" s="1">
        <f t="shared" si="7"/>
        <v>130</v>
      </c>
      <c r="D89" s="1">
        <f t="shared" si="8"/>
        <v>125</v>
      </c>
    </row>
    <row r="90">
      <c r="A90" s="2">
        <v>269.0</v>
      </c>
      <c r="B90" s="1">
        <f t="shared" si="6"/>
        <v>89</v>
      </c>
      <c r="C90" s="1">
        <f t="shared" si="7"/>
        <v>129</v>
      </c>
      <c r="D90" s="1">
        <f t="shared" si="8"/>
        <v>124</v>
      </c>
    </row>
    <row r="91">
      <c r="A91" s="2">
        <v>268.0</v>
      </c>
      <c r="B91" s="1">
        <f t="shared" si="6"/>
        <v>88</v>
      </c>
      <c r="C91" s="1">
        <f t="shared" si="7"/>
        <v>128</v>
      </c>
      <c r="D91" s="1">
        <f t="shared" si="8"/>
        <v>123</v>
      </c>
    </row>
    <row r="92">
      <c r="A92" s="2">
        <v>267.0</v>
      </c>
      <c r="B92" s="1">
        <f t="shared" si="6"/>
        <v>87</v>
      </c>
      <c r="C92" s="1">
        <f t="shared" si="7"/>
        <v>127</v>
      </c>
      <c r="D92" s="1">
        <f t="shared" si="8"/>
        <v>122</v>
      </c>
    </row>
    <row r="93">
      <c r="A93" s="2">
        <v>266.0</v>
      </c>
      <c r="B93" s="1">
        <f t="shared" si="6"/>
        <v>86</v>
      </c>
      <c r="C93" s="1">
        <f t="shared" si="7"/>
        <v>126</v>
      </c>
      <c r="D93" s="1">
        <f t="shared" si="8"/>
        <v>121</v>
      </c>
    </row>
    <row r="94">
      <c r="A94" s="2">
        <v>265.0</v>
      </c>
      <c r="B94" s="1">
        <f t="shared" si="6"/>
        <v>85</v>
      </c>
      <c r="C94" s="1">
        <f t="shared" si="7"/>
        <v>125</v>
      </c>
      <c r="D94" s="1">
        <f t="shared" si="8"/>
        <v>120</v>
      </c>
    </row>
    <row r="95">
      <c r="A95" s="2">
        <v>264.0</v>
      </c>
      <c r="B95" s="1">
        <f t="shared" si="6"/>
        <v>84</v>
      </c>
      <c r="C95" s="1">
        <f t="shared" si="7"/>
        <v>124</v>
      </c>
      <c r="D95" s="1">
        <f t="shared" si="8"/>
        <v>119</v>
      </c>
    </row>
    <row r="96">
      <c r="A96" s="2">
        <v>263.0</v>
      </c>
      <c r="B96" s="1">
        <f t="shared" si="6"/>
        <v>83</v>
      </c>
      <c r="C96" s="1">
        <f t="shared" si="7"/>
        <v>123</v>
      </c>
      <c r="D96" s="1">
        <f t="shared" si="8"/>
        <v>118</v>
      </c>
    </row>
    <row r="97">
      <c r="A97" s="2">
        <v>262.0</v>
      </c>
      <c r="B97" s="1">
        <f t="shared" si="6"/>
        <v>82</v>
      </c>
      <c r="C97" s="1">
        <f t="shared" si="7"/>
        <v>122</v>
      </c>
      <c r="D97" s="1">
        <f t="shared" si="8"/>
        <v>117</v>
      </c>
    </row>
    <row r="98">
      <c r="A98" s="2">
        <v>261.0</v>
      </c>
      <c r="B98" s="1">
        <f t="shared" si="6"/>
        <v>81</v>
      </c>
      <c r="C98" s="1">
        <f t="shared" si="7"/>
        <v>121</v>
      </c>
      <c r="D98" s="1">
        <f t="shared" si="8"/>
        <v>116</v>
      </c>
    </row>
    <row r="99">
      <c r="A99" s="2">
        <v>260.0</v>
      </c>
      <c r="B99" s="1">
        <f t="shared" si="6"/>
        <v>80</v>
      </c>
      <c r="C99" s="1">
        <f t="shared" si="7"/>
        <v>120</v>
      </c>
      <c r="D99" s="1">
        <f t="shared" si="8"/>
        <v>115</v>
      </c>
    </row>
    <row r="100">
      <c r="A100" s="2">
        <v>259.0</v>
      </c>
      <c r="B100" s="1">
        <f t="shared" si="6"/>
        <v>79</v>
      </c>
      <c r="C100" s="1">
        <f t="shared" si="7"/>
        <v>119</v>
      </c>
      <c r="D100" s="1">
        <f t="shared" si="8"/>
        <v>114</v>
      </c>
    </row>
    <row r="101">
      <c r="A101" s="2">
        <v>258.0</v>
      </c>
      <c r="B101" s="1">
        <f t="shared" si="6"/>
        <v>78</v>
      </c>
      <c r="C101" s="1">
        <f t="shared" si="7"/>
        <v>118</v>
      </c>
      <c r="D101" s="1">
        <f t="shared" si="8"/>
        <v>113</v>
      </c>
    </row>
    <row r="102">
      <c r="A102" s="2">
        <v>257.0</v>
      </c>
      <c r="B102" s="1">
        <f t="shared" si="6"/>
        <v>77</v>
      </c>
      <c r="C102" s="1">
        <f t="shared" si="7"/>
        <v>117</v>
      </c>
      <c r="D102" s="1">
        <f t="shared" si="8"/>
        <v>112</v>
      </c>
    </row>
    <row r="103">
      <c r="A103" s="2">
        <v>256.0</v>
      </c>
      <c r="B103" s="1">
        <f t="shared" si="6"/>
        <v>76</v>
      </c>
      <c r="C103" s="1">
        <f t="shared" si="7"/>
        <v>116</v>
      </c>
      <c r="D103" s="1">
        <f t="shared" si="8"/>
        <v>111</v>
      </c>
    </row>
    <row r="104">
      <c r="A104" s="2">
        <v>255.0</v>
      </c>
      <c r="B104" s="1">
        <f t="shared" si="6"/>
        <v>75</v>
      </c>
      <c r="C104" s="1">
        <f t="shared" si="7"/>
        <v>115</v>
      </c>
      <c r="D104" s="1">
        <f t="shared" si="8"/>
        <v>110</v>
      </c>
    </row>
    <row r="105">
      <c r="A105" s="2">
        <v>254.0</v>
      </c>
      <c r="B105" s="1">
        <f t="shared" si="6"/>
        <v>74</v>
      </c>
      <c r="C105" s="1">
        <f t="shared" si="7"/>
        <v>114</v>
      </c>
      <c r="D105" s="1">
        <f t="shared" si="8"/>
        <v>109</v>
      </c>
    </row>
    <row r="106">
      <c r="A106" s="2">
        <v>253.0</v>
      </c>
      <c r="B106" s="1">
        <f t="shared" si="6"/>
        <v>73</v>
      </c>
      <c r="C106" s="1">
        <f t="shared" si="7"/>
        <v>113</v>
      </c>
      <c r="D106" s="1">
        <f t="shared" si="8"/>
        <v>108</v>
      </c>
    </row>
    <row r="107">
      <c r="A107" s="2">
        <v>252.0</v>
      </c>
      <c r="B107" s="1">
        <f t="shared" si="6"/>
        <v>72</v>
      </c>
      <c r="C107" s="1">
        <f t="shared" si="7"/>
        <v>112</v>
      </c>
      <c r="D107" s="1">
        <f t="shared" si="8"/>
        <v>107</v>
      </c>
    </row>
    <row r="108">
      <c r="A108" s="2">
        <v>251.0</v>
      </c>
      <c r="B108" s="1">
        <f t="shared" si="6"/>
        <v>71</v>
      </c>
      <c r="C108" s="1">
        <f t="shared" si="7"/>
        <v>111</v>
      </c>
      <c r="D108" s="1">
        <f t="shared" si="8"/>
        <v>106</v>
      </c>
    </row>
    <row r="109">
      <c r="A109" s="2">
        <v>250.0</v>
      </c>
      <c r="B109" s="1">
        <f t="shared" si="6"/>
        <v>70</v>
      </c>
      <c r="C109" s="1">
        <f t="shared" si="7"/>
        <v>110</v>
      </c>
      <c r="D109" s="1">
        <f t="shared" si="8"/>
        <v>105</v>
      </c>
    </row>
    <row r="110">
      <c r="A110" s="2">
        <v>249.0</v>
      </c>
      <c r="B110" s="1">
        <f t="shared" si="6"/>
        <v>69</v>
      </c>
      <c r="C110" s="1">
        <f t="shared" si="7"/>
        <v>109</v>
      </c>
      <c r="D110" s="1">
        <f t="shared" si="8"/>
        <v>104</v>
      </c>
    </row>
    <row r="111">
      <c r="A111" s="2">
        <v>248.0</v>
      </c>
      <c r="B111" s="1">
        <f t="shared" si="6"/>
        <v>68</v>
      </c>
      <c r="C111" s="1">
        <f t="shared" si="7"/>
        <v>108</v>
      </c>
      <c r="D111" s="1">
        <f t="shared" si="8"/>
        <v>103</v>
      </c>
    </row>
    <row r="112">
      <c r="A112" s="2">
        <v>247.0</v>
      </c>
      <c r="B112" s="1">
        <f t="shared" si="6"/>
        <v>67</v>
      </c>
      <c r="C112" s="1">
        <f t="shared" si="7"/>
        <v>107</v>
      </c>
      <c r="D112" s="1">
        <f t="shared" si="8"/>
        <v>102</v>
      </c>
    </row>
    <row r="113">
      <c r="A113" s="2">
        <v>246.0</v>
      </c>
      <c r="B113" s="1">
        <f t="shared" si="6"/>
        <v>66</v>
      </c>
      <c r="C113" s="1">
        <f t="shared" si="7"/>
        <v>106</v>
      </c>
      <c r="D113" s="1">
        <f t="shared" si="8"/>
        <v>101</v>
      </c>
    </row>
    <row r="114">
      <c r="A114" s="2">
        <v>245.0</v>
      </c>
      <c r="B114" s="1">
        <f t="shared" si="6"/>
        <v>65</v>
      </c>
      <c r="C114" s="1">
        <f t="shared" si="7"/>
        <v>105</v>
      </c>
      <c r="D114" s="1">
        <f t="shared" si="8"/>
        <v>100</v>
      </c>
    </row>
    <row r="115">
      <c r="A115" s="2">
        <v>244.0</v>
      </c>
      <c r="B115" s="1">
        <f t="shared" si="6"/>
        <v>64</v>
      </c>
      <c r="C115" s="1">
        <f t="shared" si="7"/>
        <v>104</v>
      </c>
      <c r="D115" s="1">
        <f t="shared" si="8"/>
        <v>99</v>
      </c>
    </row>
    <row r="116">
      <c r="A116" s="2">
        <v>243.0</v>
      </c>
      <c r="B116" s="1">
        <f t="shared" si="6"/>
        <v>63</v>
      </c>
      <c r="C116" s="1">
        <f t="shared" si="7"/>
        <v>103</v>
      </c>
      <c r="D116" s="1">
        <f t="shared" si="8"/>
        <v>98</v>
      </c>
    </row>
    <row r="117">
      <c r="A117" s="2">
        <v>242.0</v>
      </c>
      <c r="B117" s="1">
        <f t="shared" si="6"/>
        <v>62</v>
      </c>
      <c r="C117" s="1">
        <f t="shared" si="7"/>
        <v>102</v>
      </c>
      <c r="D117" s="1">
        <f t="shared" si="8"/>
        <v>97</v>
      </c>
    </row>
    <row r="118">
      <c r="A118" s="2">
        <v>241.0</v>
      </c>
      <c r="B118" s="1">
        <f t="shared" si="6"/>
        <v>61</v>
      </c>
      <c r="C118" s="1">
        <f t="shared" si="7"/>
        <v>101</v>
      </c>
      <c r="D118" s="1">
        <f t="shared" si="8"/>
        <v>96</v>
      </c>
    </row>
    <row r="119">
      <c r="A119" s="2">
        <v>240.0</v>
      </c>
      <c r="B119" s="1">
        <f t="shared" si="6"/>
        <v>60</v>
      </c>
      <c r="C119" s="1">
        <f t="shared" si="7"/>
        <v>100</v>
      </c>
      <c r="D119" s="1">
        <f t="shared" si="8"/>
        <v>95</v>
      </c>
    </row>
    <row r="120">
      <c r="A120" s="2">
        <v>239.0</v>
      </c>
      <c r="B120" s="1">
        <f t="shared" si="6"/>
        <v>59</v>
      </c>
      <c r="C120" s="1">
        <f t="shared" si="7"/>
        <v>99</v>
      </c>
      <c r="D120" s="1">
        <f t="shared" si="8"/>
        <v>94</v>
      </c>
    </row>
    <row r="121">
      <c r="A121" s="2">
        <v>238.0</v>
      </c>
      <c r="B121" s="1">
        <f t="shared" si="6"/>
        <v>58</v>
      </c>
      <c r="C121" s="1">
        <f t="shared" si="7"/>
        <v>98</v>
      </c>
      <c r="D121" s="1">
        <f t="shared" si="8"/>
        <v>93</v>
      </c>
    </row>
    <row r="122">
      <c r="A122" s="2">
        <v>237.0</v>
      </c>
      <c r="B122" s="1">
        <f t="shared" si="6"/>
        <v>57</v>
      </c>
      <c r="C122" s="1">
        <f t="shared" si="7"/>
        <v>97</v>
      </c>
      <c r="D122" s="1">
        <f t="shared" si="8"/>
        <v>92</v>
      </c>
    </row>
    <row r="123">
      <c r="A123" s="2">
        <v>236.0</v>
      </c>
      <c r="B123" s="1">
        <f t="shared" si="6"/>
        <v>56</v>
      </c>
      <c r="C123" s="1">
        <f t="shared" si="7"/>
        <v>96</v>
      </c>
      <c r="D123" s="1">
        <f t="shared" si="8"/>
        <v>91</v>
      </c>
    </row>
    <row r="124">
      <c r="A124" s="2">
        <v>235.0</v>
      </c>
      <c r="B124" s="1">
        <f t="shared" si="6"/>
        <v>55</v>
      </c>
      <c r="C124" s="1">
        <f t="shared" si="7"/>
        <v>95</v>
      </c>
      <c r="D124" s="1">
        <f t="shared" si="8"/>
        <v>90</v>
      </c>
    </row>
    <row r="125">
      <c r="A125" s="2">
        <v>234.0</v>
      </c>
      <c r="B125" s="1">
        <f t="shared" si="6"/>
        <v>54</v>
      </c>
      <c r="C125" s="1">
        <f t="shared" si="7"/>
        <v>94</v>
      </c>
      <c r="D125" s="1">
        <f t="shared" si="8"/>
        <v>89</v>
      </c>
    </row>
    <row r="126">
      <c r="A126" s="2">
        <v>233.0</v>
      </c>
      <c r="B126" s="1">
        <f t="shared" si="6"/>
        <v>53</v>
      </c>
      <c r="C126" s="1">
        <f t="shared" si="7"/>
        <v>93</v>
      </c>
      <c r="D126" s="1">
        <f t="shared" si="8"/>
        <v>88</v>
      </c>
    </row>
    <row r="127">
      <c r="A127" s="2">
        <v>232.0</v>
      </c>
      <c r="B127" s="1">
        <f t="shared" si="6"/>
        <v>52</v>
      </c>
      <c r="C127" s="1">
        <f t="shared" si="7"/>
        <v>92</v>
      </c>
      <c r="D127" s="1">
        <f t="shared" si="8"/>
        <v>87</v>
      </c>
    </row>
    <row r="128">
      <c r="A128" s="2">
        <v>231.0</v>
      </c>
      <c r="B128" s="1">
        <f t="shared" si="6"/>
        <v>51</v>
      </c>
      <c r="C128" s="1">
        <f t="shared" si="7"/>
        <v>91</v>
      </c>
      <c r="D128" s="1">
        <f t="shared" si="8"/>
        <v>86</v>
      </c>
    </row>
    <row r="129">
      <c r="A129" s="2">
        <v>230.0</v>
      </c>
      <c r="B129" s="1">
        <f t="shared" si="6"/>
        <v>50</v>
      </c>
      <c r="C129" s="1">
        <f t="shared" si="7"/>
        <v>90</v>
      </c>
      <c r="D129" s="1">
        <f t="shared" si="8"/>
        <v>85</v>
      </c>
    </row>
    <row r="130">
      <c r="A130" s="2">
        <v>229.0</v>
      </c>
      <c r="B130" s="1">
        <f t="shared" si="6"/>
        <v>49</v>
      </c>
      <c r="C130" s="1">
        <f t="shared" si="7"/>
        <v>89</v>
      </c>
      <c r="D130" s="1">
        <f t="shared" si="8"/>
        <v>84</v>
      </c>
    </row>
    <row r="131">
      <c r="A131" s="2">
        <v>228.0</v>
      </c>
      <c r="B131" s="1">
        <f t="shared" si="6"/>
        <v>48</v>
      </c>
      <c r="C131" s="1">
        <f t="shared" si="7"/>
        <v>88</v>
      </c>
      <c r="D131" s="1">
        <f t="shared" si="8"/>
        <v>83</v>
      </c>
    </row>
    <row r="132">
      <c r="A132" s="2">
        <v>227.0</v>
      </c>
      <c r="B132" s="1">
        <f t="shared" si="6"/>
        <v>47</v>
      </c>
      <c r="C132" s="1">
        <f t="shared" si="7"/>
        <v>87</v>
      </c>
      <c r="D132" s="1">
        <f t="shared" si="8"/>
        <v>82</v>
      </c>
    </row>
    <row r="133">
      <c r="A133" s="2">
        <v>226.0</v>
      </c>
      <c r="B133" s="1">
        <f t="shared" si="6"/>
        <v>46</v>
      </c>
      <c r="C133" s="1">
        <f t="shared" si="7"/>
        <v>86</v>
      </c>
      <c r="D133" s="1">
        <f t="shared" si="8"/>
        <v>81</v>
      </c>
    </row>
    <row r="134">
      <c r="A134" s="2">
        <v>225.0</v>
      </c>
      <c r="B134" s="1">
        <f t="shared" si="6"/>
        <v>45</v>
      </c>
      <c r="C134" s="1">
        <f t="shared" si="7"/>
        <v>85</v>
      </c>
      <c r="D134" s="1">
        <f t="shared" si="8"/>
        <v>80</v>
      </c>
    </row>
    <row r="135">
      <c r="A135" s="2">
        <v>224.0</v>
      </c>
      <c r="B135" s="1">
        <f t="shared" si="6"/>
        <v>44</v>
      </c>
      <c r="C135" s="1">
        <f t="shared" si="7"/>
        <v>84</v>
      </c>
      <c r="D135" s="1">
        <f t="shared" si="8"/>
        <v>79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4.86"/>
    <col customWidth="1" min="4" max="5" width="4.29"/>
    <col customWidth="1" min="6" max="6" width="4.86"/>
    <col customWidth="1" min="7" max="22" width="4.29"/>
    <col customWidth="1" min="24" max="26" width="3.29"/>
    <col customWidth="1" min="27" max="29" width="4.29"/>
  </cols>
  <sheetData>
    <row r="1">
      <c r="A1" s="2"/>
      <c r="B1" s="2"/>
      <c r="C1" s="2" t="s">
        <v>52</v>
      </c>
      <c r="F1" s="2" t="s">
        <v>53</v>
      </c>
      <c r="G1" s="2"/>
      <c r="H1" s="2"/>
      <c r="I1" s="2" t="s">
        <v>54</v>
      </c>
      <c r="J1" s="2"/>
      <c r="K1" s="2">
        <v>100.0</v>
      </c>
      <c r="L1" s="2" t="s">
        <v>55</v>
      </c>
      <c r="M1" s="2">
        <v>140.0</v>
      </c>
      <c r="N1" s="2"/>
      <c r="O1" s="2" t="s">
        <v>56</v>
      </c>
      <c r="Q1" s="2"/>
      <c r="R1" s="2" t="s">
        <v>57</v>
      </c>
      <c r="T1" s="2"/>
      <c r="U1" s="2" t="s">
        <v>58</v>
      </c>
      <c r="W1" s="2">
        <v>501.0</v>
      </c>
    </row>
    <row r="2">
      <c r="B2" s="2"/>
      <c r="C2" s="2">
        <v>99.0</v>
      </c>
      <c r="D2" s="1">
        <f t="shared" ref="D2:D8" si="1">C2+20</f>
        <v>119</v>
      </c>
      <c r="E2" s="2">
        <v>139.0</v>
      </c>
      <c r="F2" s="14">
        <f t="shared" ref="F2:F8" si="2">C2+60</f>
        <v>159</v>
      </c>
      <c r="G2" s="2">
        <v>179.0</v>
      </c>
      <c r="H2" s="2">
        <v>199.0</v>
      </c>
      <c r="I2" s="1">
        <f t="shared" ref="I2:I8" si="3">F2+60</f>
        <v>219</v>
      </c>
      <c r="J2" s="10">
        <v>239.0</v>
      </c>
      <c r="K2" s="2">
        <v>259.0</v>
      </c>
      <c r="L2" s="1">
        <f t="shared" ref="L2:L8" si="4">I2+60</f>
        <v>279</v>
      </c>
      <c r="M2" s="14">
        <f t="shared" ref="M2:M8" si="5">L2+20</f>
        <v>299</v>
      </c>
      <c r="N2" s="10">
        <v>319.0</v>
      </c>
      <c r="O2" s="1">
        <f t="shared" ref="O2:O8" si="6">L2+60</f>
        <v>339</v>
      </c>
      <c r="P2" s="1">
        <f t="shared" ref="P2:P8" si="7">O2+20</f>
        <v>359</v>
      </c>
      <c r="Q2" s="2">
        <v>379.0</v>
      </c>
      <c r="R2" s="1">
        <f t="shared" ref="R2:R8" si="8">O2+60</f>
        <v>399</v>
      </c>
      <c r="S2" s="1">
        <f t="shared" ref="S2:S8" si="9">R2+20</f>
        <v>419</v>
      </c>
      <c r="T2" s="34">
        <v>439.0</v>
      </c>
      <c r="U2" s="1">
        <f t="shared" ref="U2:U8" si="10">R2+60</f>
        <v>459</v>
      </c>
      <c r="V2" s="5">
        <f t="shared" ref="V2:V8" si="11">U2+20</f>
        <v>479</v>
      </c>
      <c r="W2" s="12">
        <f t="shared" ref="W2:W8" si="12">W$1-V2</f>
        <v>22</v>
      </c>
      <c r="X2" s="1">
        <f t="shared" ref="X2:X8" si="13">W$1-U2</f>
        <v>42</v>
      </c>
      <c r="Y2" s="1">
        <f t="shared" ref="Y2:Y8" si="14">W$1-T2</f>
        <v>62</v>
      </c>
      <c r="Z2" s="1">
        <f t="shared" ref="Z2:Z8" si="15">W$1-S2</f>
        <v>82</v>
      </c>
      <c r="AA2" s="1">
        <f t="shared" ref="AA2:AA8" si="16">W$1-R2</f>
        <v>102</v>
      </c>
      <c r="AB2" s="1">
        <f>W$1-P2</f>
        <v>142</v>
      </c>
      <c r="AC2" s="1">
        <f t="shared" ref="AC2:AC8" si="17">W$1-O2</f>
        <v>162</v>
      </c>
    </row>
    <row r="3">
      <c r="B3" s="2"/>
      <c r="C3" s="2">
        <v>102.0</v>
      </c>
      <c r="D3" s="1">
        <f t="shared" si="1"/>
        <v>122</v>
      </c>
      <c r="E3" s="2">
        <v>142.0</v>
      </c>
      <c r="F3" s="14">
        <f t="shared" si="2"/>
        <v>162</v>
      </c>
      <c r="G3" s="2">
        <v>182.0</v>
      </c>
      <c r="H3" s="2">
        <v>202.0</v>
      </c>
      <c r="I3" s="1">
        <f t="shared" si="3"/>
        <v>222</v>
      </c>
      <c r="J3" s="10">
        <v>242.0</v>
      </c>
      <c r="K3" s="2">
        <v>262.0</v>
      </c>
      <c r="L3" s="1">
        <f t="shared" si="4"/>
        <v>282</v>
      </c>
      <c r="M3" s="14">
        <f t="shared" si="5"/>
        <v>302</v>
      </c>
      <c r="N3" s="10">
        <v>322.0</v>
      </c>
      <c r="O3" s="1">
        <f t="shared" si="6"/>
        <v>342</v>
      </c>
      <c r="P3" s="1">
        <f t="shared" si="7"/>
        <v>362</v>
      </c>
      <c r="Q3" s="2">
        <v>382.0</v>
      </c>
      <c r="R3" s="1">
        <f t="shared" si="8"/>
        <v>402</v>
      </c>
      <c r="S3" s="1">
        <f t="shared" si="9"/>
        <v>422</v>
      </c>
      <c r="T3" s="15">
        <v>442.0</v>
      </c>
      <c r="U3" s="1">
        <f t="shared" si="10"/>
        <v>462</v>
      </c>
      <c r="V3" s="1">
        <f t="shared" si="11"/>
        <v>482</v>
      </c>
      <c r="W3" s="1">
        <f t="shared" si="12"/>
        <v>19</v>
      </c>
      <c r="X3" s="1">
        <f t="shared" si="13"/>
        <v>39</v>
      </c>
      <c r="Y3" s="5">
        <f t="shared" si="14"/>
        <v>59</v>
      </c>
      <c r="Z3" s="1">
        <f t="shared" si="15"/>
        <v>79</v>
      </c>
      <c r="AA3" s="35">
        <f t="shared" si="16"/>
        <v>99</v>
      </c>
      <c r="AB3" s="1">
        <f t="shared" ref="AB3:AB8" si="18">W$1-Q3</f>
        <v>119</v>
      </c>
      <c r="AC3" s="1">
        <f t="shared" si="17"/>
        <v>159</v>
      </c>
    </row>
    <row r="4">
      <c r="A4" s="2"/>
      <c r="B4" s="2"/>
      <c r="C4" s="2">
        <v>103.0</v>
      </c>
      <c r="D4" s="1">
        <f t="shared" si="1"/>
        <v>123</v>
      </c>
      <c r="E4" s="2">
        <v>143.0</v>
      </c>
      <c r="F4" s="14">
        <f t="shared" si="2"/>
        <v>163</v>
      </c>
      <c r="G4" s="2">
        <v>183.0</v>
      </c>
      <c r="H4" s="2">
        <v>203.0</v>
      </c>
      <c r="I4" s="1">
        <f t="shared" si="3"/>
        <v>223</v>
      </c>
      <c r="J4" s="10">
        <v>243.0</v>
      </c>
      <c r="K4" s="2">
        <v>263.0</v>
      </c>
      <c r="L4" s="1">
        <f t="shared" si="4"/>
        <v>283</v>
      </c>
      <c r="M4" s="14">
        <f t="shared" si="5"/>
        <v>303</v>
      </c>
      <c r="N4" s="10">
        <v>323.0</v>
      </c>
      <c r="O4" s="1">
        <f t="shared" si="6"/>
        <v>343</v>
      </c>
      <c r="P4" s="1">
        <f t="shared" si="7"/>
        <v>363</v>
      </c>
      <c r="Q4" s="2">
        <v>383.0</v>
      </c>
      <c r="R4" s="1">
        <f t="shared" si="8"/>
        <v>403</v>
      </c>
      <c r="S4" s="1">
        <f t="shared" si="9"/>
        <v>423</v>
      </c>
      <c r="T4" s="15">
        <v>443.0</v>
      </c>
      <c r="U4" s="1">
        <f t="shared" si="10"/>
        <v>463</v>
      </c>
      <c r="V4" s="1">
        <f t="shared" si="11"/>
        <v>483</v>
      </c>
      <c r="W4" s="1">
        <f t="shared" si="12"/>
        <v>18</v>
      </c>
      <c r="X4" s="1">
        <f t="shared" si="13"/>
        <v>38</v>
      </c>
      <c r="Y4" s="5">
        <f t="shared" si="14"/>
        <v>58</v>
      </c>
      <c r="Z4" s="1">
        <f t="shared" si="15"/>
        <v>78</v>
      </c>
      <c r="AA4" s="1">
        <f t="shared" si="16"/>
        <v>98</v>
      </c>
      <c r="AB4" s="1">
        <f t="shared" si="18"/>
        <v>118</v>
      </c>
      <c r="AC4" s="1">
        <f t="shared" si="17"/>
        <v>158</v>
      </c>
    </row>
    <row r="5">
      <c r="A5" s="2"/>
      <c r="B5" s="2"/>
      <c r="C5" s="2">
        <v>105.0</v>
      </c>
      <c r="D5" s="1">
        <f t="shared" si="1"/>
        <v>125</v>
      </c>
      <c r="E5" s="2">
        <v>145.0</v>
      </c>
      <c r="F5" s="14">
        <f t="shared" si="2"/>
        <v>165</v>
      </c>
      <c r="G5" s="2">
        <v>185.0</v>
      </c>
      <c r="H5" s="2">
        <v>205.0</v>
      </c>
      <c r="I5" s="1">
        <f t="shared" si="3"/>
        <v>225</v>
      </c>
      <c r="J5" s="10">
        <v>245.0</v>
      </c>
      <c r="K5" s="2">
        <v>265.0</v>
      </c>
      <c r="L5" s="1">
        <f t="shared" si="4"/>
        <v>285</v>
      </c>
      <c r="M5" s="14">
        <f t="shared" si="5"/>
        <v>305</v>
      </c>
      <c r="N5" s="10">
        <v>325.0</v>
      </c>
      <c r="O5" s="1">
        <f t="shared" si="6"/>
        <v>345</v>
      </c>
      <c r="P5" s="1">
        <f t="shared" si="7"/>
        <v>365</v>
      </c>
      <c r="Q5" s="2">
        <v>385.0</v>
      </c>
      <c r="R5" s="1">
        <f t="shared" si="8"/>
        <v>405</v>
      </c>
      <c r="S5" s="1">
        <f t="shared" si="9"/>
        <v>425</v>
      </c>
      <c r="T5" s="2">
        <v>445.0</v>
      </c>
      <c r="U5" s="1">
        <f t="shared" si="10"/>
        <v>465</v>
      </c>
      <c r="V5" s="1">
        <f t="shared" si="11"/>
        <v>485</v>
      </c>
      <c r="W5" s="1">
        <f t="shared" si="12"/>
        <v>16</v>
      </c>
      <c r="X5" s="1">
        <f t="shared" si="13"/>
        <v>36</v>
      </c>
      <c r="Y5" s="1">
        <f t="shared" si="14"/>
        <v>56</v>
      </c>
      <c r="Z5" s="1">
        <f t="shared" si="15"/>
        <v>76</v>
      </c>
      <c r="AA5" s="35">
        <f t="shared" si="16"/>
        <v>96</v>
      </c>
      <c r="AB5" s="1">
        <f t="shared" si="18"/>
        <v>116</v>
      </c>
      <c r="AC5" s="1">
        <f t="shared" si="17"/>
        <v>156</v>
      </c>
    </row>
    <row r="6">
      <c r="A6" s="2"/>
      <c r="B6" s="2"/>
      <c r="C6" s="2">
        <v>106.0</v>
      </c>
      <c r="D6" s="1">
        <f t="shared" si="1"/>
        <v>126</v>
      </c>
      <c r="E6" s="2">
        <v>146.0</v>
      </c>
      <c r="F6" s="14">
        <f t="shared" si="2"/>
        <v>166</v>
      </c>
      <c r="G6" s="2">
        <v>186.0</v>
      </c>
      <c r="H6" s="2">
        <v>206.0</v>
      </c>
      <c r="I6" s="1">
        <f t="shared" si="3"/>
        <v>226</v>
      </c>
      <c r="J6" s="10">
        <v>246.0</v>
      </c>
      <c r="K6" s="2">
        <v>266.0</v>
      </c>
      <c r="L6" s="1">
        <f t="shared" si="4"/>
        <v>286</v>
      </c>
      <c r="M6" s="14">
        <f t="shared" si="5"/>
        <v>306</v>
      </c>
      <c r="N6" s="10">
        <v>326.0</v>
      </c>
      <c r="O6" s="1">
        <f t="shared" si="6"/>
        <v>346</v>
      </c>
      <c r="P6" s="1">
        <f t="shared" si="7"/>
        <v>366</v>
      </c>
      <c r="Q6" s="2">
        <v>386.0</v>
      </c>
      <c r="R6" s="1">
        <f t="shared" si="8"/>
        <v>406</v>
      </c>
      <c r="S6" s="1">
        <f t="shared" si="9"/>
        <v>426</v>
      </c>
      <c r="T6" s="15">
        <v>446.0</v>
      </c>
      <c r="U6" s="5">
        <f t="shared" si="10"/>
        <v>466</v>
      </c>
      <c r="V6" s="5">
        <f t="shared" si="11"/>
        <v>486</v>
      </c>
      <c r="W6" s="12">
        <f t="shared" si="12"/>
        <v>15</v>
      </c>
      <c r="X6" s="5">
        <f t="shared" si="13"/>
        <v>35</v>
      </c>
      <c r="Y6" s="5">
        <f t="shared" si="14"/>
        <v>55</v>
      </c>
      <c r="Z6" s="1">
        <f t="shared" si="15"/>
        <v>75</v>
      </c>
      <c r="AA6" s="35">
        <f t="shared" si="16"/>
        <v>95</v>
      </c>
      <c r="AB6" s="1">
        <f t="shared" si="18"/>
        <v>115</v>
      </c>
      <c r="AC6" s="1">
        <f t="shared" si="17"/>
        <v>155</v>
      </c>
    </row>
    <row r="7">
      <c r="A7" s="2"/>
      <c r="B7" s="2"/>
      <c r="C7" s="2">
        <v>108.0</v>
      </c>
      <c r="D7" s="1">
        <f t="shared" si="1"/>
        <v>128</v>
      </c>
      <c r="E7" s="2">
        <v>148.0</v>
      </c>
      <c r="F7" s="14">
        <f t="shared" si="2"/>
        <v>168</v>
      </c>
      <c r="G7" s="2">
        <v>188.0</v>
      </c>
      <c r="H7" s="2">
        <v>208.0</v>
      </c>
      <c r="I7" s="1">
        <f t="shared" si="3"/>
        <v>228</v>
      </c>
      <c r="J7" s="10">
        <v>248.0</v>
      </c>
      <c r="K7" s="2">
        <v>268.0</v>
      </c>
      <c r="L7" s="1">
        <f t="shared" si="4"/>
        <v>288</v>
      </c>
      <c r="M7" s="14">
        <f t="shared" si="5"/>
        <v>308</v>
      </c>
      <c r="N7" s="10">
        <v>328.0</v>
      </c>
      <c r="O7" s="1">
        <f t="shared" si="6"/>
        <v>348</v>
      </c>
      <c r="P7" s="1">
        <f t="shared" si="7"/>
        <v>368</v>
      </c>
      <c r="Q7" s="2">
        <v>388.0</v>
      </c>
      <c r="R7" s="1">
        <f t="shared" si="8"/>
        <v>408</v>
      </c>
      <c r="S7" s="1">
        <f t="shared" si="9"/>
        <v>428</v>
      </c>
      <c r="T7" s="2">
        <v>448.0</v>
      </c>
      <c r="U7" s="1">
        <f t="shared" si="10"/>
        <v>468</v>
      </c>
      <c r="V7" s="1">
        <f t="shared" si="11"/>
        <v>488</v>
      </c>
      <c r="W7" s="1">
        <f t="shared" si="12"/>
        <v>13</v>
      </c>
      <c r="X7" s="1">
        <f t="shared" si="13"/>
        <v>33</v>
      </c>
      <c r="Y7" s="1">
        <f t="shared" si="14"/>
        <v>53</v>
      </c>
      <c r="Z7" s="1">
        <f t="shared" si="15"/>
        <v>73</v>
      </c>
      <c r="AA7" s="1">
        <f t="shared" si="16"/>
        <v>93</v>
      </c>
      <c r="AB7" s="1">
        <f t="shared" si="18"/>
        <v>113</v>
      </c>
      <c r="AC7" s="1">
        <f t="shared" si="17"/>
        <v>153</v>
      </c>
    </row>
    <row r="8">
      <c r="A8" s="2"/>
      <c r="B8" s="2"/>
      <c r="C8" s="2">
        <v>109.0</v>
      </c>
      <c r="D8" s="1">
        <f t="shared" si="1"/>
        <v>129</v>
      </c>
      <c r="E8" s="2">
        <v>149.0</v>
      </c>
      <c r="F8" s="14">
        <f t="shared" si="2"/>
        <v>169</v>
      </c>
      <c r="G8" s="2">
        <v>189.0</v>
      </c>
      <c r="H8" s="2">
        <v>209.0</v>
      </c>
      <c r="I8" s="1">
        <f t="shared" si="3"/>
        <v>229</v>
      </c>
      <c r="J8" s="10">
        <v>249.0</v>
      </c>
      <c r="K8" s="2">
        <v>269.0</v>
      </c>
      <c r="L8" s="1">
        <f t="shared" si="4"/>
        <v>289</v>
      </c>
      <c r="M8" s="14">
        <f t="shared" si="5"/>
        <v>309</v>
      </c>
      <c r="N8" s="10">
        <v>329.0</v>
      </c>
      <c r="O8" s="1">
        <f t="shared" si="6"/>
        <v>349</v>
      </c>
      <c r="P8" s="1">
        <f t="shared" si="7"/>
        <v>369</v>
      </c>
      <c r="Q8" s="2">
        <v>389.0</v>
      </c>
      <c r="R8" s="1">
        <f t="shared" si="8"/>
        <v>409</v>
      </c>
      <c r="S8" s="1">
        <f t="shared" si="9"/>
        <v>429</v>
      </c>
      <c r="T8" s="2">
        <v>449.0</v>
      </c>
      <c r="U8" s="1">
        <f t="shared" si="10"/>
        <v>469</v>
      </c>
      <c r="V8" s="1">
        <f t="shared" si="11"/>
        <v>489</v>
      </c>
      <c r="W8" s="1">
        <f t="shared" si="12"/>
        <v>12</v>
      </c>
      <c r="X8" s="1">
        <f t="shared" si="13"/>
        <v>32</v>
      </c>
      <c r="Y8" s="1">
        <f t="shared" si="14"/>
        <v>52</v>
      </c>
      <c r="Z8" s="1">
        <f t="shared" si="15"/>
        <v>72</v>
      </c>
      <c r="AA8" s="1">
        <f t="shared" si="16"/>
        <v>92</v>
      </c>
      <c r="AB8" s="1">
        <f t="shared" si="18"/>
        <v>112</v>
      </c>
      <c r="AC8" s="1">
        <f t="shared" si="17"/>
        <v>152</v>
      </c>
    </row>
    <row r="9">
      <c r="C9" s="2">
        <v>110.0</v>
      </c>
      <c r="D9" s="2">
        <v>130.0</v>
      </c>
      <c r="E9" s="2">
        <v>150.0</v>
      </c>
      <c r="F9" s="2">
        <v>170.0</v>
      </c>
      <c r="G9" s="2">
        <v>190.0</v>
      </c>
      <c r="H9" s="2">
        <v>210.0</v>
      </c>
      <c r="I9" s="2">
        <v>230.0</v>
      </c>
      <c r="J9" s="2">
        <v>250.0</v>
      </c>
      <c r="K9" s="2">
        <v>270.0</v>
      </c>
      <c r="L9" s="2">
        <v>290.0</v>
      </c>
      <c r="M9" s="2">
        <v>310.0</v>
      </c>
      <c r="N9" s="10">
        <v>330.0</v>
      </c>
      <c r="O9" s="2">
        <v>350.0</v>
      </c>
      <c r="P9" s="2">
        <v>370.0</v>
      </c>
      <c r="Q9" s="2">
        <v>390.0</v>
      </c>
      <c r="R9" s="2">
        <v>410.0</v>
      </c>
      <c r="S9" s="2">
        <v>430.0</v>
      </c>
      <c r="T9" s="2">
        <v>450.0</v>
      </c>
      <c r="U9" s="2">
        <v>470.0</v>
      </c>
      <c r="V9" s="2">
        <v>490.0</v>
      </c>
    </row>
    <row r="10">
      <c r="F10" s="2">
        <v>18.0</v>
      </c>
      <c r="I10" s="2">
        <v>16.0</v>
      </c>
      <c r="L10" s="2">
        <v>15.0</v>
      </c>
      <c r="N10" s="11"/>
      <c r="O10" s="2">
        <v>14.0</v>
      </c>
      <c r="R10" s="2">
        <v>13.0</v>
      </c>
      <c r="U10" s="2" t="s">
        <v>144</v>
      </c>
    </row>
    <row r="11">
      <c r="F11" s="2">
        <v>3.0</v>
      </c>
      <c r="I11" s="2">
        <v>4.0</v>
      </c>
      <c r="L11" s="2">
        <v>5.0</v>
      </c>
      <c r="O11" s="2">
        <v>6.0</v>
      </c>
      <c r="R11" s="2">
        <v>7.0</v>
      </c>
      <c r="U11" s="2">
        <v>8.0</v>
      </c>
    </row>
    <row r="12">
      <c r="B12" s="2">
        <v>1.0</v>
      </c>
      <c r="C12" s="2">
        <v>1.0</v>
      </c>
      <c r="D12" s="2">
        <v>1.0</v>
      </c>
      <c r="E12" s="2">
        <v>1.0</v>
      </c>
      <c r="F12" s="2">
        <v>1.0</v>
      </c>
      <c r="G12" s="2">
        <v>2.0</v>
      </c>
      <c r="H12" s="2">
        <v>2.0</v>
      </c>
      <c r="I12" s="2">
        <v>2.0</v>
      </c>
      <c r="J12" s="2">
        <v>2.0</v>
      </c>
      <c r="K12" s="2">
        <v>2.0</v>
      </c>
      <c r="L12" s="2">
        <v>2.0</v>
      </c>
      <c r="M12" s="2">
        <v>2.0</v>
      </c>
      <c r="N12" s="2">
        <v>2.0</v>
      </c>
      <c r="O12" s="2">
        <v>2.0</v>
      </c>
      <c r="P12" s="2">
        <v>3.0</v>
      </c>
      <c r="Q12" s="2">
        <v>3.0</v>
      </c>
      <c r="R12" s="2">
        <v>3.0</v>
      </c>
      <c r="S12" s="2">
        <v>3.0</v>
      </c>
      <c r="T12" s="2">
        <v>3.0</v>
      </c>
      <c r="U12" s="2">
        <v>3.0</v>
      </c>
      <c r="V12" s="2">
        <v>3.0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86"/>
    <col customWidth="1" min="12" max="12" width="16.57"/>
    <col customWidth="1" min="13" max="13" width="10.14"/>
    <col customWidth="1" min="14" max="14" width="4.29"/>
  </cols>
  <sheetData>
    <row r="1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</row>
    <row r="2">
      <c r="A2" s="2">
        <v>1.0</v>
      </c>
      <c r="B2" s="2">
        <v>1.0</v>
      </c>
      <c r="C2" s="1">
        <f t="shared" ref="C2:C33" si="1"> (501/B2) </f>
        <v>501</v>
      </c>
      <c r="E2" s="2" t="s">
        <v>150</v>
      </c>
      <c r="I2" s="2"/>
      <c r="J2" s="2"/>
      <c r="K2" s="2"/>
      <c r="L2" s="2"/>
      <c r="M2" s="2"/>
      <c r="N2" s="2"/>
    </row>
    <row r="3">
      <c r="A3" s="2">
        <v>1.0</v>
      </c>
      <c r="B3" s="2">
        <v>2.0</v>
      </c>
      <c r="C3" s="1">
        <f t="shared" si="1"/>
        <v>250.5</v>
      </c>
      <c r="D3" s="2"/>
      <c r="E3" s="2" t="s">
        <v>150</v>
      </c>
      <c r="I3" s="2"/>
      <c r="J3" s="2"/>
      <c r="K3" s="2"/>
      <c r="L3" s="2"/>
      <c r="M3" s="2"/>
      <c r="N3" s="2"/>
    </row>
    <row r="4">
      <c r="A4" s="2">
        <v>1.0</v>
      </c>
      <c r="B4" s="2">
        <v>3.0</v>
      </c>
      <c r="C4" s="1">
        <f t="shared" si="1"/>
        <v>167</v>
      </c>
      <c r="D4" s="2"/>
      <c r="E4" s="2" t="s">
        <v>150</v>
      </c>
      <c r="I4" s="2"/>
      <c r="J4" s="2"/>
      <c r="K4" s="2"/>
      <c r="L4" s="2"/>
      <c r="M4" s="2"/>
      <c r="N4" s="2"/>
    </row>
    <row r="5">
      <c r="A5" s="2">
        <v>2.0</v>
      </c>
      <c r="B5" s="2">
        <v>4.0</v>
      </c>
      <c r="C5" s="1">
        <f t="shared" si="1"/>
        <v>125.25</v>
      </c>
      <c r="D5" s="2"/>
      <c r="E5" s="2" t="s">
        <v>150</v>
      </c>
      <c r="I5" s="2"/>
      <c r="J5" s="2"/>
      <c r="K5" s="2"/>
      <c r="L5" s="2"/>
      <c r="M5" s="2"/>
      <c r="N5" s="2"/>
    </row>
    <row r="6">
      <c r="A6" s="2">
        <v>2.0</v>
      </c>
      <c r="B6" s="2">
        <v>5.0</v>
      </c>
      <c r="C6" s="1">
        <f t="shared" si="1"/>
        <v>100.2</v>
      </c>
      <c r="D6" s="2"/>
      <c r="E6" s="2" t="s">
        <v>150</v>
      </c>
      <c r="I6" s="2"/>
      <c r="J6" s="2"/>
      <c r="K6" s="2"/>
      <c r="L6" s="2"/>
      <c r="M6" s="2"/>
      <c r="N6" s="2"/>
    </row>
    <row r="7">
      <c r="A7" s="2">
        <v>2.0</v>
      </c>
      <c r="B7" s="2">
        <v>6.0</v>
      </c>
      <c r="C7" s="1">
        <f t="shared" si="1"/>
        <v>83.5</v>
      </c>
      <c r="D7" s="2"/>
      <c r="E7" s="2" t="s">
        <v>150</v>
      </c>
      <c r="I7" s="2"/>
      <c r="J7" s="2"/>
      <c r="K7" s="2"/>
      <c r="L7" s="2"/>
      <c r="M7" s="2"/>
      <c r="N7" s="2"/>
    </row>
    <row r="8">
      <c r="A8" s="2">
        <v>3.0</v>
      </c>
      <c r="B8" s="2">
        <v>7.0</v>
      </c>
      <c r="C8" s="1">
        <f t="shared" si="1"/>
        <v>71.57142857</v>
      </c>
      <c r="D8" s="2"/>
      <c r="E8" s="2" t="s">
        <v>150</v>
      </c>
      <c r="I8" s="2"/>
      <c r="J8" s="2"/>
      <c r="K8" s="2"/>
      <c r="L8" s="2"/>
      <c r="M8" s="2"/>
      <c r="N8" s="2"/>
    </row>
    <row r="9">
      <c r="A9" s="2">
        <v>3.0</v>
      </c>
      <c r="B9" s="2">
        <v>8.0</v>
      </c>
      <c r="C9" s="1">
        <f t="shared" si="1"/>
        <v>62.625</v>
      </c>
      <c r="D9" s="2"/>
      <c r="E9" s="2" t="s">
        <v>150</v>
      </c>
      <c r="I9" s="2"/>
      <c r="J9" s="2"/>
      <c r="K9" s="2"/>
      <c r="L9" s="2"/>
      <c r="M9" s="2"/>
      <c r="N9" s="2"/>
    </row>
    <row r="10">
      <c r="A10" s="2">
        <v>3.0</v>
      </c>
      <c r="B10" s="2">
        <v>9.0</v>
      </c>
      <c r="C10" s="1">
        <f t="shared" si="1"/>
        <v>55.66666667</v>
      </c>
      <c r="D10" s="2">
        <f t="shared" ref="D10:D33" si="2">C10*3</f>
        <v>167</v>
      </c>
      <c r="E10" s="2" t="s">
        <v>150</v>
      </c>
      <c r="I10" s="2" t="s">
        <v>145</v>
      </c>
      <c r="J10" s="2" t="s">
        <v>151</v>
      </c>
      <c r="K10" s="2" t="s">
        <v>152</v>
      </c>
      <c r="L10" s="2" t="s">
        <v>153</v>
      </c>
      <c r="M10" s="2" t="s">
        <v>34</v>
      </c>
      <c r="N10" s="2" t="s">
        <v>34</v>
      </c>
    </row>
    <row r="11">
      <c r="A11" s="2">
        <v>4.0</v>
      </c>
      <c r="B11" s="2">
        <v>10.0</v>
      </c>
      <c r="C11" s="1">
        <f t="shared" si="1"/>
        <v>50.1</v>
      </c>
      <c r="D11" s="2">
        <f t="shared" si="2"/>
        <v>150.3</v>
      </c>
      <c r="E11" s="2" t="s">
        <v>154</v>
      </c>
      <c r="H11" s="2" t="s">
        <v>155</v>
      </c>
      <c r="I11" s="2" t="s">
        <v>156</v>
      </c>
      <c r="J11" s="2" t="s">
        <v>157</v>
      </c>
      <c r="K11" s="2" t="s">
        <v>158</v>
      </c>
      <c r="L11" s="2" t="s">
        <v>114</v>
      </c>
      <c r="M11" s="2" t="s">
        <v>34</v>
      </c>
      <c r="N11" s="2" t="s">
        <v>34</v>
      </c>
    </row>
    <row r="12">
      <c r="A12" s="2">
        <v>4.0</v>
      </c>
      <c r="B12" s="2">
        <v>11.0</v>
      </c>
      <c r="C12" s="1">
        <f t="shared" si="1"/>
        <v>45.54545455</v>
      </c>
      <c r="D12" s="2">
        <f t="shared" si="2"/>
        <v>136.6363636</v>
      </c>
      <c r="E12" s="2" t="s">
        <v>154</v>
      </c>
      <c r="H12" s="2" t="s">
        <v>159</v>
      </c>
      <c r="I12" s="2" t="s">
        <v>160</v>
      </c>
      <c r="J12" s="2" t="s">
        <v>161</v>
      </c>
      <c r="K12" s="2">
        <v>170.0</v>
      </c>
      <c r="L12" s="2" t="s">
        <v>162</v>
      </c>
    </row>
    <row r="13">
      <c r="A13" s="2">
        <v>4.0</v>
      </c>
      <c r="B13" s="2">
        <v>12.0</v>
      </c>
      <c r="C13" s="1">
        <f t="shared" si="1"/>
        <v>41.75</v>
      </c>
      <c r="D13" s="2">
        <f t="shared" si="2"/>
        <v>125.25</v>
      </c>
      <c r="E13" s="2" t="s">
        <v>154</v>
      </c>
      <c r="H13" s="2" t="s">
        <v>163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34</v>
      </c>
      <c r="N13" s="2" t="s">
        <v>34</v>
      </c>
      <c r="O13" s="2" t="s">
        <v>34</v>
      </c>
    </row>
    <row r="14">
      <c r="A14" s="2">
        <v>5.0</v>
      </c>
      <c r="B14" s="2">
        <v>13.0</v>
      </c>
      <c r="C14" s="1">
        <f t="shared" si="1"/>
        <v>38.53846154</v>
      </c>
      <c r="D14" s="2">
        <f t="shared" si="2"/>
        <v>115.6153846</v>
      </c>
      <c r="E14" s="2" t="s">
        <v>154</v>
      </c>
      <c r="H14" s="2" t="s">
        <v>168</v>
      </c>
      <c r="I14" s="2" t="s">
        <v>169</v>
      </c>
      <c r="J14" s="2" t="s">
        <v>165</v>
      </c>
      <c r="K14" s="2" t="s">
        <v>170</v>
      </c>
      <c r="L14" s="2" t="s">
        <v>171</v>
      </c>
      <c r="M14" s="2" t="s">
        <v>34</v>
      </c>
      <c r="N14" s="2" t="s">
        <v>34</v>
      </c>
    </row>
    <row r="15">
      <c r="A15" s="2">
        <v>5.0</v>
      </c>
      <c r="B15" s="2">
        <v>14.0</v>
      </c>
      <c r="C15" s="1">
        <f t="shared" si="1"/>
        <v>35.78571429</v>
      </c>
      <c r="D15" s="2">
        <f t="shared" si="2"/>
        <v>107.3571429</v>
      </c>
      <c r="E15" s="2" t="s">
        <v>154</v>
      </c>
    </row>
    <row r="16">
      <c r="A16" s="2">
        <v>5.0</v>
      </c>
      <c r="B16" s="2">
        <v>15.0</v>
      </c>
      <c r="C16" s="1">
        <f t="shared" si="1"/>
        <v>33.4</v>
      </c>
      <c r="D16" s="2">
        <f t="shared" si="2"/>
        <v>100.2</v>
      </c>
      <c r="E16" s="2" t="s">
        <v>154</v>
      </c>
    </row>
    <row r="17">
      <c r="A17" s="2">
        <v>6.0</v>
      </c>
      <c r="B17" s="2">
        <v>16.0</v>
      </c>
      <c r="C17" s="1">
        <f t="shared" si="1"/>
        <v>31.3125</v>
      </c>
      <c r="D17" s="2">
        <f t="shared" si="2"/>
        <v>93.9375</v>
      </c>
      <c r="E17" s="2" t="s">
        <v>154</v>
      </c>
    </row>
    <row r="18">
      <c r="A18" s="2">
        <v>6.0</v>
      </c>
      <c r="B18" s="2">
        <v>17.0</v>
      </c>
      <c r="C18" s="1">
        <f t="shared" si="1"/>
        <v>29.47058824</v>
      </c>
      <c r="D18" s="2">
        <f t="shared" si="2"/>
        <v>88.41176471</v>
      </c>
      <c r="E18" s="2" t="s">
        <v>154</v>
      </c>
    </row>
    <row r="19">
      <c r="A19" s="2">
        <v>6.0</v>
      </c>
      <c r="B19" s="2">
        <v>18.0</v>
      </c>
      <c r="C19" s="1">
        <f t="shared" si="1"/>
        <v>27.83333333</v>
      </c>
      <c r="D19" s="2">
        <f t="shared" si="2"/>
        <v>83.5</v>
      </c>
      <c r="E19" s="2" t="s">
        <v>168</v>
      </c>
      <c r="F19" s="2" t="s">
        <v>172</v>
      </c>
    </row>
    <row r="20">
      <c r="A20" s="2">
        <v>7.0</v>
      </c>
      <c r="B20" s="2">
        <v>19.0</v>
      </c>
      <c r="C20" s="1">
        <f t="shared" si="1"/>
        <v>26.36842105</v>
      </c>
      <c r="D20" s="2">
        <f t="shared" si="2"/>
        <v>79.10526316</v>
      </c>
      <c r="E20" s="2" t="s">
        <v>173</v>
      </c>
      <c r="H20" s="2">
        <v>501.0</v>
      </c>
      <c r="I20" s="2">
        <v>501.0</v>
      </c>
    </row>
    <row r="21">
      <c r="A21" s="2">
        <v>7.0</v>
      </c>
      <c r="B21" s="2">
        <v>20.0</v>
      </c>
      <c r="C21" s="1">
        <f t="shared" si="1"/>
        <v>25.05</v>
      </c>
      <c r="D21" s="2">
        <f t="shared" si="2"/>
        <v>75.15</v>
      </c>
      <c r="E21" s="2" t="s">
        <v>173</v>
      </c>
      <c r="F21" s="1">
        <f>C19-C21</f>
        <v>2.783333333</v>
      </c>
      <c r="H21" s="2">
        <v>88.2</v>
      </c>
      <c r="I21" s="2">
        <v>83.5</v>
      </c>
    </row>
    <row r="22">
      <c r="A22" s="2">
        <v>7.0</v>
      </c>
      <c r="B22" s="2">
        <v>21.0</v>
      </c>
      <c r="C22" s="1">
        <f t="shared" si="1"/>
        <v>23.85714286</v>
      </c>
      <c r="D22" s="2">
        <f t="shared" si="2"/>
        <v>71.57142857</v>
      </c>
      <c r="E22" s="2" t="s">
        <v>173</v>
      </c>
      <c r="H22" s="1">
        <f t="shared" ref="H22:I22" si="3">H20/H21</f>
        <v>5.680272109</v>
      </c>
      <c r="I22" s="1">
        <f t="shared" si="3"/>
        <v>6</v>
      </c>
    </row>
    <row r="23">
      <c r="A23" s="2">
        <v>8.0</v>
      </c>
      <c r="B23" s="2">
        <v>22.0</v>
      </c>
      <c r="C23" s="1">
        <f t="shared" si="1"/>
        <v>22.77272727</v>
      </c>
      <c r="D23" s="2">
        <f t="shared" si="2"/>
        <v>68.31818182</v>
      </c>
      <c r="E23" s="2" t="s">
        <v>174</v>
      </c>
    </row>
    <row r="24">
      <c r="A24" s="2">
        <v>8.0</v>
      </c>
      <c r="B24" s="2">
        <v>23.0</v>
      </c>
      <c r="C24" s="1">
        <f t="shared" si="1"/>
        <v>21.7826087</v>
      </c>
      <c r="D24" s="2">
        <f t="shared" si="2"/>
        <v>65.34782609</v>
      </c>
      <c r="E24" s="2" t="s">
        <v>174</v>
      </c>
    </row>
    <row r="25">
      <c r="A25" s="2">
        <v>8.0</v>
      </c>
      <c r="B25" s="2">
        <v>24.0</v>
      </c>
      <c r="C25" s="1">
        <f t="shared" si="1"/>
        <v>20.875</v>
      </c>
      <c r="D25" s="2">
        <f t="shared" si="2"/>
        <v>62.625</v>
      </c>
      <c r="E25" s="2" t="s">
        <v>174</v>
      </c>
    </row>
    <row r="26">
      <c r="A26" s="2">
        <v>9.0</v>
      </c>
      <c r="B26" s="2">
        <v>25.0</v>
      </c>
      <c r="C26" s="1">
        <f t="shared" si="1"/>
        <v>20.04</v>
      </c>
      <c r="D26" s="2">
        <f t="shared" si="2"/>
        <v>60.12</v>
      </c>
      <c r="E26" s="2" t="s">
        <v>174</v>
      </c>
    </row>
    <row r="27">
      <c r="A27" s="2">
        <v>9.0</v>
      </c>
      <c r="B27" s="2">
        <v>26.0</v>
      </c>
      <c r="C27" s="1">
        <f t="shared" si="1"/>
        <v>19.26923077</v>
      </c>
      <c r="D27" s="2">
        <f t="shared" si="2"/>
        <v>57.80769231</v>
      </c>
      <c r="E27" s="2" t="s">
        <v>174</v>
      </c>
    </row>
    <row r="28">
      <c r="A28" s="2">
        <v>9.0</v>
      </c>
      <c r="B28" s="2">
        <v>27.0</v>
      </c>
      <c r="C28" s="1">
        <f t="shared" si="1"/>
        <v>18.55555556</v>
      </c>
      <c r="D28" s="2">
        <f t="shared" si="2"/>
        <v>55.66666667</v>
      </c>
      <c r="E28" s="2" t="s">
        <v>175</v>
      </c>
    </row>
    <row r="29">
      <c r="B29" s="2">
        <v>28.0</v>
      </c>
      <c r="C29" s="1">
        <f t="shared" si="1"/>
        <v>17.89285714</v>
      </c>
      <c r="D29" s="2">
        <f t="shared" si="2"/>
        <v>53.67857143</v>
      </c>
    </row>
    <row r="30">
      <c r="B30" s="2">
        <v>29.0</v>
      </c>
      <c r="C30" s="1">
        <f t="shared" si="1"/>
        <v>17.27586207</v>
      </c>
      <c r="D30" s="2">
        <f t="shared" si="2"/>
        <v>51.82758621</v>
      </c>
    </row>
    <row r="31">
      <c r="B31" s="2">
        <v>30.0</v>
      </c>
      <c r="C31" s="1">
        <f t="shared" si="1"/>
        <v>16.7</v>
      </c>
      <c r="D31" s="2">
        <f t="shared" si="2"/>
        <v>50.1</v>
      </c>
    </row>
    <row r="32">
      <c r="B32" s="2">
        <v>31.0</v>
      </c>
      <c r="C32" s="1">
        <f t="shared" si="1"/>
        <v>16.16129032</v>
      </c>
      <c r="D32" s="2">
        <f t="shared" si="2"/>
        <v>48.48387097</v>
      </c>
    </row>
    <row r="33">
      <c r="B33" s="2">
        <v>32.0</v>
      </c>
      <c r="C33" s="1">
        <f t="shared" si="1"/>
        <v>15.65625</v>
      </c>
      <c r="D33" s="2">
        <f t="shared" si="2"/>
        <v>46.96875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2013-12-09T14:31:37Z</dcterms:created>
  <dc:creator>Sander van Ockenburg-Zwaan</dc:creator>
</cp:coreProperties>
</file>