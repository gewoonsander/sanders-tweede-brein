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ate1904="1"/>
  <mc:AlternateContent xmlns:mc="http://schemas.openxmlformats.org/markup-compatibility/2006">
    <mc:Choice Requires="x15">
      <x15ac:absPath xmlns:x15ac="http://schemas.microsoft.com/office/spreadsheetml/2010/11/ac" url="C:\Users\Nick.vanIersel\Downloads\"/>
    </mc:Choice>
  </mc:AlternateContent>
  <xr:revisionPtr revIDLastSave="0" documentId="8_{26AD9A66-6112-4677-A59C-F3F0389D6154}" xr6:coauthVersionLast="36" xr6:coauthVersionMax="36" xr10:uidLastSave="{00000000-0000-0000-0000-000000000000}"/>
  <bookViews>
    <workbookView xWindow="0" yWindow="0" windowWidth="19200" windowHeight="6350" activeTab="2" xr2:uid="{00000000-000D-0000-FFFF-FFFF00000000}"/>
  </bookViews>
  <sheets>
    <sheet name="Calculator vetverlies" sheetId="5" r:id="rId1"/>
    <sheet name="Dagelijks gewicht" sheetId="3" r:id="rId2"/>
    <sheet name="Progressie Tabel" sheetId="1" r:id="rId3"/>
    <sheet name="Calculator onderhoud" sheetId="7" r:id="rId4"/>
    <sheet name="Training Data" sheetId="2" r:id="rId5"/>
  </sheets>
  <definedNames>
    <definedName name="_xlnm.Print_Area" localSheetId="3">'Calculator onderhoud'!$A$1:$AM$50</definedName>
    <definedName name="_xlnm.Print_Area" localSheetId="0">'Calculator vetverlies'!$A$1:$AM$50</definedName>
    <definedName name="Calendar">DaysAndWeeks</definedName>
    <definedName name="CalendarYear" localSheetId="3">'Calculator onderhoud'!$A$1</definedName>
    <definedName name="CalendarYear">'Calculator vetverlies'!$A$1</definedName>
    <definedName name="DateToday" localSheetId="3">'Calculator onderhoud'!$I$2</definedName>
    <definedName name="DateToday">'Calculator vetverlies'!$I$2</definedName>
    <definedName name="DaysAndWeeks">{0,1,2,3,4,5,6,7,8,9,10,11,12,13,14,15,16,17,18,19,20,21,22,23,24,25,26,27,28,29,30,31}</definedName>
    <definedName name="ImportantDates" localSheetId="3">'Calculator onderhoud'!$A$5:$A$49</definedName>
    <definedName name="ImportantDates">'Calculator vetverlies'!$A$5:$A$49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31" i="1" l="1"/>
  <c r="S31" i="1" l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C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C15" i="1"/>
  <c r="S29" i="1"/>
  <c r="S30" i="1" s="1"/>
  <c r="R29" i="1"/>
  <c r="R30" i="1" s="1"/>
  <c r="Q29" i="1"/>
  <c r="Q30" i="1" s="1"/>
  <c r="P29" i="1"/>
  <c r="P30" i="1" s="1"/>
  <c r="O29" i="1"/>
  <c r="O30" i="1" s="1"/>
  <c r="N29" i="1"/>
  <c r="N30" i="1" s="1"/>
  <c r="M29" i="1"/>
  <c r="M30" i="1" s="1"/>
  <c r="L29" i="1"/>
  <c r="L30" i="1" s="1"/>
  <c r="K29" i="1"/>
  <c r="K30" i="1" s="1"/>
  <c r="J29" i="1"/>
  <c r="J30" i="1" s="1"/>
  <c r="I29" i="1"/>
  <c r="I30" i="1" s="1"/>
  <c r="H29" i="1"/>
  <c r="G29" i="1"/>
  <c r="F29" i="1"/>
  <c r="E29" i="1"/>
  <c r="D29" i="1"/>
  <c r="C29" i="1"/>
  <c r="C2" i="1"/>
  <c r="H30" i="1" l="1"/>
  <c r="G30" i="1"/>
  <c r="F30" i="1"/>
  <c r="E30" i="1"/>
  <c r="D30" i="1"/>
  <c r="D9" i="3"/>
  <c r="J18" i="7" l="1"/>
  <c r="I18" i="7" s="1"/>
  <c r="J16" i="7"/>
  <c r="I23" i="7" s="1"/>
  <c r="I11" i="7"/>
  <c r="I12" i="7" s="1"/>
  <c r="K23" i="7" l="1"/>
  <c r="I16" i="7"/>
  <c r="I17" i="7" s="1"/>
  <c r="J17" i="7" l="1"/>
  <c r="J23" i="7" s="1"/>
  <c r="I19" i="7"/>
  <c r="L23" i="7" s="1"/>
  <c r="Q9" i="3" l="1"/>
  <c r="S2" i="1" s="1"/>
  <c r="P9" i="3"/>
  <c r="R2" i="1" s="1"/>
  <c r="O9" i="3"/>
  <c r="Q2" i="1" s="1"/>
  <c r="N9" i="3"/>
  <c r="P2" i="1" s="1"/>
  <c r="M9" i="3"/>
  <c r="O2" i="1" s="1"/>
  <c r="L9" i="3"/>
  <c r="N2" i="1" s="1"/>
  <c r="K9" i="3"/>
  <c r="M2" i="1" s="1"/>
  <c r="J9" i="3"/>
  <c r="L2" i="1" s="1"/>
  <c r="I9" i="3" l="1"/>
  <c r="K2" i="1" s="1"/>
  <c r="H9" i="3"/>
  <c r="G9" i="3"/>
  <c r="F9" i="3"/>
  <c r="E9" i="3"/>
  <c r="C9" i="3"/>
  <c r="E2" i="1" s="1"/>
  <c r="B9" i="3"/>
  <c r="D2" i="1" s="1"/>
  <c r="I11" i="5" l="1"/>
  <c r="I12" i="5" s="1"/>
  <c r="I22" i="5" l="1"/>
  <c r="I15" i="5"/>
  <c r="I16" i="5" s="1"/>
  <c r="I19" i="5" s="1"/>
  <c r="J28" i="5" l="1"/>
  <c r="J26" i="5"/>
  <c r="K26" i="5" s="1"/>
  <c r="I33" i="5" s="1"/>
  <c r="J27" i="5"/>
  <c r="K27" i="5" s="1"/>
  <c r="J33" i="5" s="1"/>
  <c r="O27" i="5"/>
  <c r="P27" i="5" s="1"/>
  <c r="J34" i="5" s="1"/>
  <c r="O26" i="5"/>
  <c r="P26" i="5" s="1"/>
  <c r="I34" i="5" s="1"/>
  <c r="O28" i="5"/>
  <c r="O29" i="5" l="1"/>
  <c r="L34" i="5" s="1"/>
  <c r="P28" i="5"/>
  <c r="K34" i="5" s="1"/>
  <c r="K28" i="5"/>
  <c r="K33" i="5" s="1"/>
  <c r="J29" i="5"/>
  <c r="L33" i="5" s="1"/>
  <c r="J2" i="1" l="1"/>
  <c r="I2" i="1"/>
  <c r="H2" i="1"/>
  <c r="G2" i="1"/>
  <c r="F2" i="1"/>
</calcChain>
</file>

<file path=xl/sharedStrings.xml><?xml version="1.0" encoding="utf-8"?>
<sst xmlns="http://schemas.openxmlformats.org/spreadsheetml/2006/main" count="468" uniqueCount="113">
  <si>
    <t>Week 1</t>
  </si>
  <si>
    <t>Week 2</t>
  </si>
  <si>
    <t>Week 3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</si>
  <si>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</si>
  <si>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</si>
  <si>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</si>
  <si>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</si>
  <si>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</si>
  <si>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</si>
  <si>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</si>
  <si>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</si>
  <si>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</si>
  <si>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</si>
  <si>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</si>
  <si>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</si>
  <si>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R arm</t>
  </si>
  <si>
    <t>L arm</t>
  </si>
  <si>
    <t>Week 4</t>
  </si>
  <si>
    <t>Week 4 (Beoordel je progressie)</t>
  </si>
  <si>
    <t>Voorbeeld Data</t>
  </si>
  <si>
    <t>DTA Progressie Tabel</t>
  </si>
  <si>
    <t>Gewicht</t>
  </si>
  <si>
    <t>Borst</t>
  </si>
  <si>
    <t>6 cm boven navel</t>
  </si>
  <si>
    <t>Navelhoogte</t>
  </si>
  <si>
    <t>6 cm onder navel</t>
  </si>
  <si>
    <t>R bovenbeen</t>
  </si>
  <si>
    <t>L bovenbeen</t>
  </si>
  <si>
    <t>Lengte</t>
  </si>
  <si>
    <t>Macros hoog</t>
  </si>
  <si>
    <t>Macros laag</t>
  </si>
  <si>
    <t>Macro volharding</t>
  </si>
  <si>
    <t>Training volharding</t>
  </si>
  <si>
    <t>Honger? (0-5)</t>
  </si>
  <si>
    <t>Vermoeidheid? (0-5)</t>
  </si>
  <si>
    <t>Slaap? (0-5)</t>
  </si>
  <si>
    <t>Stress? (0-5)</t>
  </si>
  <si>
    <t>Dag 1</t>
  </si>
  <si>
    <t>Dag 2</t>
  </si>
  <si>
    <t>Dag 3</t>
  </si>
  <si>
    <t>Dag 4</t>
  </si>
  <si>
    <t>Oefening</t>
  </si>
  <si>
    <t>Dag 5</t>
  </si>
  <si>
    <t>Dag 6</t>
  </si>
  <si>
    <t>Foto's</t>
  </si>
  <si>
    <t>Heupen</t>
  </si>
  <si>
    <t>Leeftijd</t>
  </si>
  <si>
    <t>V/K/P</t>
  </si>
  <si>
    <t>R kuit</t>
  </si>
  <si>
    <t>L kuit</t>
  </si>
  <si>
    <t xml:space="preserve">Doel </t>
  </si>
  <si>
    <t>0,5kg/wk</t>
  </si>
  <si>
    <t>Cardio</t>
  </si>
  <si>
    <t>Geen</t>
  </si>
  <si>
    <t>Maandag</t>
  </si>
  <si>
    <t>Dinsdag</t>
  </si>
  <si>
    <t>Woensdag</t>
  </si>
  <si>
    <t>Donderdag</t>
  </si>
  <si>
    <t>Vrijdag</t>
  </si>
  <si>
    <t>Zaterdag</t>
  </si>
  <si>
    <t>Zondag</t>
  </si>
  <si>
    <t>GEMIDDELD</t>
  </si>
  <si>
    <t>Dagelijks gewicht</t>
  </si>
  <si>
    <t xml:space="preserve"> </t>
  </si>
  <si>
    <t xml:space="preserve">  MACRONUTRIËNT CALCULATOR</t>
  </si>
  <si>
    <t>DROOG TRAINEN PROTOCOL</t>
  </si>
  <si>
    <t>Stap 1. Vul je gegevens in</t>
  </si>
  <si>
    <t>Vul je gewicht in: (kg)</t>
  </si>
  <si>
    <t>Instructies:</t>
  </si>
  <si>
    <t>Vul je lengte in: (cm)</t>
  </si>
  <si>
    <t>Stap 1 Vul je gegevens in in de 4 gele boxen</t>
  </si>
  <si>
    <t xml:space="preserve">Vul je leeftijd in: </t>
  </si>
  <si>
    <t xml:space="preserve">Vul je activiteit level in: </t>
  </si>
  <si>
    <t>Stap 2. Dagelijkse Calorie Behoefte</t>
  </si>
  <si>
    <t>BMR:</t>
  </si>
  <si>
    <t>Dagelijkse Calorie Behoefte:</t>
  </si>
  <si>
    <t>Stap 3. Je Calorie Tekort Bepalen</t>
  </si>
  <si>
    <t>Calorie Tekort:</t>
  </si>
  <si>
    <t>Nieuw Calorie Doel Voor Vetverlies:</t>
  </si>
  <si>
    <t>Stap 4. Calorieën Lage Koolhydraat Dag</t>
  </si>
  <si>
    <t>Calorie Doel Voor Lage Koolhydraat Dag:</t>
  </si>
  <si>
    <t>Stap 5. Calorieën Hoge Koolhydraat Dag</t>
  </si>
  <si>
    <t>Calorie Doel Voor Hoge Koolhydraat Dag:</t>
  </si>
  <si>
    <t>Lage Koolhydraat Dag</t>
  </si>
  <si>
    <t>Hoge Koolhydraat Dag</t>
  </si>
  <si>
    <t xml:space="preserve">Macro Verdeling:               </t>
  </si>
  <si>
    <t xml:space="preserve"> (%)</t>
  </si>
  <si>
    <t>Calorieën</t>
  </si>
  <si>
    <t>Gram</t>
  </si>
  <si>
    <t xml:space="preserve">Macro Verdeling:             </t>
  </si>
  <si>
    <t>Vet</t>
  </si>
  <si>
    <t>Koolhydraten</t>
  </si>
  <si>
    <t>Proteïne</t>
  </si>
  <si>
    <t>Totale Calorieën</t>
  </si>
  <si>
    <t>Stap 6. Samenvatting</t>
  </si>
  <si>
    <t>Dagelijkse Benodigde Macronutriënten</t>
  </si>
  <si>
    <t>Koolh.</t>
  </si>
  <si>
    <t>Stap 3. Je Macroverdeling Onderhoud</t>
  </si>
  <si>
    <t>Stap 2. Dagelijkse Calorie Behoefte (Onderhoudscalorieën Startpunt)</t>
  </si>
  <si>
    <t>Vetten</t>
  </si>
  <si>
    <t>Stap 4. Samenvatting</t>
  </si>
  <si>
    <t>Calorieën en Macro's (7 dagen per week)</t>
  </si>
  <si>
    <t>Rep target (of %RM)</t>
  </si>
  <si>
    <t>Rust target (sec)</t>
  </si>
  <si>
    <t>Notitie</t>
  </si>
  <si>
    <t>Sets*reps/gewicht/rust (sec)</t>
  </si>
  <si>
    <t>Notitie (RIR/etc)</t>
  </si>
  <si>
    <t>Start (vul hier je startwaarden in)</t>
  </si>
  <si>
    <t>Maak Start Foto's</t>
  </si>
  <si>
    <t>Totaal gemeten centimeters</t>
  </si>
  <si>
    <t>Verschil t.o.v. week eerder</t>
  </si>
  <si>
    <t>Selecteer</t>
  </si>
  <si>
    <t>Totaal verloren CM's na 8 &amp; 16 weken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</si>
</sst>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mm"/>
    <numFmt numFmtId="166" formatCode="d"/>
    <numFmt numFmtId="167" formatCode="_-* #,##0.00_-;\-* #,##0.00_-;_-* &quot;-&quot;??_-;_-@_-"/>
  </numFmts>
  <fonts count="31">
    <font>
      <sz val="10"/>
      <color indexed="8"/>
      <name val="Helvetica"/>
    </font>
    <font>
      <sz val="10"/>
      <color indexed="8"/>
      <name val="Helvetica Neue"/>
      <family val="2"/>
    </font>
    <font>
      <b/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1"/>
      <color indexed="8"/>
      <name val="Calibri"/>
      <family val="2"/>
    </font>
    <font>
      <sz val="12"/>
      <color indexed="8"/>
      <name val="Helvetica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8"/>
      <name val="Helvetica Neue"/>
      <family val="2"/>
    </font>
    <font>
      <b/>
      <sz val="12"/>
      <color theme="1"/>
      <name val="Helvetica Neue"/>
      <family val="2"/>
    </font>
    <font>
      <sz val="8"/>
      <name val="Helvetica"/>
      <family val="2"/>
    </font>
    <font>
      <sz val="10"/>
      <color theme="0"/>
      <name val="Helvetica"/>
      <family val="2"/>
      <scheme val="minor"/>
    </font>
    <font>
      <sz val="48"/>
      <color theme="3"/>
      <name val="Helvetica"/>
      <family val="2"/>
      <scheme val="major"/>
    </font>
    <font>
      <sz val="14"/>
      <color theme="5" tint="0.59996337778862885"/>
      <name val="Helvetica"/>
      <family val="2"/>
      <scheme val="major"/>
    </font>
    <font>
      <sz val="14"/>
      <color theme="0"/>
      <name val="Helvetica"/>
      <family val="2"/>
      <scheme val="major"/>
    </font>
    <font>
      <sz val="12"/>
      <color theme="0"/>
      <name val="Helvetica (Hoofdtekst)"/>
    </font>
    <font>
      <b/>
      <sz val="12"/>
      <color theme="4"/>
      <name val="Helvetica (Hoofdtekst)"/>
    </font>
    <font>
      <sz val="12"/>
      <color theme="5" tint="0.59996337778862885"/>
      <name val="Helvetica (Hoofdtekst)"/>
    </font>
    <font>
      <sz val="12"/>
      <color rgb="FFFFFF00"/>
      <name val="Helvetica (Hoofdtekst)"/>
    </font>
    <font>
      <i/>
      <sz val="12"/>
      <color theme="0"/>
      <name val="Helvetica (Hoofdtekst)"/>
    </font>
    <font>
      <b/>
      <sz val="12"/>
      <name val="Helvetica (Hoofdtekst)"/>
    </font>
    <font>
      <b/>
      <sz val="12"/>
      <color theme="0"/>
      <name val="Helvetica (Hoofdtekst)"/>
    </font>
    <font>
      <b/>
      <sz val="12"/>
      <color rgb="FFFFFF00"/>
      <name val="Helvetica (Hoofdtekst)"/>
    </font>
    <font>
      <sz val="12"/>
      <color theme="4" tint="0.39997558519241921"/>
      <name val="Helvetica (Hoofdtekst)"/>
    </font>
    <font>
      <sz val="9"/>
      <color theme="0"/>
      <name val="Segoe UI"/>
      <family val="2"/>
    </font>
    <font>
      <sz val="12"/>
      <color rgb="FFD0C8CA"/>
      <name val="Helvetica (Hoofdtekst)"/>
    </font>
    <font>
      <b/>
      <sz val="11"/>
      <name val="Helvetica (Hoofdtekst)"/>
    </font>
    <font>
      <sz val="12"/>
      <color rgb="FFFFFF00"/>
      <name val="Helvetica"/>
      <family val="2"/>
      <scheme val="major"/>
    </font>
    <font>
      <sz val="10"/>
      <color indexed="8"/>
      <name val="Arial"/>
      <family val="2"/>
    </font>
    <font>
      <b/>
      <sz val="10"/>
      <color indexed="13"/>
      <name val="Helvetica"/>
      <family val="2"/>
    </font>
    <font>
      <sz val="10"/>
      <color indexed="8"/>
      <name val="Helvetic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</fills>
  <borders count="66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4"/>
      </bottom>
      <diagonal/>
    </border>
    <border>
      <left style="thin">
        <color indexed="8"/>
      </left>
      <right style="medium">
        <color indexed="8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6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8"/>
      </bottom>
      <diagonal/>
    </border>
    <border>
      <left style="thin">
        <color indexed="10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medium">
        <color indexed="8"/>
      </right>
      <top style="thin">
        <color indexed="10"/>
      </top>
      <bottom/>
      <diagonal/>
    </border>
    <border>
      <left/>
      <right style="medium">
        <color indexed="8"/>
      </right>
      <top style="thin">
        <color indexed="10"/>
      </top>
      <bottom/>
      <diagonal/>
    </border>
    <border>
      <left style="medium">
        <color auto="1"/>
      </left>
      <right style="medium">
        <color auto="1"/>
      </right>
      <top style="thin">
        <color theme="2"/>
      </top>
      <bottom style="thin">
        <color theme="2"/>
      </bottom>
      <diagonal/>
    </border>
    <border>
      <left style="medium">
        <color indexed="8"/>
      </left>
      <right style="medium">
        <color indexed="8"/>
      </right>
      <top style="thin">
        <color theme="2"/>
      </top>
      <bottom style="thin">
        <color theme="2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medium">
        <color indexed="8"/>
      </left>
      <right style="thin">
        <color auto="1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10"/>
      </bottom>
      <diagonal/>
    </border>
    <border>
      <left/>
      <right style="medium">
        <color indexed="8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/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/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 applyNumberFormat="0" applyFill="0" applyBorder="0" applyProtection="0">
      <alignment vertical="top" wrapText="1"/>
    </xf>
    <xf numFmtId="0" fontId="11" fillId="11" borderId="0">
      <alignment vertical="center"/>
    </xf>
    <xf numFmtId="0" fontId="12" fillId="13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11" borderId="0" applyNumberFormat="0" applyAlignment="0" applyProtection="0"/>
    <xf numFmtId="167" fontId="11" fillId="0" borderId="0" applyFont="0" applyFill="0" applyBorder="0" applyAlignment="0" applyProtection="0"/>
  </cellStyleXfs>
  <cellXfs count="169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top"/>
    </xf>
    <xf numFmtId="49" fontId="4" fillId="5" borderId="14" xfId="0" applyNumberFormat="1" applyFont="1" applyFill="1" applyBorder="1" applyAlignment="1">
      <alignment horizontal="center"/>
    </xf>
    <xf numFmtId="0" fontId="3" fillId="5" borderId="15" xfId="0" applyNumberFormat="1" applyFont="1" applyFill="1" applyBorder="1" applyAlignment="1">
      <alignment horizontal="center" vertical="top" wrapText="1"/>
    </xf>
    <xf numFmtId="0" fontId="3" fillId="5" borderId="16" xfId="0" applyNumberFormat="1" applyFont="1" applyFill="1" applyBorder="1" applyAlignment="1">
      <alignment horizontal="center" vertical="top" wrapText="1"/>
    </xf>
    <xf numFmtId="0" fontId="3" fillId="5" borderId="17" xfId="0" applyNumberFormat="1" applyFont="1" applyFill="1" applyBorder="1" applyAlignment="1">
      <alignment horizontal="center" vertical="top" wrapText="1"/>
    </xf>
    <xf numFmtId="0" fontId="3" fillId="7" borderId="19" xfId="0" applyFont="1" applyFill="1" applyBorder="1" applyAlignment="1">
      <alignment horizontal="left" vertical="top" wrapText="1"/>
    </xf>
    <xf numFmtId="49" fontId="4" fillId="5" borderId="20" xfId="0" applyNumberFormat="1" applyFont="1" applyFill="1" applyBorder="1" applyAlignment="1"/>
    <xf numFmtId="49" fontId="4" fillId="5" borderId="21" xfId="0" applyNumberFormat="1" applyFont="1" applyFill="1" applyBorder="1" applyAlignment="1"/>
    <xf numFmtId="49" fontId="4" fillId="0" borderId="22" xfId="0" applyNumberFormat="1" applyFont="1" applyBorder="1" applyAlignment="1">
      <alignment horizontal="center" vertical="top"/>
    </xf>
    <xf numFmtId="0" fontId="3" fillId="7" borderId="23" xfId="0" applyFont="1" applyFill="1" applyBorder="1" applyAlignment="1">
      <alignment horizontal="left" vertical="top" wrapText="1"/>
    </xf>
    <xf numFmtId="0" fontId="1" fillId="5" borderId="21" xfId="0" applyFont="1" applyFill="1" applyBorder="1" applyAlignment="1"/>
    <xf numFmtId="49" fontId="1" fillId="8" borderId="21" xfId="0" applyNumberFormat="1" applyFont="1" applyFill="1" applyBorder="1" applyAlignment="1"/>
    <xf numFmtId="0" fontId="3" fillId="7" borderId="24" xfId="0" applyNumberFormat="1" applyFont="1" applyFill="1" applyBorder="1" applyAlignment="1">
      <alignment horizontal="left" vertical="top" wrapText="1"/>
    </xf>
    <xf numFmtId="0" fontId="3" fillId="7" borderId="25" xfId="0" applyNumberFormat="1" applyFont="1" applyFill="1" applyBorder="1" applyAlignment="1">
      <alignment horizontal="left" vertical="top" wrapText="1"/>
    </xf>
    <xf numFmtId="0" fontId="3" fillId="7" borderId="26" xfId="0" applyNumberFormat="1" applyFont="1" applyFill="1" applyBorder="1" applyAlignment="1">
      <alignment horizontal="left" vertical="top" wrapText="1"/>
    </xf>
    <xf numFmtId="49" fontId="4" fillId="5" borderId="21" xfId="0" applyNumberFormat="1" applyFont="1" applyFill="1" applyBorder="1" applyAlignment="1">
      <alignment horizontal="center"/>
    </xf>
    <xf numFmtId="0" fontId="1" fillId="0" borderId="27" xfId="0" applyFont="1" applyBorder="1" applyAlignment="1">
      <alignment vertical="top"/>
    </xf>
    <xf numFmtId="0" fontId="3" fillId="7" borderId="30" xfId="0" applyFont="1" applyFill="1" applyBorder="1" applyAlignment="1">
      <alignment horizontal="left" vertical="top" wrapText="1"/>
    </xf>
    <xf numFmtId="0" fontId="3" fillId="7" borderId="3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14" fontId="15" fillId="12" borderId="0" xfId="1" applyNumberFormat="1" applyFont="1" applyFill="1" applyAlignment="1">
      <alignment horizontal="left" vertical="center" indent="2"/>
    </xf>
    <xf numFmtId="0" fontId="15" fillId="12" borderId="0" xfId="1" applyFont="1" applyFill="1">
      <alignment vertical="center"/>
    </xf>
    <xf numFmtId="0" fontId="15" fillId="12" borderId="0" xfId="2" applyFont="1" applyFill="1" applyAlignment="1">
      <alignment vertical="center"/>
    </xf>
    <xf numFmtId="0" fontId="15" fillId="12" borderId="0" xfId="3" applyFont="1" applyFill="1" applyAlignment="1">
      <alignment vertical="center"/>
    </xf>
    <xf numFmtId="14" fontId="15" fillId="12" borderId="0" xfId="1" applyNumberFormat="1" applyFont="1" applyFill="1" applyAlignment="1">
      <alignment horizontal="left" indent="2"/>
    </xf>
    <xf numFmtId="14" fontId="19" fillId="12" borderId="0" xfId="1" applyNumberFormat="1" applyFont="1" applyFill="1">
      <alignment vertical="center"/>
    </xf>
    <xf numFmtId="0" fontId="15" fillId="12" borderId="0" xfId="4" applyFont="1" applyFill="1" applyAlignment="1">
      <alignment horizontal="left" vertical="center"/>
    </xf>
    <xf numFmtId="0" fontId="15" fillId="12" borderId="0" xfId="4" applyFont="1" applyFill="1" applyAlignment="1">
      <alignment horizontal="center" vertical="center"/>
    </xf>
    <xf numFmtId="14" fontId="21" fillId="12" borderId="0" xfId="1" applyNumberFormat="1" applyFont="1" applyFill="1">
      <alignment vertical="center"/>
    </xf>
    <xf numFmtId="166" fontId="15" fillId="12" borderId="0" xfId="1" applyNumberFormat="1" applyFont="1" applyFill="1" applyAlignment="1">
      <alignment horizontal="left" vertical="center"/>
    </xf>
    <xf numFmtId="166" fontId="15" fillId="12" borderId="0" xfId="1" applyNumberFormat="1" applyFont="1" applyFill="1" applyAlignment="1">
      <alignment horizontal="center" vertical="center"/>
    </xf>
    <xf numFmtId="0" fontId="15" fillId="12" borderId="0" xfId="1" applyFont="1" applyFill="1" applyAlignment="1">
      <alignment horizontal="left" indent="2"/>
    </xf>
    <xf numFmtId="0" fontId="15" fillId="12" borderId="0" xfId="1" applyFont="1" applyFill="1" applyAlignment="1"/>
    <xf numFmtId="3" fontId="15" fillId="12" borderId="0" xfId="5" applyNumberFormat="1" applyFont="1" applyFill="1" applyAlignment="1">
      <alignment horizontal="center" vertical="center"/>
    </xf>
    <xf numFmtId="0" fontId="15" fillId="12" borderId="0" xfId="1" applyFont="1" applyFill="1" applyAlignment="1">
      <alignment horizontal="center" vertical="center"/>
    </xf>
    <xf numFmtId="1" fontId="22" fillId="12" borderId="0" xfId="1" applyNumberFormat="1" applyFont="1" applyFill="1" applyAlignment="1">
      <alignment horizontal="center" vertical="center"/>
    </xf>
    <xf numFmtId="3" fontId="15" fillId="12" borderId="0" xfId="1" applyNumberFormat="1" applyFont="1" applyFill="1" applyAlignment="1">
      <alignment horizontal="center" vertical="center"/>
    </xf>
    <xf numFmtId="3" fontId="15" fillId="12" borderId="0" xfId="4" applyNumberFormat="1" applyFont="1" applyFill="1" applyAlignment="1">
      <alignment horizontal="center" vertical="center"/>
    </xf>
    <xf numFmtId="0" fontId="15" fillId="12" borderId="0" xfId="1" applyFont="1" applyFill="1" applyAlignment="1">
      <alignment horizontal="left" vertical="center"/>
    </xf>
    <xf numFmtId="0" fontId="18" fillId="12" borderId="0" xfId="4" applyFont="1" applyFill="1" applyAlignment="1">
      <alignment horizontal="left" vertical="center"/>
    </xf>
    <xf numFmtId="3" fontId="23" fillId="12" borderId="0" xfId="4" applyNumberFormat="1" applyFont="1" applyFill="1" applyAlignment="1">
      <alignment horizontal="center" vertical="center"/>
    </xf>
    <xf numFmtId="0" fontId="23" fillId="12" borderId="0" xfId="4" applyFont="1" applyFill="1" applyAlignment="1">
      <alignment horizontal="left" vertical="center"/>
    </xf>
    <xf numFmtId="0" fontId="18" fillId="12" borderId="0" xfId="4" applyFont="1" applyFill="1" applyAlignment="1">
      <alignment horizontal="center" vertical="center"/>
    </xf>
    <xf numFmtId="166" fontId="15" fillId="12" borderId="0" xfId="1" applyNumberFormat="1" applyFont="1" applyFill="1">
      <alignment vertical="center"/>
    </xf>
    <xf numFmtId="3" fontId="21" fillId="12" borderId="0" xfId="1" applyNumberFormat="1" applyFont="1" applyFill="1" applyAlignment="1">
      <alignment horizontal="center" vertical="center"/>
    </xf>
    <xf numFmtId="165" fontId="18" fillId="12" borderId="0" xfId="4" applyNumberFormat="1" applyFont="1" applyFill="1" applyAlignment="1">
      <alignment horizontal="left" vertical="top"/>
    </xf>
    <xf numFmtId="0" fontId="15" fillId="12" borderId="0" xfId="4" applyNumberFormat="1" applyFont="1" applyFill="1" applyAlignment="1">
      <alignment horizontal="left" vertical="top"/>
    </xf>
    <xf numFmtId="0" fontId="15" fillId="12" borderId="0" xfId="4" applyNumberFormat="1" applyFont="1" applyFill="1" applyAlignment="1">
      <alignment horizontal="center" vertical="center"/>
    </xf>
    <xf numFmtId="0" fontId="15" fillId="12" borderId="0" xfId="4" applyNumberFormat="1" applyFont="1" applyFill="1" applyAlignment="1">
      <alignment vertical="center"/>
    </xf>
    <xf numFmtId="0" fontId="8" fillId="0" borderId="0" xfId="0" applyNumberFormat="1" applyFont="1" applyAlignment="1">
      <alignment vertical="top"/>
    </xf>
    <xf numFmtId="0" fontId="0" fillId="0" borderId="0" xfId="0" applyFont="1" applyAlignment="1" applyProtection="1">
      <alignment vertical="top" wrapText="1"/>
    </xf>
    <xf numFmtId="49" fontId="2" fillId="3" borderId="4" xfId="0" applyNumberFormat="1" applyFont="1" applyFill="1" applyBorder="1" applyAlignment="1" applyProtection="1">
      <alignment horizontal="center"/>
      <protection hidden="1"/>
    </xf>
    <xf numFmtId="0" fontId="8" fillId="0" borderId="40" xfId="0" applyFont="1" applyBorder="1" applyAlignment="1" applyProtection="1">
      <alignment horizontal="center" vertical="top" wrapText="1"/>
      <protection locked="0"/>
    </xf>
    <xf numFmtId="0" fontId="8" fillId="0" borderId="41" xfId="0" applyFont="1" applyBorder="1" applyAlignment="1" applyProtection="1">
      <alignment horizontal="center" vertical="top" wrapText="1"/>
      <protection locked="0"/>
    </xf>
    <xf numFmtId="0" fontId="8" fillId="0" borderId="42" xfId="0" applyFont="1" applyBorder="1" applyAlignment="1" applyProtection="1">
      <alignment horizontal="center" vertical="top" wrapText="1"/>
      <protection locked="0"/>
    </xf>
    <xf numFmtId="49" fontId="8" fillId="2" borderId="4" xfId="0" applyNumberFormat="1" applyFont="1" applyFill="1" applyBorder="1" applyAlignment="1" applyProtection="1">
      <alignment horizontal="right" wrapText="1"/>
      <protection hidden="1"/>
    </xf>
    <xf numFmtId="49" fontId="6" fillId="3" borderId="4" xfId="0" applyNumberFormat="1" applyFont="1" applyFill="1" applyBorder="1" applyAlignment="1" applyProtection="1">
      <alignment horizontal="right"/>
      <protection hidden="1"/>
    </xf>
    <xf numFmtId="49" fontId="2" fillId="2" borderId="39" xfId="0" applyNumberFormat="1" applyFont="1" applyFill="1" applyBorder="1" applyAlignment="1" applyProtection="1">
      <alignment horizontal="center" wrapText="1"/>
    </xf>
    <xf numFmtId="49" fontId="2" fillId="10" borderId="39" xfId="0" applyNumberFormat="1" applyFont="1" applyFill="1" applyBorder="1" applyAlignment="1" applyProtection="1">
      <alignment horizontal="center" wrapText="1"/>
    </xf>
    <xf numFmtId="164" fontId="9" fillId="0" borderId="45" xfId="0" applyNumberFormat="1" applyFont="1" applyFill="1" applyBorder="1" applyAlignment="1" applyProtection="1">
      <alignment horizontal="center" vertical="top" wrapText="1"/>
    </xf>
    <xf numFmtId="164" fontId="9" fillId="0" borderId="44" xfId="0" applyNumberFormat="1" applyFont="1" applyFill="1" applyBorder="1" applyAlignment="1" applyProtection="1">
      <alignment horizontal="center" vertical="top" wrapText="1"/>
    </xf>
    <xf numFmtId="164" fontId="9" fillId="0" borderId="43" xfId="0" applyNumberFormat="1" applyFont="1" applyFill="1" applyBorder="1" applyAlignment="1" applyProtection="1">
      <alignment horizontal="center" vertical="top" wrapText="1"/>
    </xf>
    <xf numFmtId="0" fontId="8" fillId="0" borderId="48" xfId="0" applyFont="1" applyBorder="1" applyAlignment="1" applyProtection="1">
      <alignment horizontal="center" vertical="top" wrapText="1"/>
      <protection locked="0"/>
    </xf>
    <xf numFmtId="0" fontId="8" fillId="0" borderId="49" xfId="0" applyFont="1" applyBorder="1" applyAlignment="1" applyProtection="1">
      <alignment horizontal="center" vertical="top" wrapText="1"/>
      <protection locked="0"/>
    </xf>
    <xf numFmtId="0" fontId="8" fillId="0" borderId="50" xfId="0" applyFont="1" applyBorder="1" applyAlignment="1" applyProtection="1">
      <alignment horizontal="center" vertical="top" wrapText="1"/>
      <protection locked="0"/>
    </xf>
    <xf numFmtId="164" fontId="8" fillId="5" borderId="5" xfId="0" applyNumberFormat="1" applyFont="1" applyFill="1" applyBorder="1" applyAlignment="1" applyProtection="1">
      <alignment horizontal="center" vertical="top"/>
      <protection locked="0"/>
    </xf>
    <xf numFmtId="164" fontId="8" fillId="5" borderId="6" xfId="0" applyNumberFormat="1" applyFont="1" applyFill="1" applyBorder="1" applyAlignment="1" applyProtection="1">
      <alignment horizontal="center" vertical="top"/>
      <protection locked="0"/>
    </xf>
    <xf numFmtId="0" fontId="7" fillId="5" borderId="7" xfId="0" applyFont="1" applyFill="1" applyBorder="1" applyAlignment="1" applyProtection="1">
      <alignment horizontal="center"/>
      <protection locked="0"/>
    </xf>
    <xf numFmtId="0" fontId="7" fillId="5" borderId="8" xfId="0" applyNumberFormat="1" applyFont="1" applyFill="1" applyBorder="1" applyAlignment="1" applyProtection="1">
      <alignment horizontal="center"/>
      <protection locked="0"/>
    </xf>
    <xf numFmtId="0" fontId="8" fillId="5" borderId="8" xfId="0" applyNumberFormat="1" applyFont="1" applyFill="1" applyBorder="1" applyAlignment="1" applyProtection="1">
      <alignment horizontal="center" vertical="top"/>
      <protection locked="0"/>
    </xf>
    <xf numFmtId="0" fontId="8" fillId="5" borderId="9" xfId="0" applyNumberFormat="1" applyFont="1" applyFill="1" applyBorder="1" applyAlignment="1" applyProtection="1">
      <alignment horizontal="center" vertical="top"/>
      <protection locked="0"/>
    </xf>
    <xf numFmtId="0" fontId="8" fillId="5" borderId="47" xfId="0" applyNumberFormat="1" applyFont="1" applyFill="1" applyBorder="1" applyAlignment="1" applyProtection="1">
      <alignment horizontal="center" vertical="top"/>
      <protection locked="0"/>
    </xf>
    <xf numFmtId="0" fontId="8" fillId="5" borderId="46" xfId="0" applyNumberFormat="1" applyFont="1" applyFill="1" applyBorder="1" applyAlignment="1" applyProtection="1">
      <alignment horizontal="center" vertical="top"/>
      <protection locked="0"/>
    </xf>
    <xf numFmtId="0" fontId="8" fillId="5" borderId="47" xfId="0" applyNumberFormat="1" applyFont="1" applyFill="1" applyBorder="1" applyAlignment="1" applyProtection="1">
      <alignment vertical="top"/>
      <protection locked="0"/>
    </xf>
    <xf numFmtId="0" fontId="8" fillId="5" borderId="46" xfId="0" applyNumberFormat="1" applyFont="1" applyFill="1" applyBorder="1" applyAlignment="1" applyProtection="1">
      <alignment vertical="top"/>
      <protection locked="0"/>
    </xf>
    <xf numFmtId="0" fontId="8" fillId="5" borderId="8" xfId="0" applyNumberFormat="1" applyFont="1" applyFill="1" applyBorder="1" applyAlignment="1" applyProtection="1">
      <alignment vertical="top"/>
      <protection locked="0"/>
    </xf>
    <xf numFmtId="0" fontId="8" fillId="5" borderId="9" xfId="0" applyNumberFormat="1" applyFont="1" applyFill="1" applyBorder="1" applyAlignment="1" applyProtection="1">
      <alignment vertical="top"/>
      <protection locked="0"/>
    </xf>
    <xf numFmtId="0" fontId="8" fillId="5" borderId="7" xfId="0" applyFont="1" applyFill="1" applyBorder="1" applyAlignment="1" applyProtection="1">
      <alignment horizontal="center" vertical="top"/>
      <protection locked="0"/>
    </xf>
    <xf numFmtId="0" fontId="8" fillId="5" borderId="8" xfId="0" applyNumberFormat="1" applyFont="1" applyFill="1" applyBorder="1" applyAlignment="1" applyProtection="1">
      <alignment horizontal="right" vertical="top"/>
      <protection locked="0"/>
    </xf>
    <xf numFmtId="0" fontId="8" fillId="5" borderId="10" xfId="0" applyNumberFormat="1" applyFont="1" applyFill="1" applyBorder="1" applyAlignment="1" applyProtection="1">
      <alignment vertical="top"/>
      <protection locked="0"/>
    </xf>
    <xf numFmtId="49" fontId="2" fillId="5" borderId="7" xfId="0" applyNumberFormat="1" applyFont="1" applyFill="1" applyBorder="1" applyAlignment="1" applyProtection="1">
      <alignment horizontal="right" vertical="top"/>
      <protection locked="0"/>
    </xf>
    <xf numFmtId="0" fontId="8" fillId="5" borderId="11" xfId="0" applyNumberFormat="1" applyFont="1" applyFill="1" applyBorder="1" applyAlignment="1" applyProtection="1">
      <alignment vertical="top"/>
      <protection locked="0"/>
    </xf>
    <xf numFmtId="0" fontId="7" fillId="5" borderId="32" xfId="0" applyFont="1" applyFill="1" applyBorder="1" applyAlignment="1" applyProtection="1">
      <alignment horizontal="center"/>
      <protection locked="0"/>
    </xf>
    <xf numFmtId="0" fontId="7" fillId="5" borderId="33" xfId="0" applyNumberFormat="1" applyFont="1" applyFill="1" applyBorder="1" applyAlignment="1" applyProtection="1">
      <alignment horizontal="center"/>
      <protection locked="0"/>
    </xf>
    <xf numFmtId="0" fontId="8" fillId="5" borderId="33" xfId="0" applyNumberFormat="1" applyFont="1" applyFill="1" applyBorder="1" applyAlignment="1" applyProtection="1">
      <alignment horizontal="center" vertical="top"/>
      <protection locked="0"/>
    </xf>
    <xf numFmtId="0" fontId="8" fillId="5" borderId="34" xfId="0" applyNumberFormat="1" applyFont="1" applyFill="1" applyBorder="1" applyAlignment="1" applyProtection="1">
      <alignment horizontal="center" vertical="top"/>
      <protection locked="0"/>
    </xf>
    <xf numFmtId="0" fontId="8" fillId="5" borderId="33" xfId="0" applyNumberFormat="1" applyFont="1" applyFill="1" applyBorder="1" applyAlignment="1" applyProtection="1">
      <alignment horizontal="right" vertical="top"/>
      <protection locked="0"/>
    </xf>
    <xf numFmtId="0" fontId="8" fillId="5" borderId="34" xfId="0" applyNumberFormat="1" applyFont="1" applyFill="1" applyBorder="1" applyAlignment="1" applyProtection="1">
      <alignment vertical="top"/>
      <protection locked="0"/>
    </xf>
    <xf numFmtId="0" fontId="8" fillId="5" borderId="33" xfId="0" applyNumberFormat="1" applyFont="1" applyFill="1" applyBorder="1" applyAlignment="1" applyProtection="1">
      <alignment vertical="top"/>
      <protection locked="0"/>
    </xf>
    <xf numFmtId="0" fontId="20" fillId="10" borderId="0" xfId="4" applyFont="1" applyFill="1" applyAlignment="1" applyProtection="1">
      <alignment horizontal="center" vertical="center"/>
      <protection locked="0"/>
    </xf>
    <xf numFmtId="0" fontId="20" fillId="10" borderId="0" xfId="1" applyFont="1" applyFill="1" applyAlignment="1" applyProtection="1">
      <alignment horizontal="center" vertical="center"/>
      <protection locked="0"/>
    </xf>
    <xf numFmtId="164" fontId="8" fillId="5" borderId="51" xfId="0" applyNumberFormat="1" applyFont="1" applyFill="1" applyBorder="1" applyAlignment="1" applyProtection="1">
      <alignment horizontal="center" vertical="top"/>
      <protection locked="0"/>
    </xf>
    <xf numFmtId="0" fontId="7" fillId="5" borderId="52" xfId="0" applyNumberFormat="1" applyFont="1" applyFill="1" applyBorder="1" applyAlignment="1" applyProtection="1">
      <alignment horizontal="center"/>
      <protection locked="0"/>
    </xf>
    <xf numFmtId="49" fontId="2" fillId="5" borderId="52" xfId="0" applyNumberFormat="1" applyFont="1" applyFill="1" applyBorder="1" applyAlignment="1" applyProtection="1">
      <alignment horizontal="right" vertical="top"/>
      <protection locked="0"/>
    </xf>
    <xf numFmtId="0" fontId="7" fillId="5" borderId="35" xfId="0" applyNumberFormat="1" applyFont="1" applyFill="1" applyBorder="1" applyAlignment="1" applyProtection="1">
      <alignment horizontal="center"/>
      <protection locked="0"/>
    </xf>
    <xf numFmtId="49" fontId="2" fillId="5" borderId="8" xfId="0" applyNumberFormat="1" applyFont="1" applyFill="1" applyBorder="1" applyAlignment="1" applyProtection="1">
      <alignment horizontal="right" vertical="top"/>
      <protection locked="0"/>
    </xf>
    <xf numFmtId="165" fontId="18" fillId="12" borderId="0" xfId="4" applyNumberFormat="1" applyFont="1" applyFill="1" applyAlignment="1">
      <alignment horizontal="left" vertical="top"/>
    </xf>
    <xf numFmtId="14" fontId="24" fillId="12" borderId="0" xfId="1" applyNumberFormat="1" applyFont="1" applyFill="1">
      <alignment vertical="center"/>
    </xf>
    <xf numFmtId="0" fontId="25" fillId="12" borderId="53" xfId="3" applyNumberFormat="1" applyFont="1" applyFill="1" applyBorder="1" applyAlignment="1">
      <alignment horizontal="left" vertical="center" indent="2"/>
    </xf>
    <xf numFmtId="0" fontId="17" fillId="12" borderId="53" xfId="3" applyNumberFormat="1" applyFont="1" applyFill="1" applyBorder="1" applyAlignment="1">
      <alignment horizontal="left" vertical="center" indent="2"/>
    </xf>
    <xf numFmtId="0" fontId="15" fillId="12" borderId="53" xfId="1" applyFont="1" applyFill="1" applyBorder="1">
      <alignment vertical="center"/>
    </xf>
    <xf numFmtId="14" fontId="16" fillId="12" borderId="55" xfId="1" applyNumberFormat="1" applyFont="1" applyFill="1" applyBorder="1">
      <alignment vertical="center"/>
    </xf>
    <xf numFmtId="14" fontId="16" fillId="12" borderId="56" xfId="1" applyNumberFormat="1" applyFont="1" applyFill="1" applyBorder="1">
      <alignment vertical="center"/>
    </xf>
    <xf numFmtId="14" fontId="22" fillId="12" borderId="54" xfId="1" applyNumberFormat="1" applyFont="1" applyFill="1" applyBorder="1">
      <alignment vertical="center"/>
    </xf>
    <xf numFmtId="0" fontId="26" fillId="10" borderId="0" xfId="4" applyFont="1" applyFill="1" applyAlignment="1" applyProtection="1">
      <alignment horizontal="center" vertical="center"/>
      <protection locked="0"/>
    </xf>
    <xf numFmtId="0" fontId="26" fillId="10" borderId="0" xfId="1" applyFont="1" applyFill="1" applyAlignment="1" applyProtection="1">
      <alignment horizontal="center" vertical="center"/>
      <protection locked="0"/>
    </xf>
    <xf numFmtId="1" fontId="15" fillId="12" borderId="0" xfId="1" applyNumberFormat="1" applyFont="1" applyFill="1" applyAlignment="1">
      <alignment horizontal="center" vertical="center"/>
    </xf>
    <xf numFmtId="0" fontId="27" fillId="12" borderId="0" xfId="4" applyFont="1" applyFill="1" applyAlignment="1">
      <alignment horizontal="left" vertical="center"/>
    </xf>
    <xf numFmtId="0" fontId="27" fillId="12" borderId="0" xfId="4" applyFont="1" applyFill="1" applyAlignment="1">
      <alignment horizontal="center" vertical="center"/>
    </xf>
    <xf numFmtId="49" fontId="4" fillId="7" borderId="18" xfId="0" applyNumberFormat="1" applyFont="1" applyFill="1" applyBorder="1" applyAlignment="1">
      <alignment horizontal="center" vertical="top"/>
    </xf>
    <xf numFmtId="0" fontId="1" fillId="0" borderId="21" xfId="0" applyNumberFormat="1" applyFont="1" applyBorder="1" applyAlignment="1">
      <alignment horizontal="center" vertical="top"/>
    </xf>
    <xf numFmtId="0" fontId="1" fillId="0" borderId="0" xfId="0" applyNumberFormat="1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horizontal="center" vertical="top" wrapText="1"/>
    </xf>
    <xf numFmtId="49" fontId="3" fillId="4" borderId="2" xfId="0" applyNumberFormat="1" applyFont="1" applyFill="1" applyBorder="1" applyAlignment="1">
      <alignment horizontal="center" vertical="top" wrapText="1"/>
    </xf>
    <xf numFmtId="49" fontId="3" fillId="2" borderId="3" xfId="0" applyNumberFormat="1" applyFont="1" applyFill="1" applyBorder="1" applyAlignment="1">
      <alignment horizontal="center"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horizontal="right" wrapText="1"/>
    </xf>
    <xf numFmtId="49" fontId="3" fillId="2" borderId="7" xfId="0" applyNumberFormat="1" applyFont="1" applyFill="1" applyBorder="1" applyAlignment="1">
      <alignment horizontal="right" wrapText="1"/>
    </xf>
    <xf numFmtId="0" fontId="3" fillId="2" borderId="7" xfId="0" applyNumberFormat="1" applyFont="1" applyFill="1" applyBorder="1" applyAlignment="1">
      <alignment horizontal="right" vertical="top" wrapText="1"/>
    </xf>
    <xf numFmtId="49" fontId="3" fillId="2" borderId="7" xfId="0" applyNumberFormat="1" applyFont="1" applyFill="1" applyBorder="1" applyAlignment="1">
      <alignment horizontal="right" vertical="top" wrapText="1"/>
    </xf>
    <xf numFmtId="49" fontId="3" fillId="2" borderId="32" xfId="0" applyNumberFormat="1" applyFont="1" applyFill="1" applyBorder="1" applyAlignment="1">
      <alignment horizontal="right" vertical="top" wrapText="1"/>
    </xf>
    <xf numFmtId="49" fontId="3" fillId="2" borderId="36" xfId="0" applyNumberFormat="1" applyFont="1" applyFill="1" applyBorder="1" applyAlignment="1">
      <alignment horizontal="right" vertical="top" wrapText="1"/>
    </xf>
    <xf numFmtId="49" fontId="3" fillId="2" borderId="37" xfId="0" applyNumberFormat="1" applyFont="1" applyFill="1" applyBorder="1" applyAlignment="1">
      <alignment horizontal="right" vertical="top" wrapText="1"/>
    </xf>
    <xf numFmtId="49" fontId="3" fillId="2" borderId="38" xfId="0" applyNumberFormat="1" applyFont="1" applyFill="1" applyBorder="1" applyAlignment="1">
      <alignment horizontal="right" vertical="top" wrapText="1"/>
    </xf>
    <xf numFmtId="0" fontId="3" fillId="2" borderId="12" xfId="0" applyNumberFormat="1" applyFont="1" applyFill="1" applyBorder="1" applyAlignment="1">
      <alignment horizontal="left" vertical="top" wrapText="1"/>
    </xf>
    <xf numFmtId="0" fontId="28" fillId="3" borderId="4" xfId="0" applyNumberFormat="1" applyFont="1" applyFill="1" applyBorder="1" applyAlignment="1">
      <alignment horizontal="center"/>
    </xf>
    <xf numFmtId="0" fontId="28" fillId="3" borderId="7" xfId="0" applyNumberFormat="1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vertical="top"/>
    </xf>
    <xf numFmtId="0" fontId="1" fillId="9" borderId="7" xfId="0" applyNumberFormat="1" applyFont="1" applyFill="1" applyBorder="1" applyAlignment="1">
      <alignment horizontal="center" vertical="top"/>
    </xf>
    <xf numFmtId="49" fontId="3" fillId="5" borderId="7" xfId="0" applyNumberFormat="1" applyFont="1" applyFill="1" applyBorder="1" applyAlignment="1">
      <alignment horizontal="center" vertical="top"/>
    </xf>
    <xf numFmtId="0" fontId="1" fillId="3" borderId="7" xfId="0" applyNumberFormat="1" applyFont="1" applyFill="1" applyBorder="1" applyAlignment="1">
      <alignment horizontal="center" vertical="top"/>
    </xf>
    <xf numFmtId="9" fontId="1" fillId="3" borderId="7" xfId="0" applyNumberFormat="1" applyFont="1" applyFill="1" applyBorder="1" applyAlignment="1">
      <alignment horizontal="center" vertical="top"/>
    </xf>
    <xf numFmtId="0" fontId="28" fillId="3" borderId="32" xfId="0" applyNumberFormat="1" applyFont="1" applyFill="1" applyBorder="1" applyAlignment="1">
      <alignment horizontal="center"/>
    </xf>
    <xf numFmtId="0" fontId="28" fillId="3" borderId="35" xfId="0" applyNumberFormat="1" applyFont="1" applyFill="1" applyBorder="1" applyAlignment="1">
      <alignment horizontal="center"/>
    </xf>
    <xf numFmtId="0" fontId="1" fillId="5" borderId="12" xfId="0" applyNumberFormat="1" applyFont="1" applyFill="1" applyBorder="1" applyAlignment="1">
      <alignment vertical="top"/>
    </xf>
    <xf numFmtId="49" fontId="29" fillId="6" borderId="13" xfId="0" applyNumberFormat="1" applyFont="1" applyFill="1" applyBorder="1" applyAlignment="1">
      <alignment horizontal="center" vertical="top"/>
    </xf>
    <xf numFmtId="0" fontId="30" fillId="0" borderId="0" xfId="0" applyFont="1" applyAlignment="1">
      <alignment vertical="top" wrapText="1"/>
    </xf>
    <xf numFmtId="0" fontId="0" fillId="0" borderId="0" xfId="0">
      <alignment vertical="top" wrapText="1"/>
    </xf>
    <xf numFmtId="49" fontId="4" fillId="5" borderId="20" xfId="0" applyNumberFormat="1" applyFont="1" applyFill="1" applyBorder="1" applyAlignment="1">
      <alignment horizontal="center"/>
    </xf>
    <xf numFmtId="49" fontId="1" fillId="5" borderId="21" xfId="0" applyNumberFormat="1" applyFont="1" applyFill="1" applyBorder="1" applyAlignment="1">
      <alignment horizontal="center"/>
    </xf>
    <xf numFmtId="49" fontId="1" fillId="8" borderId="21" xfId="0" applyNumberFormat="1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0" borderId="28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164" fontId="8" fillId="5" borderId="4" xfId="0" applyNumberFormat="1" applyFont="1" applyFill="1" applyBorder="1" applyAlignment="1" applyProtection="1">
      <alignment horizontal="center" vertical="top"/>
      <protection locked="0"/>
    </xf>
    <xf numFmtId="164" fontId="8" fillId="0" borderId="40" xfId="0" applyNumberFormat="1" applyFont="1" applyBorder="1" applyAlignment="1" applyProtection="1">
      <alignment horizontal="center" vertical="top" wrapText="1"/>
      <protection locked="0"/>
    </xf>
    <xf numFmtId="0" fontId="1" fillId="0" borderId="57" xfId="0" applyNumberFormat="1" applyFont="1" applyBorder="1" applyAlignment="1">
      <alignment vertical="top"/>
    </xf>
    <xf numFmtId="0" fontId="1" fillId="0" borderId="58" xfId="0" applyNumberFormat="1" applyFont="1" applyBorder="1" applyAlignment="1">
      <alignment vertical="top"/>
    </xf>
    <xf numFmtId="0" fontId="1" fillId="0" borderId="59" xfId="0" applyNumberFormat="1" applyFont="1" applyBorder="1" applyAlignment="1">
      <alignment vertical="top"/>
    </xf>
    <xf numFmtId="1" fontId="1" fillId="5" borderId="60" xfId="0" applyNumberFormat="1" applyFont="1" applyFill="1" applyBorder="1" applyAlignment="1" applyProtection="1">
      <alignment horizontal="center" vertical="top"/>
      <protection locked="0"/>
    </xf>
    <xf numFmtId="9" fontId="1" fillId="5" borderId="61" xfId="0" applyNumberFormat="1" applyFont="1" applyFill="1" applyBorder="1" applyAlignment="1" applyProtection="1">
      <alignment horizontal="center" vertical="top"/>
      <protection locked="0"/>
    </xf>
    <xf numFmtId="9" fontId="1" fillId="5" borderId="60" xfId="0" applyNumberFormat="1" applyFont="1" applyFill="1" applyBorder="1" applyAlignment="1" applyProtection="1">
      <alignment horizontal="center" vertical="top"/>
      <protection locked="0"/>
    </xf>
    <xf numFmtId="9" fontId="1" fillId="5" borderId="62" xfId="0" applyNumberFormat="1" applyFont="1" applyFill="1" applyBorder="1" applyAlignment="1" applyProtection="1">
      <alignment horizontal="center" vertical="top"/>
      <protection locked="0"/>
    </xf>
    <xf numFmtId="0" fontId="1" fillId="5" borderId="60" xfId="0" applyNumberFormat="1" applyFont="1" applyFill="1" applyBorder="1" applyAlignment="1" applyProtection="1">
      <alignment horizontal="center" vertical="top"/>
      <protection locked="0"/>
    </xf>
    <xf numFmtId="0" fontId="1" fillId="5" borderId="63" xfId="0" applyNumberFormat="1" applyFont="1" applyFill="1" applyBorder="1" applyAlignment="1" applyProtection="1">
      <alignment horizontal="center" vertical="top"/>
      <protection locked="0"/>
    </xf>
    <xf numFmtId="0" fontId="1" fillId="5" borderId="60" xfId="0" applyNumberFormat="1" applyFont="1" applyFill="1" applyBorder="1" applyAlignment="1" applyProtection="1">
      <alignment horizontal="right" vertical="top"/>
      <protection locked="0"/>
    </xf>
    <xf numFmtId="0" fontId="1" fillId="5" borderId="63" xfId="0" applyNumberFormat="1" applyFont="1" applyFill="1" applyBorder="1" applyAlignment="1" applyProtection="1">
      <alignment vertical="top"/>
      <protection locked="0"/>
    </xf>
    <xf numFmtId="0" fontId="1" fillId="5" borderId="60" xfId="0" applyNumberFormat="1" applyFont="1" applyFill="1" applyBorder="1" applyAlignment="1" applyProtection="1">
      <alignment vertical="top"/>
      <protection locked="0"/>
    </xf>
    <xf numFmtId="0" fontId="28" fillId="5" borderId="60" xfId="0" applyNumberFormat="1" applyFont="1" applyFill="1" applyBorder="1" applyAlignment="1" applyProtection="1">
      <alignment horizontal="center"/>
      <protection locked="0"/>
    </xf>
    <xf numFmtId="0" fontId="1" fillId="0" borderId="64" xfId="0" applyNumberFormat="1" applyFont="1" applyBorder="1" applyAlignment="1">
      <alignment vertical="top"/>
    </xf>
    <xf numFmtId="0" fontId="8" fillId="0" borderId="59" xfId="0" applyNumberFormat="1" applyFont="1" applyBorder="1" applyAlignment="1">
      <alignment vertical="top"/>
    </xf>
    <xf numFmtId="0" fontId="8" fillId="0" borderId="57" xfId="0" applyNumberFormat="1" applyFont="1" applyBorder="1" applyAlignment="1">
      <alignment vertical="top"/>
    </xf>
    <xf numFmtId="0" fontId="8" fillId="0" borderId="58" xfId="0" applyNumberFormat="1" applyFont="1" applyBorder="1" applyAlignment="1">
      <alignment vertical="top"/>
    </xf>
    <xf numFmtId="0" fontId="8" fillId="0" borderId="64" xfId="0" applyNumberFormat="1" applyFont="1" applyBorder="1" applyAlignment="1">
      <alignment vertical="top"/>
    </xf>
    <xf numFmtId="0" fontId="8" fillId="0" borderId="65" xfId="0" applyNumberFormat="1" applyFont="1" applyBorder="1" applyAlignment="1">
      <alignment vertical="top"/>
    </xf>
    <xf numFmtId="165" fontId="18" fillId="12" borderId="0" xfId="4" applyNumberFormat="1" applyFont="1" applyFill="1" applyAlignment="1">
      <alignment horizontal="left" vertical="top"/>
    </xf>
  </cellXfs>
  <cellStyles count="6">
    <cellStyle name="Komma 2" xfId="5" xr:uid="{563FB457-D7F1-7749-868B-84286BECE77B}"/>
    <cellStyle name="Kop 1 2" xfId="3" xr:uid="{A75F54EA-B8F9-7A40-ADB5-C39B67D97616}"/>
    <cellStyle name="Kop 2 2" xfId="4" xr:uid="{907DDF31-C54B-294F-B3F5-E8661B2C935A}"/>
    <cellStyle name="Standaard" xfId="0" builtinId="0"/>
    <cellStyle name="Standaard 2" xfId="1" xr:uid="{4408884F-4FD9-E14B-89D8-B48B04061FBB}"/>
    <cellStyle name="Titel 2" xfId="2" xr:uid="{25360A24-5DCD-154B-A990-2B4F74DB4747}"/>
  </cellStyles>
  <dxfs count="72"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AEAEA"/>
      <rgbColor rgb="FFD6D6D6"/>
      <rgbColor rgb="FFC3EEB4"/>
      <rgbColor rgb="FFFEFB00"/>
      <rgbColor rgb="FFFFFFFF"/>
      <rgbColor rgb="FFBDD6EE"/>
      <rgbColor rgb="FFA5A5A5"/>
      <rgbColor rgb="FF999999"/>
      <rgbColor rgb="FF584D4C"/>
      <rgbColor rgb="FFEAEAEA"/>
      <rgbColor rgb="FFFEFFF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0C8CA"/>
      <color rgb="FFC3E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3</xdr:row>
      <xdr:rowOff>257176</xdr:rowOff>
    </xdr:from>
    <xdr:to>
      <xdr:col>25</xdr:col>
      <xdr:colOff>57150</xdr:colOff>
      <xdr:row>9</xdr:row>
      <xdr:rowOff>161926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7CEBE45B-2B25-384A-A2B0-E28273006D59}"/>
            </a:ext>
          </a:extLst>
        </xdr:cNvPr>
        <xdr:cNvSpPr txBox="1"/>
      </xdr:nvSpPr>
      <xdr:spPr>
        <a:xfrm>
          <a:off x="7343775" y="1057276"/>
          <a:ext cx="6886575" cy="1276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>
              <a:solidFill>
                <a:schemeClr val="bg1"/>
              </a:solidFill>
            </a:rPr>
            <a:t>Activiteiten</a:t>
          </a:r>
          <a:r>
            <a:rPr lang="en-AU" sz="1000" baseline="0">
              <a:solidFill>
                <a:schemeClr val="bg1"/>
              </a:solidFill>
            </a:rPr>
            <a:t> </a:t>
          </a:r>
          <a:r>
            <a:rPr lang="en-AU" sz="1000">
              <a:solidFill>
                <a:schemeClr val="bg1"/>
              </a:solidFill>
            </a:rPr>
            <a:t>level:</a:t>
          </a:r>
          <a:br>
            <a:rPr lang="en-AU" sz="1000">
              <a:solidFill>
                <a:schemeClr val="bg1"/>
              </a:solidFill>
            </a:rPr>
          </a:br>
          <a:r>
            <a:rPr lang="en-AU" sz="1000">
              <a:solidFill>
                <a:schemeClr val="bg1"/>
              </a:solidFill>
            </a:rPr>
            <a:t>1,2 = Sedentair (kantoorbaan, weinig structurele beweging) </a:t>
          </a:r>
        </a:p>
        <a:p>
          <a:r>
            <a:rPr lang="en-AU" sz="1000">
              <a:solidFill>
                <a:schemeClr val="bg1"/>
              </a:solidFill>
            </a:rPr>
            <a:t>1,3 = Licht Actief (lichte dagelijkse activiteit EN 1-3 keer per week lichte training) </a:t>
          </a:r>
        </a:p>
        <a:p>
          <a:r>
            <a:rPr lang="en-AU" sz="1000">
              <a:solidFill>
                <a:schemeClr val="bg1"/>
              </a:solidFill>
            </a:rPr>
            <a:t>1,4 = Licht Actief Plus (gemiddelde dagelijkse activiteit</a:t>
          </a:r>
          <a:r>
            <a:rPr lang="en-AU" sz="1000" baseline="0">
              <a:solidFill>
                <a:schemeClr val="bg1"/>
              </a:solidFill>
            </a:rPr>
            <a:t> EN 2-3 per week lichte/gemiddelde training)</a:t>
          </a:r>
          <a:br>
            <a:rPr lang="en-AU" sz="1000">
              <a:solidFill>
                <a:schemeClr val="bg1"/>
              </a:solidFill>
            </a:rPr>
          </a:br>
          <a:r>
            <a:rPr lang="en-AU" sz="1000">
              <a:solidFill>
                <a:schemeClr val="bg1"/>
              </a:solidFill>
            </a:rPr>
            <a:t>1,5 = Gemiddeld Actief (gemiddelde dagelijkse activiteit EN 4-5 keer per week gemiddelde/ stevige training)</a:t>
          </a:r>
        </a:p>
        <a:p>
          <a:r>
            <a:rPr lang="en-AU" sz="1000">
              <a:solidFill>
                <a:schemeClr val="bg1"/>
              </a:solidFill>
            </a:rPr>
            <a:t>1,7 = Erg Actief (fysiek inspannende leefstijl EN 6-7 keer per week intensieve training) </a:t>
          </a:r>
        </a:p>
        <a:p>
          <a:r>
            <a:rPr lang="en-AU" sz="1000">
              <a:solidFill>
                <a:schemeClr val="bg1"/>
              </a:solidFill>
            </a:rPr>
            <a:t>1,9 = Extreem Actief (atleet met duurtraining of BUITENGEWOON fysiek uitputtend werk)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3</xdr:row>
      <xdr:rowOff>257176</xdr:rowOff>
    </xdr:from>
    <xdr:to>
      <xdr:col>25</xdr:col>
      <xdr:colOff>57150</xdr:colOff>
      <xdr:row>9</xdr:row>
      <xdr:rowOff>161926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310FB282-3A08-408D-BC02-33D1CF28F394}"/>
            </a:ext>
          </a:extLst>
        </xdr:cNvPr>
        <xdr:cNvSpPr txBox="1"/>
      </xdr:nvSpPr>
      <xdr:spPr>
        <a:xfrm>
          <a:off x="6863715" y="1064896"/>
          <a:ext cx="7061835" cy="1291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>
              <a:solidFill>
                <a:schemeClr val="bg1"/>
              </a:solidFill>
            </a:rPr>
            <a:t>Activiteiten</a:t>
          </a:r>
          <a:r>
            <a:rPr lang="en-AU" sz="1000" baseline="0">
              <a:solidFill>
                <a:schemeClr val="bg1"/>
              </a:solidFill>
            </a:rPr>
            <a:t> </a:t>
          </a:r>
          <a:r>
            <a:rPr lang="en-AU" sz="1000">
              <a:solidFill>
                <a:schemeClr val="bg1"/>
              </a:solidFill>
            </a:rPr>
            <a:t>level:</a:t>
          </a:r>
          <a:br>
            <a:rPr lang="en-AU" sz="1000">
              <a:solidFill>
                <a:schemeClr val="bg1"/>
              </a:solidFill>
            </a:rPr>
          </a:br>
          <a:r>
            <a:rPr lang="en-AU" sz="1000">
              <a:solidFill>
                <a:schemeClr val="bg1"/>
              </a:solidFill>
            </a:rPr>
            <a:t>1,2 = Sedentair (kantoorbaan, weinig structurele beweging) </a:t>
          </a:r>
        </a:p>
        <a:p>
          <a:r>
            <a:rPr lang="en-AU" sz="1000">
              <a:solidFill>
                <a:schemeClr val="bg1"/>
              </a:solidFill>
            </a:rPr>
            <a:t>1,3 = Licht Actief (lichte dagelijkse activiteit EN 1-3 keer per week lichte training) </a:t>
          </a:r>
        </a:p>
        <a:p>
          <a:r>
            <a:rPr lang="en-AU" sz="1000">
              <a:solidFill>
                <a:schemeClr val="bg1"/>
              </a:solidFill>
            </a:rPr>
            <a:t>1,4 = Licht Actief Plus (lichte dagelijkse activiteit</a:t>
          </a:r>
          <a:r>
            <a:rPr lang="en-AU" sz="1000" baseline="0">
              <a:solidFill>
                <a:schemeClr val="bg1"/>
              </a:solidFill>
            </a:rPr>
            <a:t> EN 2-3 per week lichte/gemiddelde training)</a:t>
          </a:r>
          <a:br>
            <a:rPr lang="en-AU" sz="1000">
              <a:solidFill>
                <a:schemeClr val="bg1"/>
              </a:solidFill>
            </a:rPr>
          </a:br>
          <a:r>
            <a:rPr lang="en-AU" sz="1000">
              <a:solidFill>
                <a:schemeClr val="bg1"/>
              </a:solidFill>
            </a:rPr>
            <a:t>1,5 = Gemiddeld Actief (gemiddelde dagelijkse activiteit EN 4-5 keer per week gemiddelde/ stevige training)</a:t>
          </a:r>
        </a:p>
        <a:p>
          <a:r>
            <a:rPr lang="en-AU" sz="1000">
              <a:solidFill>
                <a:schemeClr val="bg1"/>
              </a:solidFill>
            </a:rPr>
            <a:t>1,7 = Erg Actief (fysiek inspannende leefstijl EN 6-7 keer per week intensieve training) </a:t>
          </a:r>
        </a:p>
        <a:p>
          <a:r>
            <a:rPr lang="en-AU" sz="1000">
              <a:solidFill>
                <a:schemeClr val="bg1"/>
              </a:solidFill>
            </a:rPr>
            <a:t>1,9 = Extreem Actief (atleet met duurtraining of BUITENGEWOON fysiek uitputtend werk) </a:t>
          </a: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D2D7-DD28-084A-9217-BB9CAB892D88}">
  <sheetPr>
    <tabColor theme="4"/>
    <pageSetUpPr autoPageBreaks="0" fitToPage="1"/>
  </sheetPr>
  <dimension ref="A1:AM49"/>
  <sheetViews>
    <sheetView showGridLines="0" zoomScaleNormal="100" workbookViewId="0">
      <selection activeCell="I5" sqref="I5:I8"/>
    </sheetView>
  </sheetViews>
  <sheetFormatPr defaultColWidth="7.6328125" defaultRowHeight="15.75" customHeight="1"/>
  <cols>
    <col min="1" max="1" width="1.453125" style="22" customWidth="1"/>
    <col min="2" max="2" width="9" style="22" customWidth="1"/>
    <col min="3" max="3" width="3.6328125" style="22" customWidth="1"/>
    <col min="4" max="4" width="5.08984375" style="22" customWidth="1"/>
    <col min="5" max="5" width="8.36328125" style="22" customWidth="1"/>
    <col min="6" max="6" width="3.6328125" style="23" customWidth="1"/>
    <col min="7" max="7" width="4.453125" style="23" customWidth="1"/>
    <col min="8" max="8" width="42.453125" style="23" bestFit="1" customWidth="1"/>
    <col min="9" max="9" width="6.453125" style="23" customWidth="1"/>
    <col min="10" max="10" width="10.6328125" style="23" customWidth="1"/>
    <col min="11" max="11" width="9" style="23" customWidth="1"/>
    <col min="12" max="12" width="16.36328125" style="23" customWidth="1"/>
    <col min="13" max="13" width="17.08984375" style="23" customWidth="1"/>
    <col min="14" max="14" width="10.81640625" style="23" customWidth="1"/>
    <col min="15" max="15" width="10.6328125" style="23" customWidth="1"/>
    <col min="16" max="16" width="12.08984375" style="23" customWidth="1"/>
    <col min="17" max="39" width="3.453125" style="23" customWidth="1"/>
    <col min="40" max="16384" width="7.6328125" style="23"/>
  </cols>
  <sheetData>
    <row r="1" spans="1:39" ht="18" customHeight="1" thickBot="1">
      <c r="AM1" s="23" t="s">
        <v>63</v>
      </c>
    </row>
    <row r="2" spans="1:39" ht="27.75" customHeight="1" thickBot="1">
      <c r="I2" s="105" t="s">
        <v>64</v>
      </c>
      <c r="J2" s="103"/>
      <c r="K2" s="103"/>
      <c r="L2" s="104"/>
      <c r="AM2" s="23" t="s">
        <v>63</v>
      </c>
    </row>
    <row r="3" spans="1:39" ht="18" customHeight="1">
      <c r="I3" s="24"/>
      <c r="J3" s="24"/>
      <c r="K3" s="24"/>
      <c r="L3" s="24"/>
      <c r="M3" s="24"/>
      <c r="N3" s="24"/>
      <c r="O3" s="24"/>
      <c r="P3" s="24"/>
      <c r="Q3" s="24"/>
    </row>
    <row r="4" spans="1:39" ht="22.5" customHeight="1" thickBot="1">
      <c r="A4" s="100" t="s">
        <v>65</v>
      </c>
      <c r="B4" s="101"/>
      <c r="C4" s="101"/>
      <c r="D4" s="101"/>
      <c r="E4" s="101"/>
      <c r="F4" s="102"/>
      <c r="H4" s="168" t="s">
        <v>66</v>
      </c>
      <c r="I4" s="168"/>
      <c r="J4" s="168"/>
      <c r="K4" s="168"/>
      <c r="L4" s="168"/>
      <c r="M4" s="25"/>
      <c r="N4" s="25"/>
      <c r="O4" s="25"/>
      <c r="W4" s="25"/>
    </row>
    <row r="5" spans="1:39" ht="18.75" customHeight="1">
      <c r="A5" s="26"/>
      <c r="B5" s="27"/>
      <c r="H5" s="28" t="s">
        <v>67</v>
      </c>
      <c r="I5" s="91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9" ht="18" customHeight="1">
      <c r="A6" s="26"/>
      <c r="B6" s="30" t="s">
        <v>68</v>
      </c>
      <c r="H6" s="31" t="s">
        <v>69</v>
      </c>
      <c r="I6" s="9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spans="1:39" ht="18" customHeight="1">
      <c r="A7" s="26"/>
      <c r="B7" s="99" t="s">
        <v>70</v>
      </c>
      <c r="H7" s="31" t="s">
        <v>71</v>
      </c>
      <c r="I7" s="92"/>
    </row>
    <row r="8" spans="1:39" ht="17.25" customHeight="1">
      <c r="C8" s="33"/>
      <c r="D8" s="33"/>
      <c r="E8" s="23"/>
      <c r="H8" s="31" t="s">
        <v>72</v>
      </c>
      <c r="I8" s="92"/>
    </row>
    <row r="9" spans="1:39" ht="15.75" customHeight="1">
      <c r="B9" s="23"/>
      <c r="C9" s="23"/>
      <c r="D9" s="23"/>
      <c r="E9" s="34"/>
      <c r="F9" s="34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32"/>
    </row>
    <row r="10" spans="1:39" ht="21.75" customHeight="1">
      <c r="B10" s="23"/>
      <c r="C10" s="23"/>
      <c r="D10" s="23"/>
      <c r="E10" s="23"/>
      <c r="F10" s="34"/>
      <c r="H10" s="168" t="s">
        <v>73</v>
      </c>
      <c r="I10" s="168"/>
      <c r="J10" s="168"/>
      <c r="K10" s="168"/>
      <c r="L10" s="168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spans="1:39" ht="15.75" customHeight="1">
      <c r="B11" s="23"/>
      <c r="C11" s="23"/>
      <c r="D11" s="23"/>
      <c r="E11" s="23"/>
      <c r="H11" s="28" t="s">
        <v>74</v>
      </c>
      <c r="I11" s="35">
        <f>(10*I5)+(6.25*I6)-(5*I7)+5</f>
        <v>5</v>
      </c>
      <c r="J11" s="29"/>
      <c r="K11" s="29"/>
      <c r="L11" s="29"/>
      <c r="M11" s="29"/>
      <c r="N11" s="29"/>
      <c r="O11" s="29"/>
      <c r="P11" s="29"/>
      <c r="Q11" s="29"/>
    </row>
    <row r="12" spans="1:39" ht="22.5" customHeight="1">
      <c r="B12" s="23"/>
      <c r="C12" s="23"/>
      <c r="D12" s="36"/>
      <c r="E12" s="23"/>
      <c r="F12" s="37"/>
      <c r="H12" s="31" t="s">
        <v>75</v>
      </c>
      <c r="I12" s="38">
        <f>I8*I11</f>
        <v>0</v>
      </c>
      <c r="J12" s="32"/>
      <c r="K12" s="32"/>
      <c r="L12" s="32"/>
      <c r="M12" s="32"/>
      <c r="N12" s="32"/>
      <c r="O12" s="32"/>
      <c r="P12" s="32"/>
    </row>
    <row r="13" spans="1:39" ht="15.75" customHeight="1"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9" ht="22.5" customHeight="1">
      <c r="H14" s="168" t="s">
        <v>76</v>
      </c>
      <c r="I14" s="168"/>
      <c r="J14" s="168"/>
      <c r="K14" s="168"/>
      <c r="L14" s="168"/>
      <c r="M14" s="25"/>
      <c r="N14" s="25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</row>
    <row r="15" spans="1:39" ht="15.75" customHeight="1">
      <c r="H15" s="28" t="s">
        <v>77</v>
      </c>
      <c r="I15" s="39">
        <f>I12*0.2</f>
        <v>0</v>
      </c>
      <c r="J15" s="28"/>
      <c r="K15" s="28"/>
      <c r="L15" s="28"/>
      <c r="M15" s="29"/>
      <c r="N15" s="29"/>
      <c r="O15" s="29"/>
      <c r="P15" s="29"/>
      <c r="Q15" s="29"/>
    </row>
    <row r="16" spans="1:39" ht="22.5" customHeight="1">
      <c r="H16" s="31" t="s">
        <v>78</v>
      </c>
      <c r="I16" s="38">
        <f>I12-I15</f>
        <v>0</v>
      </c>
      <c r="J16" s="31"/>
      <c r="K16" s="31"/>
      <c r="L16" s="31"/>
      <c r="M16" s="32"/>
      <c r="N16" s="32"/>
      <c r="O16" s="32"/>
      <c r="P16" s="32"/>
      <c r="Q16" s="32"/>
    </row>
    <row r="17" spans="8:38" ht="14.25" customHeight="1">
      <c r="H17" s="40"/>
      <c r="I17" s="40"/>
      <c r="J17" s="40"/>
      <c r="K17" s="40"/>
      <c r="L17" s="40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8:38" ht="24" customHeight="1">
      <c r="H18" s="168" t="s">
        <v>79</v>
      </c>
      <c r="I18" s="168"/>
      <c r="J18" s="168"/>
      <c r="K18" s="168"/>
      <c r="L18" s="168"/>
    </row>
    <row r="19" spans="8:38" ht="22.5" customHeight="1">
      <c r="H19" s="28" t="s">
        <v>80</v>
      </c>
      <c r="I19" s="39">
        <f>I16</f>
        <v>0</v>
      </c>
      <c r="J19" s="28"/>
      <c r="K19" s="28"/>
      <c r="L19" s="28"/>
      <c r="M19" s="29"/>
      <c r="N19" s="29"/>
      <c r="O19" s="29"/>
      <c r="P19" s="29"/>
      <c r="Q19" s="29"/>
    </row>
    <row r="20" spans="8:38" ht="22.5" customHeight="1">
      <c r="H20" s="28"/>
      <c r="I20" s="39"/>
      <c r="J20" s="28"/>
      <c r="K20" s="28"/>
      <c r="L20" s="28"/>
      <c r="M20" s="29"/>
      <c r="N20" s="29"/>
      <c r="O20" s="29"/>
      <c r="P20" s="29"/>
      <c r="Q20" s="29"/>
    </row>
    <row r="21" spans="8:38" ht="22.5" customHeight="1">
      <c r="H21" s="41" t="s">
        <v>81</v>
      </c>
      <c r="I21" s="42"/>
      <c r="J21" s="43"/>
      <c r="K21" s="28"/>
      <c r="L21" s="28"/>
      <c r="M21" s="29"/>
      <c r="N21" s="29"/>
      <c r="O21" s="29"/>
      <c r="P21" s="29"/>
      <c r="Q21" s="29"/>
    </row>
    <row r="22" spans="8:38" ht="22.5" customHeight="1">
      <c r="H22" s="28" t="s">
        <v>82</v>
      </c>
      <c r="I22" s="39">
        <f>I12*0.9</f>
        <v>0</v>
      </c>
      <c r="J22" s="28"/>
      <c r="K22" s="28"/>
      <c r="L22" s="28"/>
      <c r="M22" s="29"/>
      <c r="N22" s="29"/>
      <c r="O22" s="29"/>
      <c r="P22" s="29"/>
      <c r="Q22" s="29"/>
    </row>
    <row r="23" spans="8:38" ht="15.75" customHeight="1">
      <c r="H23" s="40"/>
      <c r="I23" s="40"/>
      <c r="J23" s="40"/>
      <c r="K23" s="40"/>
      <c r="L23" s="40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8:38" ht="20.25" customHeight="1">
      <c r="H24" s="168" t="s">
        <v>83</v>
      </c>
      <c r="I24" s="168"/>
      <c r="J24" s="168"/>
      <c r="K24" s="168"/>
      <c r="L24" s="168"/>
      <c r="M24" s="168" t="s">
        <v>84</v>
      </c>
      <c r="N24" s="168"/>
      <c r="O24" s="168"/>
      <c r="P24" s="168"/>
      <c r="Q24" s="168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</row>
    <row r="25" spans="8:38" ht="18.75" customHeight="1">
      <c r="H25" s="41" t="s">
        <v>85</v>
      </c>
      <c r="I25" s="44" t="s">
        <v>86</v>
      </c>
      <c r="J25" s="44" t="s">
        <v>87</v>
      </c>
      <c r="K25" s="44" t="s">
        <v>88</v>
      </c>
      <c r="L25" s="28"/>
      <c r="M25" s="41" t="s">
        <v>89</v>
      </c>
      <c r="N25" s="44" t="s">
        <v>86</v>
      </c>
      <c r="O25" s="44" t="s">
        <v>87</v>
      </c>
      <c r="P25" s="44" t="s">
        <v>88</v>
      </c>
      <c r="Q25" s="28"/>
    </row>
    <row r="26" spans="8:38" ht="15.75" customHeight="1">
      <c r="H26" s="45" t="s">
        <v>90</v>
      </c>
      <c r="I26" s="36">
        <v>25</v>
      </c>
      <c r="J26" s="38">
        <f>I19*0.25</f>
        <v>0</v>
      </c>
      <c r="K26" s="38">
        <f>J26/9</f>
        <v>0</v>
      </c>
      <c r="L26" s="36"/>
      <c r="M26" s="45" t="s">
        <v>90</v>
      </c>
      <c r="N26" s="36">
        <v>20</v>
      </c>
      <c r="O26" s="38">
        <f>I22*0.2</f>
        <v>0</v>
      </c>
      <c r="P26" s="38">
        <f>O26/9</f>
        <v>0</v>
      </c>
      <c r="Q26" s="36"/>
    </row>
    <row r="27" spans="8:38" ht="17.25" customHeight="1">
      <c r="H27" s="23" t="s">
        <v>91</v>
      </c>
      <c r="I27" s="36">
        <v>40</v>
      </c>
      <c r="J27" s="38">
        <f>I19*0.4</f>
        <v>0</v>
      </c>
      <c r="K27" s="38">
        <f>J27/4</f>
        <v>0</v>
      </c>
      <c r="M27" s="23" t="s">
        <v>91</v>
      </c>
      <c r="N27" s="36">
        <v>50</v>
      </c>
      <c r="O27" s="38">
        <f>I22*0.5</f>
        <v>0</v>
      </c>
      <c r="P27" s="38">
        <f>O27/4</f>
        <v>0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45"/>
    </row>
    <row r="28" spans="8:38" ht="20.25" customHeight="1">
      <c r="H28" s="23" t="s">
        <v>92</v>
      </c>
      <c r="I28" s="36">
        <v>35</v>
      </c>
      <c r="J28" s="38">
        <f>I19*0.35</f>
        <v>0</v>
      </c>
      <c r="K28" s="38">
        <f>J28/4</f>
        <v>0</v>
      </c>
      <c r="M28" s="23" t="s">
        <v>92</v>
      </c>
      <c r="N28" s="36">
        <v>30</v>
      </c>
      <c r="O28" s="38">
        <f>I22*0.3</f>
        <v>0</v>
      </c>
      <c r="P28" s="38">
        <f>O28/4</f>
        <v>0</v>
      </c>
    </row>
    <row r="29" spans="8:38" ht="21" customHeight="1">
      <c r="H29" s="31" t="s">
        <v>93</v>
      </c>
      <c r="I29" s="36"/>
      <c r="J29" s="46">
        <f>J28+J27+J26</f>
        <v>0</v>
      </c>
      <c r="K29" s="38"/>
      <c r="L29" s="36"/>
      <c r="M29" s="31" t="s">
        <v>93</v>
      </c>
      <c r="N29" s="36"/>
      <c r="O29" s="38">
        <f>O28+O27+O26</f>
        <v>0</v>
      </c>
      <c r="P29" s="38"/>
      <c r="Q29" s="36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8:38" ht="18" customHeight="1"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</row>
    <row r="31" spans="8:38" ht="19.5" customHeight="1">
      <c r="H31" s="47" t="s">
        <v>94</v>
      </c>
      <c r="I31" s="47"/>
      <c r="J31" s="47"/>
      <c r="K31" s="47"/>
      <c r="L31" s="47"/>
      <c r="M31" s="29"/>
      <c r="N31" s="29"/>
      <c r="O31" s="29"/>
      <c r="P31" s="29"/>
      <c r="Q31" s="29"/>
    </row>
    <row r="32" spans="8:38" ht="20.25" customHeight="1">
      <c r="H32" s="41" t="s">
        <v>95</v>
      </c>
      <c r="I32" s="44" t="s">
        <v>90</v>
      </c>
      <c r="J32" s="44" t="s">
        <v>96</v>
      </c>
      <c r="K32" s="44" t="s">
        <v>92</v>
      </c>
      <c r="L32" s="44" t="s">
        <v>87</v>
      </c>
      <c r="M32" s="36"/>
      <c r="N32" s="32"/>
      <c r="O32" s="32"/>
      <c r="P32" s="32"/>
      <c r="Q32" s="32"/>
    </row>
    <row r="33" spans="8:38" ht="15.75" customHeight="1">
      <c r="H33" s="40" t="s">
        <v>83</v>
      </c>
      <c r="I33" s="38">
        <f>K26</f>
        <v>0</v>
      </c>
      <c r="J33" s="38">
        <f>K27</f>
        <v>0</v>
      </c>
      <c r="K33" s="38">
        <f>K28</f>
        <v>0</v>
      </c>
      <c r="L33" s="38">
        <f>J29</f>
        <v>0</v>
      </c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8:38" ht="15.75" customHeight="1">
      <c r="H34" s="40" t="s">
        <v>84</v>
      </c>
      <c r="I34" s="38">
        <f>P26</f>
        <v>0</v>
      </c>
      <c r="J34" s="38">
        <f>P27</f>
        <v>0</v>
      </c>
      <c r="K34" s="38">
        <f>P28</f>
        <v>0</v>
      </c>
      <c r="L34" s="38">
        <f>O29</f>
        <v>0</v>
      </c>
    </row>
    <row r="35" spans="8:38" ht="18" customHeight="1">
      <c r="H35" s="48"/>
      <c r="I35" s="48"/>
      <c r="J35" s="48"/>
      <c r="K35" s="48"/>
      <c r="L35" s="48"/>
      <c r="M35" s="49"/>
      <c r="N35" s="29"/>
      <c r="O35" s="29"/>
      <c r="P35" s="29"/>
      <c r="Q35" s="29"/>
    </row>
    <row r="36" spans="8:38" ht="15.75" customHeight="1">
      <c r="H36" s="41"/>
      <c r="I36" s="44"/>
      <c r="J36" s="44"/>
      <c r="K36" s="44"/>
      <c r="L36" s="44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8:38" ht="15.75" customHeight="1">
      <c r="I37" s="39"/>
      <c r="J37" s="39"/>
      <c r="K37" s="39"/>
      <c r="L37" s="39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45"/>
    </row>
    <row r="38" spans="8:38" ht="15.75" customHeight="1">
      <c r="I38" s="38"/>
      <c r="J38" s="38"/>
      <c r="K38" s="38"/>
      <c r="L38" s="38"/>
      <c r="M38" s="29"/>
      <c r="N38" s="29"/>
      <c r="O38" s="29"/>
      <c r="P38" s="29"/>
      <c r="Q38" s="29"/>
    </row>
    <row r="39" spans="8:38" ht="17.25" customHeight="1">
      <c r="I39" s="38"/>
      <c r="J39" s="38"/>
      <c r="K39" s="38"/>
      <c r="L39" s="38"/>
      <c r="N39" s="36"/>
      <c r="O39" s="32"/>
      <c r="P39" s="32"/>
      <c r="Q39" s="32"/>
    </row>
    <row r="40" spans="8:38" ht="15.75" customHeight="1">
      <c r="H40" s="50"/>
      <c r="I40" s="39"/>
      <c r="J40" s="39"/>
      <c r="K40" s="39"/>
      <c r="L40" s="3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 spans="8:38" ht="15.75" customHeight="1">
      <c r="I41" s="38"/>
      <c r="J41" s="38"/>
      <c r="K41" s="38"/>
      <c r="L41" s="38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</row>
    <row r="42" spans="8:38" ht="15.75" customHeight="1">
      <c r="I42" s="38"/>
      <c r="J42" s="38"/>
      <c r="K42" s="38"/>
      <c r="L42" s="38"/>
      <c r="M42" s="29"/>
      <c r="N42" s="29"/>
      <c r="O42" s="29"/>
      <c r="P42" s="29"/>
      <c r="Q42" s="29"/>
    </row>
    <row r="43" spans="8:38" ht="15.75" customHeight="1">
      <c r="I43" s="38"/>
      <c r="J43" s="38"/>
      <c r="K43" s="38"/>
      <c r="L43" s="38"/>
      <c r="M43" s="49"/>
      <c r="N43" s="49"/>
      <c r="O43" s="32"/>
      <c r="P43" s="32"/>
      <c r="Q43" s="32"/>
    </row>
    <row r="44" spans="8:38" ht="15.75" customHeight="1">
      <c r="M44" s="49"/>
      <c r="N44" s="4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 spans="8:38" ht="15.75" customHeight="1">
      <c r="M45" s="36"/>
      <c r="N45" s="36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45"/>
    </row>
    <row r="48" spans="8:38" ht="15.75" customHeight="1">
      <c r="H48" s="49"/>
      <c r="I48" s="49"/>
      <c r="J48" s="49"/>
      <c r="K48" s="49"/>
      <c r="L48" s="49"/>
      <c r="M48" s="49"/>
      <c r="N48" s="4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</row>
    <row r="49" spans="18:38" ht="15.75" customHeight="1"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</sheetData>
  <sheetProtection algorithmName="SHA-512" hashValue="Frla3aV4OTVF9WoIhqhefm0DTJ6Yk9lRXVl5MmjNyrBDVs3VxVSUCHcVp3Gu0kt/ZFpTaLJYzamr2Jw5Ne02PA==" saltValue="QxG0Jx7HJDS8arNyGxlJXA==" spinCount="100000" sheet="1" objects="1" scenarios="1"/>
  <mergeCells count="6">
    <mergeCell ref="M24:Q24"/>
    <mergeCell ref="H4:L4"/>
    <mergeCell ref="H10:L10"/>
    <mergeCell ref="H14:L14"/>
    <mergeCell ref="H18:L18"/>
    <mergeCell ref="H24:L24"/>
  </mergeCells>
  <conditionalFormatting sqref="H12 H16 H26:L26 H29:L29 H37 R49:AL49 H33:L33 R27:AK27 R24:AL24 M45:AK45 H41:L41 R30:AL30 M32:Q32 R41:AL41 O43:Q43 R10:AI10 J12:P12 R14:AL14 J16:Q16 R37:AK37 N39:Q39 J6:AL6 H7:I7">
    <cfRule type="expression" dxfId="71" priority="21">
      <formula>VLOOKUP(H6,ImportantDates,1,FALSE)=H6</formula>
    </cfRule>
    <cfRule type="expression" dxfId="70" priority="23">
      <formula>H6=DateToday</formula>
    </cfRule>
  </conditionalFormatting>
  <conditionalFormatting sqref="H11 H15 H25:L25 H32:K32 R23:AL23 M44:AK44 H40:L40 H36:L36 I37:L37 R29:AL29 M31:Q31 R48:AL48 R9:AI9 J11:Q11 R13:AL13 J15:Q15 R36:AK36 N38:Q38 R40:AL40 M42:Q42 J5:AL5">
    <cfRule type="expression" dxfId="69" priority="22">
      <formula>H6=DateToday</formula>
    </cfRule>
    <cfRule type="expression" dxfId="68" priority="24">
      <formula>VLOOKUP(H6,ImportantDates,1,FALSE)=H6</formula>
    </cfRule>
  </conditionalFormatting>
  <conditionalFormatting sqref="M26:Q26 M29:Q29">
    <cfRule type="expression" dxfId="67" priority="15">
      <formula>VLOOKUP(M26,ImportantDates,1,FALSE)=M26</formula>
    </cfRule>
    <cfRule type="expression" dxfId="66" priority="17">
      <formula>M26=DateToday</formula>
    </cfRule>
  </conditionalFormatting>
  <conditionalFormatting sqref="M25:Q25">
    <cfRule type="expression" dxfId="65" priority="16">
      <formula>M26=DateToday</formula>
    </cfRule>
    <cfRule type="expression" dxfId="64" priority="18">
      <formula>VLOOKUP(M26,ImportantDates,1,FALSE)=M26</formula>
    </cfRule>
  </conditionalFormatting>
  <conditionalFormatting sqref="I12">
    <cfRule type="expression" dxfId="63" priority="11">
      <formula>VLOOKUP(I12,ImportantDates,1,FALSE)=I12</formula>
    </cfRule>
    <cfRule type="expression" dxfId="62" priority="13">
      <formula>I12=DateToday</formula>
    </cfRule>
  </conditionalFormatting>
  <conditionalFormatting sqref="I11">
    <cfRule type="expression" dxfId="61" priority="12">
      <formula>I12=DateToday</formula>
    </cfRule>
    <cfRule type="expression" dxfId="60" priority="14">
      <formula>VLOOKUP(I12,ImportantDates,1,FALSE)=I12</formula>
    </cfRule>
  </conditionalFormatting>
  <conditionalFormatting sqref="I16">
    <cfRule type="expression" dxfId="59" priority="7">
      <formula>VLOOKUP(I16,ImportantDates,1,FALSE)=I16</formula>
    </cfRule>
    <cfRule type="expression" dxfId="58" priority="9">
      <formula>I16=DateToday</formula>
    </cfRule>
  </conditionalFormatting>
  <conditionalFormatting sqref="I15">
    <cfRule type="expression" dxfId="57" priority="8">
      <formula>I16=DateToday</formula>
    </cfRule>
    <cfRule type="expression" dxfId="56" priority="10">
      <formula>VLOOKUP(I16,ImportantDates,1,FALSE)=I16</formula>
    </cfRule>
  </conditionalFormatting>
  <conditionalFormatting sqref="L32 R17:AK17 H19:Q22">
    <cfRule type="expression" dxfId="55" priority="25">
      <formula>#REF!=DateToday</formula>
    </cfRule>
    <cfRule type="expression" dxfId="54" priority="26">
      <formula>VLOOKUP(#REF!,ImportantDates,1,FALSE)=#REF!</formula>
    </cfRule>
  </conditionalFormatting>
  <conditionalFormatting sqref="R33:AL33 M35:Q35">
    <cfRule type="expression" dxfId="53" priority="27">
      <formula>#REF!=DateToday</formula>
    </cfRule>
    <cfRule type="expression" dxfId="52" priority="28">
      <formula>VLOOKUP(#REF!,ImportantDates,1,FALSE)=#REF!</formula>
    </cfRule>
  </conditionalFormatting>
  <conditionalFormatting sqref="M38">
    <cfRule type="expression" dxfId="51" priority="29">
      <formula>L33=DateToday</formula>
    </cfRule>
    <cfRule type="expression" dxfId="50" priority="30">
      <formula>VLOOKUP(L33,ImportantDates,1,FALSE)=L33</formula>
    </cfRule>
  </conditionalFormatting>
  <conditionalFormatting sqref="H48:Q48">
    <cfRule type="expression" dxfId="49" priority="31">
      <formula>#REF!=DateToday</formula>
    </cfRule>
    <cfRule type="expression" dxfId="48" priority="32">
      <formula>VLOOKUP(#REF!,ImportantDates,1,FALSE)=#REF!</formula>
    </cfRule>
  </conditionalFormatting>
  <conditionalFormatting sqref="M43:N43">
    <cfRule type="expression" dxfId="47" priority="33">
      <formula>#REF!=DateToday</formula>
    </cfRule>
    <cfRule type="expression" dxfId="46" priority="34">
      <formula>VLOOKUP(#REF!,ImportantDates,1,FALSE)=#REF!</formula>
    </cfRule>
  </conditionalFormatting>
  <conditionalFormatting sqref="H5:I5">
    <cfRule type="expression" dxfId="45" priority="35">
      <formula>H7=DateToday</formula>
    </cfRule>
    <cfRule type="expression" dxfId="44" priority="36">
      <formula>VLOOKUP(H7,ImportantDates,1,FALSE)=H7</formula>
    </cfRule>
  </conditionalFormatting>
  <conditionalFormatting sqref="H8:I8">
    <cfRule type="expression" dxfId="43" priority="5">
      <formula>VLOOKUP(H8,ImportantDates,1,FALSE)=H8</formula>
    </cfRule>
    <cfRule type="expression" dxfId="42" priority="6">
      <formula>H8=DateToday</formula>
    </cfRule>
  </conditionalFormatting>
  <conditionalFormatting sqref="H6:I6">
    <cfRule type="expression" dxfId="41" priority="3">
      <formula>VLOOKUP(H6,ImportantDates,1,FALSE)=H6</formula>
    </cfRule>
    <cfRule type="expression" dxfId="40" priority="4">
      <formula>H6=DateToday</formula>
    </cfRule>
  </conditionalFormatting>
  <conditionalFormatting sqref="AJ9">
    <cfRule type="expression" dxfId="39" priority="1">
      <formula>VLOOKUP(AJ9,ImportantDates,1,FALSE)=AJ9</formula>
    </cfRule>
    <cfRule type="expression" dxfId="38" priority="2">
      <formula>AJ9=DateToday</formula>
    </cfRule>
  </conditionalFormatting>
  <dataValidations count="1">
    <dataValidation type="decimal" allowBlank="1" showInputMessage="1" showErrorMessage="1" sqref="I5:I8" xr:uid="{26984469-83C0-E14D-96FD-617B35E25392}">
      <formula1>0</formula1>
      <formula2>999</formula2>
    </dataValidation>
  </dataValidations>
  <printOptions horizontalCentered="1"/>
  <pageMargins left="0.25" right="0.25" top="0.5" bottom="0.75" header="0.3" footer="0.3"/>
  <pageSetup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AE09-43DF-914F-879E-69490F4F5246}">
  <sheetPr>
    <tabColor rgb="FF92D050"/>
  </sheetPr>
  <dimension ref="A1:Q1048576"/>
  <sheetViews>
    <sheetView workbookViewId="0">
      <selection activeCell="B2" sqref="B2"/>
    </sheetView>
  </sheetViews>
  <sheetFormatPr defaultColWidth="11.54296875" defaultRowHeight="12.5"/>
  <cols>
    <col min="1" max="1" width="21.453125" customWidth="1"/>
    <col min="2" max="10" width="10.81640625" customWidth="1"/>
  </cols>
  <sheetData>
    <row r="1" spans="1:17" ht="16" thickBot="1">
      <c r="A1" s="53" t="s">
        <v>62</v>
      </c>
      <c r="B1" s="59" t="s">
        <v>0</v>
      </c>
      <c r="C1" s="59" t="s">
        <v>1</v>
      </c>
      <c r="D1" s="59" t="s">
        <v>2</v>
      </c>
      <c r="E1" s="60" t="s">
        <v>17</v>
      </c>
      <c r="F1" s="59" t="s">
        <v>3</v>
      </c>
      <c r="G1" s="60" t="s">
        <v>4</v>
      </c>
      <c r="H1" s="59" t="s">
        <v>5</v>
      </c>
      <c r="I1" s="60" t="s">
        <v>6</v>
      </c>
      <c r="J1" s="59" t="s">
        <v>7</v>
      </c>
      <c r="K1" s="60" t="s">
        <v>8</v>
      </c>
      <c r="L1" s="59" t="s">
        <v>9</v>
      </c>
      <c r="M1" s="60" t="s">
        <v>10</v>
      </c>
      <c r="N1" s="59" t="s">
        <v>11</v>
      </c>
      <c r="O1" s="60" t="s">
        <v>12</v>
      </c>
      <c r="P1" s="59" t="s">
        <v>13</v>
      </c>
      <c r="Q1" s="60" t="s">
        <v>14</v>
      </c>
    </row>
    <row r="2" spans="1:17" ht="16" thickBot="1">
      <c r="A2" s="57" t="s">
        <v>54</v>
      </c>
      <c r="B2" s="148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64"/>
    </row>
    <row r="3" spans="1:17" ht="16" thickBot="1">
      <c r="A3" s="57" t="s">
        <v>55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65"/>
    </row>
    <row r="4" spans="1:17" ht="16" thickBot="1">
      <c r="A4" s="57" t="s">
        <v>56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65"/>
    </row>
    <row r="5" spans="1:17" ht="16" thickBot="1">
      <c r="A5" s="57" t="s">
        <v>57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65"/>
    </row>
    <row r="6" spans="1:17" ht="16" thickBot="1">
      <c r="A6" s="57" t="s">
        <v>58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65"/>
    </row>
    <row r="7" spans="1:17" ht="16" thickBot="1">
      <c r="A7" s="57" t="s">
        <v>59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65"/>
    </row>
    <row r="8" spans="1:17" ht="16" thickBot="1">
      <c r="A8" s="57" t="s">
        <v>60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66"/>
    </row>
    <row r="9" spans="1:17" ht="19.75" customHeight="1" thickBot="1">
      <c r="A9" s="58" t="s">
        <v>61</v>
      </c>
      <c r="B9" s="63" t="e">
        <f t="shared" ref="B9:I9" si="0">AVERAGE(B2:B8)</f>
        <v>#DIV/0!</v>
      </c>
      <c r="C9" s="62" t="e">
        <f t="shared" si="0"/>
        <v>#DIV/0!</v>
      </c>
      <c r="D9" s="62" t="e">
        <f>AVERAGE(D2:D8)</f>
        <v>#DIV/0!</v>
      </c>
      <c r="E9" s="62" t="e">
        <f t="shared" si="0"/>
        <v>#DIV/0!</v>
      </c>
      <c r="F9" s="62" t="e">
        <f t="shared" si="0"/>
        <v>#DIV/0!</v>
      </c>
      <c r="G9" s="62" t="e">
        <f t="shared" si="0"/>
        <v>#DIV/0!</v>
      </c>
      <c r="H9" s="62" t="e">
        <f t="shared" si="0"/>
        <v>#DIV/0!</v>
      </c>
      <c r="I9" s="61" t="e">
        <f t="shared" si="0"/>
        <v>#DIV/0!</v>
      </c>
      <c r="J9" s="63" t="e">
        <f t="shared" ref="J9" si="1">AVERAGE(J2:J8)</f>
        <v>#DIV/0!</v>
      </c>
      <c r="K9" s="62" t="e">
        <f t="shared" ref="K9" si="2">AVERAGE(K2:K8)</f>
        <v>#DIV/0!</v>
      </c>
      <c r="L9" s="62" t="e">
        <f t="shared" ref="L9" si="3">AVERAGE(L2:L8)</f>
        <v>#DIV/0!</v>
      </c>
      <c r="M9" s="62" t="e">
        <f t="shared" ref="M9" si="4">AVERAGE(M2:M8)</f>
        <v>#DIV/0!</v>
      </c>
      <c r="N9" s="62" t="e">
        <f t="shared" ref="N9" si="5">AVERAGE(N2:N8)</f>
        <v>#DIV/0!</v>
      </c>
      <c r="O9" s="62" t="e">
        <f t="shared" ref="O9" si="6">AVERAGE(O2:O8)</f>
        <v>#DIV/0!</v>
      </c>
      <c r="P9" s="62" t="e">
        <f t="shared" ref="P9" si="7">AVERAGE(P2:P8)</f>
        <v>#DIV/0!</v>
      </c>
      <c r="Q9" s="61" t="e">
        <f t="shared" ref="Q9" si="8">AVERAGE(Q2:Q8)</f>
        <v>#DIV/0!</v>
      </c>
    </row>
    <row r="12" spans="1:17" ht="15.5">
      <c r="B12" s="21"/>
    </row>
    <row r="1048576" spans="1:1">
      <c r="A1048576" s="52"/>
    </row>
  </sheetData>
  <phoneticPr fontId="10" type="noConversion"/>
  <dataValidations count="1">
    <dataValidation type="decimal" allowBlank="1" showInputMessage="1" showErrorMessage="1" sqref="B2:Q8" xr:uid="{720BA361-FE24-244D-A9B4-DE73EA28D36F}">
      <formula1>40</formula1>
      <formula2>200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IN35"/>
  <sheetViews>
    <sheetView showGridLines="0" tabSelected="1" workbookViewId="0">
      <selection activeCell="C17" sqref="C17"/>
    </sheetView>
  </sheetViews>
  <sheetFormatPr defaultColWidth="14.08984375" defaultRowHeight="14" customHeight="1"/>
  <cols>
    <col min="1" max="1" width="19" style="1" customWidth="1"/>
    <col min="2" max="2" width="14.08984375" style="1" customWidth="1"/>
    <col min="3" max="3" width="16.08984375" style="51" customWidth="1"/>
    <col min="4" max="4" width="11.08984375" style="51" customWidth="1"/>
    <col min="5" max="5" width="10.7265625" style="51" bestFit="1" customWidth="1"/>
    <col min="6" max="9" width="11" style="51" customWidth="1"/>
    <col min="10" max="11" width="10.7265625" style="51" bestFit="1" customWidth="1"/>
    <col min="12" max="14" width="10.6328125" style="51" customWidth="1"/>
    <col min="15" max="15" width="10.453125" style="51" customWidth="1"/>
    <col min="16" max="16" width="11.36328125" style="51" customWidth="1"/>
    <col min="17" max="17" width="11.08984375" style="51" customWidth="1"/>
    <col min="18" max="19" width="10.7265625" style="51" bestFit="1" customWidth="1"/>
    <col min="20" max="248" width="14.08984375" style="51" customWidth="1"/>
    <col min="249" max="16384" width="14.08984375" style="20"/>
  </cols>
  <sheetData>
    <row r="1" spans="1:19" ht="52.5" thickBot="1">
      <c r="A1" s="114" t="s">
        <v>20</v>
      </c>
      <c r="B1" s="115" t="s">
        <v>19</v>
      </c>
      <c r="C1" s="116" t="s">
        <v>107</v>
      </c>
      <c r="D1" s="117" t="s">
        <v>0</v>
      </c>
      <c r="E1" s="117" t="s">
        <v>1</v>
      </c>
      <c r="F1" s="117" t="s">
        <v>2</v>
      </c>
      <c r="G1" s="116" t="s">
        <v>18</v>
      </c>
      <c r="H1" s="117" t="s">
        <v>3</v>
      </c>
      <c r="I1" s="116" t="s">
        <v>4</v>
      </c>
      <c r="J1" s="117" t="s">
        <v>5</v>
      </c>
      <c r="K1" s="116" t="s">
        <v>6</v>
      </c>
      <c r="L1" s="117" t="s">
        <v>7</v>
      </c>
      <c r="M1" s="116" t="s">
        <v>8</v>
      </c>
      <c r="N1" s="118" t="s">
        <v>9</v>
      </c>
      <c r="O1" s="116" t="s">
        <v>10</v>
      </c>
      <c r="P1" s="118" t="s">
        <v>11</v>
      </c>
      <c r="Q1" s="116" t="s">
        <v>12</v>
      </c>
      <c r="R1" s="118" t="s">
        <v>13</v>
      </c>
      <c r="S1" s="116" t="s">
        <v>14</v>
      </c>
    </row>
    <row r="2" spans="1:19" ht="15.25" customHeight="1">
      <c r="A2" s="119" t="s">
        <v>21</v>
      </c>
      <c r="B2" s="128">
        <v>85.5</v>
      </c>
      <c r="C2" s="147">
        <f>'Calculator vetverlies'!I5</f>
        <v>0</v>
      </c>
      <c r="D2" s="67" t="e">
        <f>'Dagelijks gewicht'!B9</f>
        <v>#DIV/0!</v>
      </c>
      <c r="E2" s="93" t="e">
        <f>'Dagelijks gewicht'!C9</f>
        <v>#DIV/0!</v>
      </c>
      <c r="F2" s="67" t="e">
        <f>'Dagelijks gewicht'!D9</f>
        <v>#DIV/0!</v>
      </c>
      <c r="G2" s="68" t="e">
        <f>'Dagelijks gewicht'!E9</f>
        <v>#DIV/0!</v>
      </c>
      <c r="H2" s="67" t="e">
        <f>'Dagelijks gewicht'!F9</f>
        <v>#DIV/0!</v>
      </c>
      <c r="I2" s="68" t="e">
        <f>'Dagelijks gewicht'!G9</f>
        <v>#DIV/0!</v>
      </c>
      <c r="J2" s="67" t="e">
        <f>'Dagelijks gewicht'!H9</f>
        <v>#DIV/0!</v>
      </c>
      <c r="K2" s="68" t="e">
        <f>'Dagelijks gewicht'!I9</f>
        <v>#DIV/0!</v>
      </c>
      <c r="L2" s="68" t="e">
        <f>'Dagelijks gewicht'!J9</f>
        <v>#DIV/0!</v>
      </c>
      <c r="M2" s="68" t="e">
        <f>'Dagelijks gewicht'!K9</f>
        <v>#DIV/0!</v>
      </c>
      <c r="N2" s="68" t="e">
        <f>'Dagelijks gewicht'!L9</f>
        <v>#DIV/0!</v>
      </c>
      <c r="O2" s="68" t="e">
        <f>'Dagelijks gewicht'!M9</f>
        <v>#DIV/0!</v>
      </c>
      <c r="P2" s="68" t="e">
        <f>'Dagelijks gewicht'!N9</f>
        <v>#DIV/0!</v>
      </c>
      <c r="Q2" s="68" t="e">
        <f>'Dagelijks gewicht'!O9</f>
        <v>#DIV/0!</v>
      </c>
      <c r="R2" s="68" t="e">
        <f>'Dagelijks gewicht'!P9</f>
        <v>#DIV/0!</v>
      </c>
      <c r="S2" s="68" t="e">
        <f>'Dagelijks gewicht'!Q9</f>
        <v>#DIV/0!</v>
      </c>
    </row>
    <row r="3" spans="1:19" ht="14.75" customHeight="1">
      <c r="A3" s="120" t="s">
        <v>22</v>
      </c>
      <c r="B3" s="129">
        <v>99.1</v>
      </c>
      <c r="C3" s="69"/>
      <c r="D3" s="70"/>
      <c r="E3" s="94"/>
      <c r="F3" s="71"/>
      <c r="G3" s="72"/>
      <c r="H3" s="71"/>
      <c r="I3" s="72"/>
      <c r="J3" s="71"/>
      <c r="K3" s="72"/>
      <c r="L3" s="73"/>
      <c r="M3" s="74"/>
      <c r="N3" s="73"/>
      <c r="O3" s="74"/>
      <c r="P3" s="75"/>
      <c r="Q3" s="76"/>
      <c r="R3" s="75"/>
      <c r="S3" s="76"/>
    </row>
    <row r="4" spans="1:19" ht="14.75" customHeight="1">
      <c r="A4" s="120" t="s">
        <v>15</v>
      </c>
      <c r="B4" s="129">
        <v>39.200000000000003</v>
      </c>
      <c r="C4" s="69"/>
      <c r="D4" s="70"/>
      <c r="E4" s="94"/>
      <c r="F4" s="71"/>
      <c r="G4" s="72"/>
      <c r="H4" s="71"/>
      <c r="I4" s="72"/>
      <c r="J4" s="71"/>
      <c r="K4" s="72"/>
      <c r="L4" s="71"/>
      <c r="M4" s="72"/>
      <c r="N4" s="71"/>
      <c r="O4" s="72"/>
      <c r="P4" s="77"/>
      <c r="Q4" s="78"/>
      <c r="R4" s="77"/>
      <c r="S4" s="78"/>
    </row>
    <row r="5" spans="1:19" ht="14.75" customHeight="1">
      <c r="A5" s="120" t="s">
        <v>16</v>
      </c>
      <c r="B5" s="129">
        <v>39.200000000000003</v>
      </c>
      <c r="C5" s="69"/>
      <c r="D5" s="70"/>
      <c r="E5" s="94"/>
      <c r="F5" s="71"/>
      <c r="G5" s="72"/>
      <c r="H5" s="71"/>
      <c r="I5" s="72"/>
      <c r="J5" s="71"/>
      <c r="K5" s="72"/>
      <c r="L5" s="71"/>
      <c r="M5" s="72"/>
      <c r="N5" s="71"/>
      <c r="O5" s="72"/>
      <c r="P5" s="77"/>
      <c r="Q5" s="78"/>
      <c r="R5" s="77"/>
      <c r="S5" s="78"/>
    </row>
    <row r="6" spans="1:19" ht="14.75" customHeight="1">
      <c r="A6" s="120" t="s">
        <v>23</v>
      </c>
      <c r="B6" s="129">
        <v>84.9</v>
      </c>
      <c r="C6" s="69"/>
      <c r="D6" s="70"/>
      <c r="E6" s="94"/>
      <c r="F6" s="71"/>
      <c r="G6" s="72"/>
      <c r="H6" s="71"/>
      <c r="I6" s="72"/>
      <c r="J6" s="71"/>
      <c r="K6" s="72"/>
      <c r="L6" s="71"/>
      <c r="M6" s="72"/>
      <c r="N6" s="71"/>
      <c r="O6" s="72"/>
      <c r="P6" s="77"/>
      <c r="Q6" s="78"/>
      <c r="R6" s="77"/>
      <c r="S6" s="78"/>
    </row>
    <row r="7" spans="1:19" ht="14.75" customHeight="1">
      <c r="A7" s="120" t="s">
        <v>24</v>
      </c>
      <c r="B7" s="129">
        <v>88.1</v>
      </c>
      <c r="C7" s="69"/>
      <c r="D7" s="70"/>
      <c r="E7" s="94"/>
      <c r="F7" s="71"/>
      <c r="G7" s="72"/>
      <c r="H7" s="71"/>
      <c r="I7" s="72"/>
      <c r="J7" s="71"/>
      <c r="K7" s="72"/>
      <c r="L7" s="71"/>
      <c r="M7" s="72"/>
      <c r="N7" s="71"/>
      <c r="O7" s="72"/>
      <c r="P7" s="77"/>
      <c r="Q7" s="78"/>
      <c r="R7" s="77"/>
      <c r="S7" s="78"/>
    </row>
    <row r="8" spans="1:19" ht="14.75" customHeight="1">
      <c r="A8" s="120" t="s">
        <v>25</v>
      </c>
      <c r="B8" s="129">
        <v>84.6</v>
      </c>
      <c r="C8" s="69"/>
      <c r="D8" s="70"/>
      <c r="E8" s="94"/>
      <c r="F8" s="71"/>
      <c r="G8" s="72"/>
      <c r="H8" s="71"/>
      <c r="I8" s="72"/>
      <c r="J8" s="71"/>
      <c r="K8" s="72"/>
      <c r="L8" s="71"/>
      <c r="M8" s="72"/>
      <c r="N8" s="71"/>
      <c r="O8" s="72"/>
      <c r="P8" s="77"/>
      <c r="Q8" s="78"/>
      <c r="R8" s="77"/>
      <c r="S8" s="78"/>
    </row>
    <row r="9" spans="1:19" ht="14.75" customHeight="1">
      <c r="A9" s="120" t="s">
        <v>45</v>
      </c>
      <c r="B9" s="129">
        <v>90.3</v>
      </c>
      <c r="C9" s="69"/>
      <c r="D9" s="70"/>
      <c r="E9" s="94"/>
      <c r="F9" s="71"/>
      <c r="G9" s="72"/>
      <c r="H9" s="71"/>
      <c r="I9" s="72"/>
      <c r="J9" s="71"/>
      <c r="K9" s="72"/>
      <c r="L9" s="71"/>
      <c r="M9" s="72"/>
      <c r="N9" s="71"/>
      <c r="O9" s="72"/>
      <c r="P9" s="77"/>
      <c r="Q9" s="78"/>
      <c r="R9" s="77"/>
      <c r="S9" s="78"/>
    </row>
    <row r="10" spans="1:19" ht="14.75" customHeight="1">
      <c r="A10" s="120" t="s">
        <v>26</v>
      </c>
      <c r="B10" s="129">
        <v>64.400000000000006</v>
      </c>
      <c r="C10" s="69"/>
      <c r="D10" s="70"/>
      <c r="E10" s="94"/>
      <c r="F10" s="71"/>
      <c r="G10" s="72"/>
      <c r="H10" s="71"/>
      <c r="I10" s="72"/>
      <c r="J10" s="71"/>
      <c r="K10" s="72"/>
      <c r="L10" s="71"/>
      <c r="M10" s="72"/>
      <c r="N10" s="71"/>
      <c r="O10" s="72"/>
      <c r="P10" s="77"/>
      <c r="Q10" s="78"/>
      <c r="R10" s="77"/>
      <c r="S10" s="78"/>
    </row>
    <row r="11" spans="1:19" ht="14.75" customHeight="1">
      <c r="A11" s="120" t="s">
        <v>27</v>
      </c>
      <c r="B11" s="129">
        <v>63.1</v>
      </c>
      <c r="C11" s="69"/>
      <c r="D11" s="70"/>
      <c r="E11" s="94"/>
      <c r="F11" s="71"/>
      <c r="G11" s="72"/>
      <c r="H11" s="71"/>
      <c r="I11" s="72"/>
      <c r="J11" s="71"/>
      <c r="K11" s="72"/>
      <c r="L11" s="71"/>
      <c r="M11" s="72"/>
      <c r="N11" s="71"/>
      <c r="O11" s="72"/>
      <c r="P11" s="77"/>
      <c r="Q11" s="78"/>
      <c r="R11" s="77"/>
      <c r="S11" s="78"/>
    </row>
    <row r="12" spans="1:19" ht="14.75" customHeight="1">
      <c r="A12" s="120" t="s">
        <v>48</v>
      </c>
      <c r="B12" s="129">
        <v>42.5</v>
      </c>
      <c r="C12" s="69"/>
      <c r="D12" s="70"/>
      <c r="E12" s="94"/>
      <c r="F12" s="71"/>
      <c r="G12" s="72"/>
      <c r="H12" s="71"/>
      <c r="I12" s="72"/>
      <c r="J12" s="71"/>
      <c r="K12" s="72"/>
      <c r="L12" s="71"/>
      <c r="M12" s="72"/>
      <c r="N12" s="71"/>
      <c r="O12" s="72"/>
      <c r="P12" s="77"/>
      <c r="Q12" s="78"/>
      <c r="R12" s="77"/>
      <c r="S12" s="78"/>
    </row>
    <row r="13" spans="1:19" ht="14.75" customHeight="1">
      <c r="A13" s="120" t="s">
        <v>49</v>
      </c>
      <c r="B13" s="129">
        <v>41.8</v>
      </c>
      <c r="C13" s="69"/>
      <c r="D13" s="70"/>
      <c r="E13" s="94"/>
      <c r="F13" s="71"/>
      <c r="G13" s="72"/>
      <c r="H13" s="71"/>
      <c r="I13" s="72"/>
      <c r="J13" s="71"/>
      <c r="K13" s="72"/>
      <c r="L13" s="71"/>
      <c r="M13" s="72"/>
      <c r="N13" s="71"/>
      <c r="O13" s="72"/>
      <c r="P13" s="77"/>
      <c r="Q13" s="78"/>
      <c r="R13" s="77"/>
      <c r="S13" s="78"/>
    </row>
    <row r="14" spans="1:19" ht="14.75" customHeight="1">
      <c r="A14" s="121"/>
      <c r="B14" s="130"/>
      <c r="C14" s="69"/>
      <c r="D14" s="70"/>
      <c r="E14" s="94"/>
      <c r="F14" s="71"/>
      <c r="G14" s="72"/>
      <c r="H14" s="71"/>
      <c r="I14" s="72"/>
      <c r="J14" s="71"/>
      <c r="K14" s="72"/>
      <c r="L14" s="71"/>
      <c r="M14" s="72"/>
      <c r="N14" s="71"/>
      <c r="O14" s="72"/>
      <c r="P14" s="77"/>
      <c r="Q14" s="78"/>
      <c r="R14" s="77"/>
      <c r="S14" s="78"/>
    </row>
    <row r="15" spans="1:19" ht="14.75" customHeight="1">
      <c r="A15" s="122" t="s">
        <v>28</v>
      </c>
      <c r="B15" s="131">
        <v>186</v>
      </c>
      <c r="C15" s="79">
        <f>'Calculator vetverlies'!$I$6</f>
        <v>0</v>
      </c>
      <c r="D15" s="79">
        <f>'Calculator vetverlies'!$I$6</f>
        <v>0</v>
      </c>
      <c r="E15" s="79">
        <f>'Calculator vetverlies'!$I$6</f>
        <v>0</v>
      </c>
      <c r="F15" s="79">
        <f>'Calculator vetverlies'!$I$6</f>
        <v>0</v>
      </c>
      <c r="G15" s="79">
        <f>'Calculator vetverlies'!$I$6</f>
        <v>0</v>
      </c>
      <c r="H15" s="79">
        <f>'Calculator vetverlies'!$I$6</f>
        <v>0</v>
      </c>
      <c r="I15" s="79">
        <f>'Calculator vetverlies'!$I$6</f>
        <v>0</v>
      </c>
      <c r="J15" s="79">
        <f>'Calculator vetverlies'!$I$6</f>
        <v>0</v>
      </c>
      <c r="K15" s="79">
        <f>'Calculator vetverlies'!$I$6</f>
        <v>0</v>
      </c>
      <c r="L15" s="79">
        <f>'Calculator vetverlies'!$I$6</f>
        <v>0</v>
      </c>
      <c r="M15" s="79">
        <f>'Calculator vetverlies'!$I$6</f>
        <v>0</v>
      </c>
      <c r="N15" s="79">
        <f>'Calculator vetverlies'!$I$6</f>
        <v>0</v>
      </c>
      <c r="O15" s="79">
        <f>'Calculator vetverlies'!$I$6</f>
        <v>0</v>
      </c>
      <c r="P15" s="79">
        <f>'Calculator vetverlies'!$I$6</f>
        <v>0</v>
      </c>
      <c r="Q15" s="79">
        <f>'Calculator vetverlies'!$I$6</f>
        <v>0</v>
      </c>
      <c r="R15" s="79">
        <f>'Calculator vetverlies'!$I$6</f>
        <v>0</v>
      </c>
      <c r="S15" s="79">
        <f>'Calculator vetverlies'!$I$6</f>
        <v>0</v>
      </c>
    </row>
    <row r="16" spans="1:19" ht="14.75" customHeight="1">
      <c r="A16" s="122" t="s">
        <v>46</v>
      </c>
      <c r="B16" s="131">
        <v>41</v>
      </c>
      <c r="C16" s="79">
        <f>'Calculator vetverlies'!$I$7</f>
        <v>0</v>
      </c>
      <c r="D16" s="79">
        <f>'Calculator vetverlies'!$I$7</f>
        <v>0</v>
      </c>
      <c r="E16" s="79">
        <f>'Calculator vetverlies'!$I$7</f>
        <v>0</v>
      </c>
      <c r="F16" s="79">
        <f>'Calculator vetverlies'!$I$7</f>
        <v>0</v>
      </c>
      <c r="G16" s="79">
        <f>'Calculator vetverlies'!$I$7</f>
        <v>0</v>
      </c>
      <c r="H16" s="79">
        <f>'Calculator vetverlies'!$I$7</f>
        <v>0</v>
      </c>
      <c r="I16" s="79">
        <f>'Calculator vetverlies'!$I$7</f>
        <v>0</v>
      </c>
      <c r="J16" s="79">
        <f>'Calculator vetverlies'!$I$7</f>
        <v>0</v>
      </c>
      <c r="K16" s="79">
        <f>'Calculator vetverlies'!$I$7</f>
        <v>0</v>
      </c>
      <c r="L16" s="79">
        <f>'Calculator vetverlies'!$I$7</f>
        <v>0</v>
      </c>
      <c r="M16" s="79">
        <f>'Calculator vetverlies'!$I$7</f>
        <v>0</v>
      </c>
      <c r="N16" s="79">
        <f>'Calculator vetverlies'!$I$7</f>
        <v>0</v>
      </c>
      <c r="O16" s="79">
        <f>'Calculator vetverlies'!$I$7</f>
        <v>0</v>
      </c>
      <c r="P16" s="79">
        <f>'Calculator vetverlies'!$I$7</f>
        <v>0</v>
      </c>
      <c r="Q16" s="79">
        <f>'Calculator vetverlies'!$I$7</f>
        <v>0</v>
      </c>
      <c r="R16" s="79">
        <f>'Calculator vetverlies'!$I$7</f>
        <v>0</v>
      </c>
      <c r="S16" s="79">
        <f>'Calculator vetverlies'!$I$7</f>
        <v>0</v>
      </c>
    </row>
    <row r="17" spans="1:248" ht="14.75" customHeight="1">
      <c r="A17" s="122" t="s">
        <v>29</v>
      </c>
      <c r="B17" s="132" t="s">
        <v>47</v>
      </c>
      <c r="C17" s="82"/>
      <c r="D17" s="97"/>
      <c r="E17" s="95"/>
      <c r="F17" s="71"/>
      <c r="G17" s="72"/>
      <c r="H17" s="71"/>
      <c r="I17" s="72"/>
      <c r="J17" s="71"/>
      <c r="K17" s="72"/>
      <c r="L17" s="71"/>
      <c r="M17" s="72"/>
      <c r="N17" s="71"/>
      <c r="O17" s="72"/>
      <c r="P17" s="80"/>
      <c r="Q17" s="81"/>
      <c r="R17" s="77"/>
      <c r="S17" s="83"/>
    </row>
    <row r="18" spans="1:248" ht="14.75" customHeight="1">
      <c r="A18" s="122" t="s">
        <v>30</v>
      </c>
      <c r="B18" s="132" t="s">
        <v>47</v>
      </c>
      <c r="C18" s="82"/>
      <c r="D18" s="97"/>
      <c r="E18" s="95"/>
      <c r="F18" s="71"/>
      <c r="G18" s="72"/>
      <c r="H18" s="71"/>
      <c r="I18" s="72"/>
      <c r="J18" s="71"/>
      <c r="K18" s="72"/>
      <c r="L18" s="71"/>
      <c r="M18" s="72"/>
      <c r="N18" s="71"/>
      <c r="O18" s="72"/>
      <c r="P18" s="80"/>
      <c r="Q18" s="83"/>
      <c r="R18" s="77"/>
      <c r="S18" s="78"/>
    </row>
    <row r="19" spans="1:248" ht="14.75" customHeight="1">
      <c r="A19" s="122" t="s">
        <v>31</v>
      </c>
      <c r="B19" s="133">
        <v>6</v>
      </c>
      <c r="C19" s="152" t="s">
        <v>111</v>
      </c>
      <c r="D19" s="152" t="s">
        <v>111</v>
      </c>
      <c r="E19" s="152" t="s">
        <v>111</v>
      </c>
      <c r="F19" s="152" t="s">
        <v>111</v>
      </c>
      <c r="G19" s="152" t="s">
        <v>111</v>
      </c>
      <c r="H19" s="152" t="s">
        <v>111</v>
      </c>
      <c r="I19" s="152" t="s">
        <v>111</v>
      </c>
      <c r="J19" s="152" t="s">
        <v>111</v>
      </c>
      <c r="K19" s="152" t="s">
        <v>111</v>
      </c>
      <c r="L19" s="152" t="s">
        <v>111</v>
      </c>
      <c r="M19" s="152" t="s">
        <v>111</v>
      </c>
      <c r="N19" s="152" t="s">
        <v>111</v>
      </c>
      <c r="O19" s="152" t="s">
        <v>111</v>
      </c>
      <c r="P19" s="152" t="s">
        <v>111</v>
      </c>
      <c r="Q19" s="152" t="s">
        <v>111</v>
      </c>
      <c r="R19" s="152" t="s">
        <v>111</v>
      </c>
      <c r="S19" s="152" t="s">
        <v>111</v>
      </c>
    </row>
    <row r="20" spans="1:248" ht="14.75" customHeight="1">
      <c r="A20" s="122" t="s">
        <v>32</v>
      </c>
      <c r="B20" s="134">
        <v>1</v>
      </c>
      <c r="C20" s="153"/>
      <c r="D20" s="154"/>
      <c r="E20" s="155"/>
      <c r="F20" s="156"/>
      <c r="G20" s="157"/>
      <c r="H20" s="156"/>
      <c r="I20" s="157"/>
      <c r="J20" s="156"/>
      <c r="K20" s="157"/>
      <c r="L20" s="156"/>
      <c r="M20" s="157"/>
      <c r="N20" s="156"/>
      <c r="O20" s="157"/>
      <c r="P20" s="158"/>
      <c r="Q20" s="159"/>
      <c r="R20" s="160"/>
      <c r="S20" s="159"/>
    </row>
    <row r="21" spans="1:248" ht="14.75" customHeight="1">
      <c r="A21" s="122" t="s">
        <v>35</v>
      </c>
      <c r="B21" s="129">
        <v>1</v>
      </c>
      <c r="C21" s="161" t="s">
        <v>111</v>
      </c>
      <c r="D21" s="161" t="s">
        <v>111</v>
      </c>
      <c r="E21" s="161" t="s">
        <v>111</v>
      </c>
      <c r="F21" s="161" t="s">
        <v>111</v>
      </c>
      <c r="G21" s="161" t="s">
        <v>111</v>
      </c>
      <c r="H21" s="161" t="s">
        <v>111</v>
      </c>
      <c r="I21" s="161" t="s">
        <v>111</v>
      </c>
      <c r="J21" s="161" t="s">
        <v>111</v>
      </c>
      <c r="K21" s="161" t="s">
        <v>111</v>
      </c>
      <c r="L21" s="161" t="s">
        <v>111</v>
      </c>
      <c r="M21" s="161" t="s">
        <v>111</v>
      </c>
      <c r="N21" s="161" t="s">
        <v>111</v>
      </c>
      <c r="O21" s="161" t="s">
        <v>111</v>
      </c>
      <c r="P21" s="161" t="s">
        <v>111</v>
      </c>
      <c r="Q21" s="161" t="s">
        <v>111</v>
      </c>
      <c r="R21" s="161" t="s">
        <v>111</v>
      </c>
      <c r="S21" s="161" t="s">
        <v>111</v>
      </c>
    </row>
    <row r="22" spans="1:248" ht="14.75" customHeight="1">
      <c r="A22" s="122" t="s">
        <v>36</v>
      </c>
      <c r="B22" s="129">
        <v>0</v>
      </c>
      <c r="C22" s="161" t="s">
        <v>111</v>
      </c>
      <c r="D22" s="161" t="s">
        <v>111</v>
      </c>
      <c r="E22" s="161" t="s">
        <v>111</v>
      </c>
      <c r="F22" s="161" t="s">
        <v>111</v>
      </c>
      <c r="G22" s="161" t="s">
        <v>111</v>
      </c>
      <c r="H22" s="161" t="s">
        <v>111</v>
      </c>
      <c r="I22" s="161" t="s">
        <v>111</v>
      </c>
      <c r="J22" s="161" t="s">
        <v>111</v>
      </c>
      <c r="K22" s="161" t="s">
        <v>111</v>
      </c>
      <c r="L22" s="161" t="s">
        <v>111</v>
      </c>
      <c r="M22" s="161" t="s">
        <v>111</v>
      </c>
      <c r="N22" s="161" t="s">
        <v>111</v>
      </c>
      <c r="O22" s="161" t="s">
        <v>111</v>
      </c>
      <c r="P22" s="161" t="s">
        <v>111</v>
      </c>
      <c r="Q22" s="161" t="s">
        <v>111</v>
      </c>
      <c r="R22" s="161" t="s">
        <v>111</v>
      </c>
      <c r="S22" s="161" t="s">
        <v>111</v>
      </c>
    </row>
    <row r="23" spans="1:248" ht="14.75" customHeight="1">
      <c r="A23" s="122" t="s">
        <v>33</v>
      </c>
      <c r="B23" s="129">
        <v>1</v>
      </c>
      <c r="C23" s="161" t="s">
        <v>111</v>
      </c>
      <c r="D23" s="161" t="s">
        <v>111</v>
      </c>
      <c r="E23" s="161" t="s">
        <v>111</v>
      </c>
      <c r="F23" s="161" t="s">
        <v>111</v>
      </c>
      <c r="G23" s="161" t="s">
        <v>111</v>
      </c>
      <c r="H23" s="161" t="s">
        <v>111</v>
      </c>
      <c r="I23" s="161" t="s">
        <v>111</v>
      </c>
      <c r="J23" s="161" t="s">
        <v>111</v>
      </c>
      <c r="K23" s="161" t="s">
        <v>111</v>
      </c>
      <c r="L23" s="161" t="s">
        <v>111</v>
      </c>
      <c r="M23" s="161" t="s">
        <v>111</v>
      </c>
      <c r="N23" s="161" t="s">
        <v>111</v>
      </c>
      <c r="O23" s="161" t="s">
        <v>111</v>
      </c>
      <c r="P23" s="161" t="s">
        <v>111</v>
      </c>
      <c r="Q23" s="161" t="s">
        <v>111</v>
      </c>
      <c r="R23" s="161" t="s">
        <v>111</v>
      </c>
      <c r="S23" s="161" t="s">
        <v>111</v>
      </c>
    </row>
    <row r="24" spans="1:248" ht="14.75" customHeight="1">
      <c r="A24" s="123" t="s">
        <v>34</v>
      </c>
      <c r="B24" s="135">
        <v>1</v>
      </c>
      <c r="C24" s="161" t="s">
        <v>111</v>
      </c>
      <c r="D24" s="161" t="s">
        <v>111</v>
      </c>
      <c r="E24" s="161" t="s">
        <v>111</v>
      </c>
      <c r="F24" s="161" t="s">
        <v>111</v>
      </c>
      <c r="G24" s="161" t="s">
        <v>111</v>
      </c>
      <c r="H24" s="161" t="s">
        <v>111</v>
      </c>
      <c r="I24" s="161" t="s">
        <v>111</v>
      </c>
      <c r="J24" s="161" t="s">
        <v>111</v>
      </c>
      <c r="K24" s="161" t="s">
        <v>111</v>
      </c>
      <c r="L24" s="161" t="s">
        <v>111</v>
      </c>
      <c r="M24" s="161" t="s">
        <v>111</v>
      </c>
      <c r="N24" s="161" t="s">
        <v>111</v>
      </c>
      <c r="O24" s="161" t="s">
        <v>111</v>
      </c>
      <c r="P24" s="161" t="s">
        <v>111</v>
      </c>
      <c r="Q24" s="161" t="s">
        <v>111</v>
      </c>
      <c r="R24" s="161" t="s">
        <v>111</v>
      </c>
      <c r="S24" s="161" t="s">
        <v>111</v>
      </c>
    </row>
    <row r="25" spans="1:248" ht="14.75" customHeight="1">
      <c r="A25" s="124"/>
      <c r="B25" s="136"/>
      <c r="C25" s="84"/>
      <c r="D25" s="85"/>
      <c r="E25" s="96"/>
      <c r="F25" s="86"/>
      <c r="G25" s="87"/>
      <c r="H25" s="86"/>
      <c r="I25" s="87"/>
      <c r="J25" s="86"/>
      <c r="K25" s="87"/>
      <c r="L25" s="86"/>
      <c r="M25" s="87"/>
      <c r="N25" s="86"/>
      <c r="O25" s="87"/>
      <c r="P25" s="88"/>
      <c r="Q25" s="89"/>
      <c r="R25" s="90"/>
      <c r="S25" s="89"/>
    </row>
    <row r="26" spans="1:248" ht="14.75" customHeight="1">
      <c r="A26" s="125" t="s">
        <v>50</v>
      </c>
      <c r="B26" s="135" t="s">
        <v>51</v>
      </c>
      <c r="C26" s="84"/>
      <c r="D26" s="85"/>
      <c r="E26" s="96"/>
      <c r="F26" s="86"/>
      <c r="G26" s="87"/>
      <c r="H26" s="86"/>
      <c r="I26" s="87"/>
      <c r="J26" s="86"/>
      <c r="K26" s="87"/>
      <c r="L26" s="86"/>
      <c r="M26" s="87"/>
      <c r="N26" s="86"/>
      <c r="O26" s="87"/>
      <c r="P26" s="88"/>
      <c r="Q26" s="89"/>
      <c r="R26" s="90"/>
      <c r="S26" s="89"/>
    </row>
    <row r="27" spans="1:248" ht="15.25" customHeight="1" thickBot="1">
      <c r="A27" s="126" t="s">
        <v>52</v>
      </c>
      <c r="B27" s="135" t="s">
        <v>53</v>
      </c>
      <c r="C27" s="84"/>
      <c r="D27" s="85"/>
      <c r="E27" s="96"/>
      <c r="F27" s="86"/>
      <c r="G27" s="87"/>
      <c r="H27" s="86"/>
      <c r="I27" s="87"/>
      <c r="J27" s="86"/>
      <c r="K27" s="87"/>
      <c r="L27" s="86"/>
      <c r="M27" s="87"/>
      <c r="N27" s="86"/>
      <c r="O27" s="87"/>
      <c r="P27" s="88"/>
      <c r="Q27" s="89"/>
      <c r="R27" s="90"/>
      <c r="S27" s="89"/>
    </row>
    <row r="28" spans="1:248" s="139" customFormat="1" ht="15.25" customHeight="1">
      <c r="A28" s="127"/>
      <c r="B28" s="137"/>
      <c r="C28" s="138" t="s">
        <v>108</v>
      </c>
      <c r="D28" s="138" t="s">
        <v>44</v>
      </c>
      <c r="E28" s="138" t="s">
        <v>44</v>
      </c>
      <c r="F28" s="138" t="s">
        <v>44</v>
      </c>
      <c r="G28" s="138" t="s">
        <v>44</v>
      </c>
      <c r="H28" s="138" t="s">
        <v>44</v>
      </c>
      <c r="I28" s="138" t="s">
        <v>44</v>
      </c>
      <c r="J28" s="138" t="s">
        <v>44</v>
      </c>
      <c r="K28" s="138" t="s">
        <v>44</v>
      </c>
      <c r="L28" s="138" t="s">
        <v>44</v>
      </c>
      <c r="M28" s="138" t="s">
        <v>44</v>
      </c>
      <c r="N28" s="138" t="s">
        <v>44</v>
      </c>
      <c r="O28" s="138" t="s">
        <v>44</v>
      </c>
      <c r="P28" s="138" t="s">
        <v>44</v>
      </c>
      <c r="Q28" s="138" t="s">
        <v>44</v>
      </c>
      <c r="R28" s="138" t="s">
        <v>44</v>
      </c>
      <c r="S28" s="138" t="s">
        <v>44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</row>
    <row r="29" spans="1:248" ht="15.25" customHeight="1">
      <c r="A29" s="149" t="s">
        <v>109</v>
      </c>
      <c r="B29" s="150"/>
      <c r="C29" s="151">
        <f>SUM(C3:C13)</f>
        <v>0</v>
      </c>
      <c r="D29" s="151">
        <f>SUM(D3:D13)</f>
        <v>0</v>
      </c>
      <c r="E29" s="151">
        <f t="shared" ref="E29:S29" si="0">SUM(E3:E13)</f>
        <v>0</v>
      </c>
      <c r="F29" s="151">
        <f t="shared" si="0"/>
        <v>0</v>
      </c>
      <c r="G29" s="151">
        <f t="shared" si="0"/>
        <v>0</v>
      </c>
      <c r="H29" s="151">
        <f t="shared" si="0"/>
        <v>0</v>
      </c>
      <c r="I29" s="151">
        <f t="shared" si="0"/>
        <v>0</v>
      </c>
      <c r="J29" s="151">
        <f t="shared" si="0"/>
        <v>0</v>
      </c>
      <c r="K29" s="151">
        <f t="shared" si="0"/>
        <v>0</v>
      </c>
      <c r="L29" s="151">
        <f t="shared" si="0"/>
        <v>0</v>
      </c>
      <c r="M29" s="151">
        <f t="shared" si="0"/>
        <v>0</v>
      </c>
      <c r="N29" s="151">
        <f t="shared" si="0"/>
        <v>0</v>
      </c>
      <c r="O29" s="151">
        <f t="shared" si="0"/>
        <v>0</v>
      </c>
      <c r="P29" s="151">
        <f t="shared" si="0"/>
        <v>0</v>
      </c>
      <c r="Q29" s="151">
        <f t="shared" si="0"/>
        <v>0</v>
      </c>
      <c r="R29" s="151">
        <f t="shared" si="0"/>
        <v>0</v>
      </c>
      <c r="S29" s="151">
        <f t="shared" si="0"/>
        <v>0</v>
      </c>
    </row>
    <row r="30" spans="1:248" ht="15.25" customHeight="1">
      <c r="A30" s="149" t="s">
        <v>110</v>
      </c>
      <c r="B30" s="150"/>
      <c r="C30" s="151"/>
      <c r="D30" s="151">
        <f>D29-C29</f>
        <v>0</v>
      </c>
      <c r="E30" s="151">
        <f t="shared" ref="E30:S30" si="1">E29-D29</f>
        <v>0</v>
      </c>
      <c r="F30" s="151">
        <f t="shared" si="1"/>
        <v>0</v>
      </c>
      <c r="G30" s="151">
        <f t="shared" si="1"/>
        <v>0</v>
      </c>
      <c r="H30" s="151">
        <f t="shared" si="1"/>
        <v>0</v>
      </c>
      <c r="I30" s="151">
        <f t="shared" si="1"/>
        <v>0</v>
      </c>
      <c r="J30" s="151">
        <f t="shared" si="1"/>
        <v>0</v>
      </c>
      <c r="K30" s="151">
        <f t="shared" si="1"/>
        <v>0</v>
      </c>
      <c r="L30" s="151">
        <f t="shared" si="1"/>
        <v>0</v>
      </c>
      <c r="M30" s="151">
        <f t="shared" si="1"/>
        <v>0</v>
      </c>
      <c r="N30" s="151">
        <f t="shared" si="1"/>
        <v>0</v>
      </c>
      <c r="O30" s="151">
        <f t="shared" si="1"/>
        <v>0</v>
      </c>
      <c r="P30" s="151">
        <f t="shared" si="1"/>
        <v>0</v>
      </c>
      <c r="Q30" s="151">
        <f t="shared" si="1"/>
        <v>0</v>
      </c>
      <c r="R30" s="151">
        <f t="shared" si="1"/>
        <v>0</v>
      </c>
      <c r="S30" s="151">
        <f t="shared" si="1"/>
        <v>0</v>
      </c>
    </row>
    <row r="31" spans="1:248" ht="14.75" customHeight="1">
      <c r="A31" s="149" t="s">
        <v>112</v>
      </c>
      <c r="B31" s="162"/>
      <c r="C31" s="164"/>
      <c r="D31" s="165"/>
      <c r="E31" s="165"/>
      <c r="F31" s="165"/>
      <c r="G31" s="165"/>
      <c r="H31" s="165"/>
      <c r="I31" s="165"/>
      <c r="J31" s="165"/>
      <c r="K31" s="167">
        <f>(SUM(K3:K13))-(SUM(C3:C13))</f>
        <v>0</v>
      </c>
      <c r="L31" s="165"/>
      <c r="M31" s="165"/>
      <c r="N31" s="165"/>
      <c r="O31" s="165"/>
      <c r="P31" s="165"/>
      <c r="Q31" s="165"/>
      <c r="R31" s="166"/>
      <c r="S31" s="163">
        <f>(SUM(S3:S13))-(SUM(C3:C13))</f>
        <v>0</v>
      </c>
    </row>
    <row r="32" spans="1:248" ht="14.75" customHeight="1"/>
    <row r="33" ht="14.75" customHeight="1"/>
    <row r="34" ht="15.25" customHeight="1"/>
    <row r="35" ht="16.5" customHeight="1"/>
  </sheetData>
  <dataValidations count="3">
    <dataValidation type="decimal" allowBlank="1" showInputMessage="1" showErrorMessage="1" sqref="C20:S20 C25:S26 C2:S16" xr:uid="{BD854404-24E1-8E4D-A6FC-22EF484C8C71}">
      <formula1>0</formula1>
      <formula2>999</formula2>
    </dataValidation>
    <dataValidation type="list" allowBlank="1" showInputMessage="1" showErrorMessage="1" sqref="C21:S24" xr:uid="{1FFA9921-91D5-448D-BB8A-6811E23DFAFE}">
      <formula1>"Selecteer,0,1,2,3,4,5"</formula1>
    </dataValidation>
    <dataValidation type="list" allowBlank="1" showInputMessage="1" showErrorMessage="1" sqref="C19:S19" xr:uid="{327BEA04-7382-4DAE-826B-8B6D4AA631B5}">
      <formula1>"Selecteer,0,1,2,3,4,5,6,7"</formula1>
    </dataValidation>
  </dataValidations>
  <pageMargins left="0.78740100000000002" right="0.78740100000000002" top="0.78740100000000002" bottom="0.78740100000000002" header="0.39370100000000002" footer="0.39370100000000002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141F-0F21-4EC0-BAAF-9F4872157392}">
  <sheetPr>
    <tabColor theme="7"/>
    <pageSetUpPr autoPageBreaks="0" fitToPage="1"/>
  </sheetPr>
  <dimension ref="A1:AM51"/>
  <sheetViews>
    <sheetView showGridLines="0" topLeftCell="A4" zoomScaleNormal="100" workbookViewId="0">
      <selection activeCell="I5" sqref="I5:I8"/>
    </sheetView>
  </sheetViews>
  <sheetFormatPr defaultColWidth="7.6328125" defaultRowHeight="15.75" customHeight="1"/>
  <cols>
    <col min="1" max="1" width="1.453125" style="22" customWidth="1"/>
    <col min="2" max="2" width="9" style="22" customWidth="1"/>
    <col min="3" max="3" width="3.6328125" style="22" customWidth="1"/>
    <col min="4" max="4" width="5.08984375" style="22" customWidth="1"/>
    <col min="5" max="5" width="8.36328125" style="22" customWidth="1"/>
    <col min="6" max="6" width="3.6328125" style="23" customWidth="1"/>
    <col min="7" max="7" width="4.453125" style="23" customWidth="1"/>
    <col min="8" max="8" width="42.453125" style="23" bestFit="1" customWidth="1"/>
    <col min="9" max="9" width="10.36328125" style="23" customWidth="1"/>
    <col min="10" max="10" width="9.90625" style="23" customWidth="1"/>
    <col min="11" max="11" width="9" style="23" customWidth="1"/>
    <col min="12" max="12" width="16.36328125" style="23" customWidth="1"/>
    <col min="13" max="13" width="17.08984375" style="23" customWidth="1"/>
    <col min="14" max="14" width="10.81640625" style="23" customWidth="1"/>
    <col min="15" max="15" width="10.6328125" style="23" customWidth="1"/>
    <col min="16" max="16" width="12.08984375" style="23" customWidth="1"/>
    <col min="17" max="39" width="3.453125" style="23" customWidth="1"/>
    <col min="40" max="16384" width="7.6328125" style="23"/>
  </cols>
  <sheetData>
    <row r="1" spans="1:39" ht="18" customHeight="1" thickBot="1">
      <c r="AM1" s="23" t="s">
        <v>63</v>
      </c>
    </row>
    <row r="2" spans="1:39" ht="27.75" customHeight="1" thickBot="1">
      <c r="I2" s="105" t="s">
        <v>64</v>
      </c>
      <c r="J2" s="103"/>
      <c r="K2" s="103"/>
      <c r="L2" s="104"/>
      <c r="AM2" s="23" t="s">
        <v>63</v>
      </c>
    </row>
    <row r="3" spans="1:39" ht="18" customHeight="1">
      <c r="I3" s="24"/>
      <c r="J3" s="24"/>
      <c r="K3" s="24"/>
      <c r="L3" s="24"/>
      <c r="M3" s="24"/>
      <c r="N3" s="24"/>
      <c r="O3" s="24"/>
      <c r="P3" s="24"/>
      <c r="Q3" s="24"/>
    </row>
    <row r="4" spans="1:39" ht="22.5" customHeight="1" thickBot="1">
      <c r="A4" s="100" t="s">
        <v>65</v>
      </c>
      <c r="B4" s="101"/>
      <c r="C4" s="101"/>
      <c r="D4" s="101"/>
      <c r="E4" s="101"/>
      <c r="F4" s="102"/>
      <c r="H4" s="168" t="s">
        <v>66</v>
      </c>
      <c r="I4" s="168"/>
      <c r="J4" s="168"/>
      <c r="K4" s="168"/>
      <c r="L4" s="168"/>
      <c r="M4" s="25"/>
      <c r="N4" s="25"/>
      <c r="O4" s="25"/>
      <c r="W4" s="25"/>
    </row>
    <row r="5" spans="1:39" ht="18.75" customHeight="1">
      <c r="A5" s="26"/>
      <c r="B5" s="27"/>
      <c r="H5" s="28" t="s">
        <v>67</v>
      </c>
      <c r="I5" s="106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9" ht="18" customHeight="1">
      <c r="A6" s="26"/>
      <c r="B6" s="30" t="s">
        <v>68</v>
      </c>
      <c r="H6" s="31" t="s">
        <v>69</v>
      </c>
      <c r="I6" s="107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spans="1:39" ht="18" customHeight="1">
      <c r="A7" s="26"/>
      <c r="B7" s="99" t="s">
        <v>70</v>
      </c>
      <c r="H7" s="31" t="s">
        <v>71</v>
      </c>
      <c r="I7" s="107"/>
    </row>
    <row r="8" spans="1:39" ht="17.25" customHeight="1">
      <c r="C8" s="33"/>
      <c r="D8" s="33"/>
      <c r="E8" s="23"/>
      <c r="H8" s="31" t="s">
        <v>72</v>
      </c>
      <c r="I8" s="107"/>
    </row>
    <row r="9" spans="1:39" ht="15.75" customHeight="1">
      <c r="B9" s="23"/>
      <c r="C9" s="23"/>
      <c r="D9" s="23"/>
      <c r="E9" s="34"/>
      <c r="F9" s="34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32"/>
    </row>
    <row r="10" spans="1:39" ht="21.75" customHeight="1">
      <c r="B10" s="23"/>
      <c r="C10" s="23"/>
      <c r="D10" s="23"/>
      <c r="E10" s="23"/>
      <c r="F10" s="34"/>
      <c r="H10" s="168" t="s">
        <v>98</v>
      </c>
      <c r="I10" s="168"/>
      <c r="J10" s="168"/>
      <c r="K10" s="168"/>
      <c r="L10" s="168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spans="1:39" ht="15.75" customHeight="1">
      <c r="B11" s="23"/>
      <c r="C11" s="23"/>
      <c r="D11" s="23"/>
      <c r="E11" s="23"/>
      <c r="H11" s="28" t="s">
        <v>74</v>
      </c>
      <c r="I11" s="35">
        <f>(10*I5)+(6.25*I6)-(5*I7)+5</f>
        <v>5</v>
      </c>
      <c r="J11" s="29"/>
      <c r="K11" s="29"/>
      <c r="L11" s="29"/>
      <c r="M11" s="29"/>
      <c r="N11" s="29"/>
      <c r="O11" s="29"/>
      <c r="P11" s="29"/>
      <c r="Q11" s="29"/>
    </row>
    <row r="12" spans="1:39" ht="22.5" customHeight="1">
      <c r="B12" s="23"/>
      <c r="C12" s="23"/>
      <c r="D12" s="36"/>
      <c r="E12" s="23"/>
      <c r="F12" s="37"/>
      <c r="H12" s="31" t="s">
        <v>75</v>
      </c>
      <c r="I12" s="38">
        <f>I8*I11-100</f>
        <v>-100</v>
      </c>
      <c r="J12" s="32"/>
      <c r="K12" s="32"/>
      <c r="L12" s="32"/>
      <c r="M12" s="32"/>
      <c r="N12" s="32"/>
      <c r="O12" s="32"/>
      <c r="P12" s="32"/>
    </row>
    <row r="13" spans="1:39" ht="15.75" customHeight="1"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9" ht="22.5" customHeight="1">
      <c r="H14" s="168" t="s">
        <v>97</v>
      </c>
      <c r="I14" s="168"/>
      <c r="J14" s="168"/>
      <c r="K14" s="168"/>
      <c r="L14" s="168"/>
      <c r="M14" s="25"/>
      <c r="N14" s="25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</row>
    <row r="15" spans="1:39" ht="15.75" customHeight="1">
      <c r="H15" s="41" t="s">
        <v>85</v>
      </c>
      <c r="I15" s="44" t="s">
        <v>87</v>
      </c>
      <c r="J15" s="44" t="s">
        <v>88</v>
      </c>
      <c r="L15" s="28"/>
      <c r="M15" s="29"/>
      <c r="N15" s="29"/>
      <c r="O15" s="29"/>
      <c r="P15" s="29"/>
      <c r="Q15" s="29"/>
    </row>
    <row r="16" spans="1:39" ht="22.5" customHeight="1">
      <c r="H16" s="31" t="s">
        <v>99</v>
      </c>
      <c r="I16" s="38">
        <f>J16*9</f>
        <v>0</v>
      </c>
      <c r="J16" s="108">
        <f>I5*1</f>
        <v>0</v>
      </c>
      <c r="K16" s="31"/>
      <c r="L16" s="31"/>
      <c r="M16" s="32"/>
      <c r="N16" s="32"/>
      <c r="O16" s="32"/>
      <c r="P16" s="32"/>
      <c r="Q16" s="32"/>
    </row>
    <row r="17" spans="8:38" ht="21.65" customHeight="1">
      <c r="H17" s="31" t="s">
        <v>91</v>
      </c>
      <c r="I17" s="38">
        <f>I12-I16-I18</f>
        <v>-100</v>
      </c>
      <c r="J17" s="108">
        <f>I17/4</f>
        <v>-25</v>
      </c>
      <c r="K17" s="31"/>
      <c r="L17" s="31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8:38" ht="24" customHeight="1">
      <c r="H18" s="31" t="s">
        <v>92</v>
      </c>
      <c r="I18" s="38">
        <f>J18*4</f>
        <v>0</v>
      </c>
      <c r="J18" s="108">
        <f>I5*1.8</f>
        <v>0</v>
      </c>
      <c r="K18" s="31"/>
      <c r="L18" s="31"/>
    </row>
    <row r="19" spans="8:38" ht="22.5" customHeight="1">
      <c r="H19" s="31" t="s">
        <v>93</v>
      </c>
      <c r="I19" s="38">
        <f>I16+I17+I18</f>
        <v>-100</v>
      </c>
      <c r="J19" s="31"/>
      <c r="K19" s="31"/>
      <c r="L19" s="31"/>
      <c r="M19" s="29"/>
      <c r="N19" s="29"/>
      <c r="O19" s="29"/>
      <c r="P19" s="29"/>
      <c r="Q19" s="29"/>
    </row>
    <row r="20" spans="8:38" ht="16.25" customHeight="1">
      <c r="M20" s="29"/>
      <c r="N20" s="29"/>
      <c r="O20" s="29"/>
      <c r="P20" s="29"/>
      <c r="Q20" s="29"/>
    </row>
    <row r="21" spans="8:38" ht="22.5" customHeight="1">
      <c r="H21" s="41" t="s">
        <v>100</v>
      </c>
      <c r="I21" s="44"/>
      <c r="J21" s="44"/>
      <c r="K21" s="44"/>
      <c r="L21" s="44"/>
      <c r="M21" s="29"/>
      <c r="N21" s="29"/>
      <c r="O21" s="29"/>
      <c r="P21" s="29"/>
      <c r="Q21" s="29"/>
    </row>
    <row r="22" spans="8:38" ht="22.5" customHeight="1">
      <c r="H22" s="109" t="s">
        <v>101</v>
      </c>
      <c r="I22" s="110" t="s">
        <v>90</v>
      </c>
      <c r="J22" s="110" t="s">
        <v>96</v>
      </c>
      <c r="K22" s="110" t="s">
        <v>92</v>
      </c>
      <c r="L22" s="110" t="s">
        <v>87</v>
      </c>
      <c r="M22" s="29"/>
      <c r="N22" s="29"/>
      <c r="O22" s="29"/>
      <c r="P22" s="29"/>
      <c r="Q22" s="29"/>
    </row>
    <row r="23" spans="8:38" ht="15.75" customHeight="1">
      <c r="I23" s="38">
        <f>J16</f>
        <v>0</v>
      </c>
      <c r="J23" s="38">
        <f>J17</f>
        <v>-25</v>
      </c>
      <c r="K23" s="38">
        <f>J18</f>
        <v>0</v>
      </c>
      <c r="L23" s="39">
        <f>I19</f>
        <v>-100</v>
      </c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8:38" ht="20.25" customHeight="1">
      <c r="I24" s="38"/>
      <c r="J24" s="38"/>
      <c r="K24" s="38"/>
      <c r="L24" s="39"/>
      <c r="M24" s="168"/>
      <c r="N24" s="168"/>
      <c r="O24" s="168"/>
      <c r="P24" s="168"/>
      <c r="Q24" s="168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</row>
    <row r="25" spans="8:38" ht="18.75" customHeight="1">
      <c r="H25" s="50"/>
      <c r="I25" s="39"/>
      <c r="J25" s="39"/>
      <c r="K25" s="39"/>
      <c r="L25" s="39"/>
      <c r="M25" s="41"/>
      <c r="N25" s="44"/>
      <c r="O25" s="44"/>
      <c r="P25" s="44"/>
      <c r="Q25" s="28"/>
    </row>
    <row r="26" spans="8:38" ht="15.75" customHeight="1">
      <c r="I26" s="38"/>
      <c r="J26" s="38"/>
      <c r="K26" s="38"/>
      <c r="L26" s="39"/>
      <c r="M26" s="45"/>
      <c r="N26" s="36"/>
      <c r="O26" s="38"/>
      <c r="P26" s="38"/>
      <c r="Q26" s="36"/>
    </row>
    <row r="27" spans="8:38" ht="17.25" customHeight="1">
      <c r="I27" s="38"/>
      <c r="J27" s="38"/>
      <c r="K27" s="38"/>
      <c r="L27" s="39"/>
      <c r="N27" s="36"/>
      <c r="O27" s="38"/>
      <c r="P27" s="38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45"/>
    </row>
    <row r="28" spans="8:38" ht="20.25" customHeight="1">
      <c r="I28" s="38"/>
      <c r="J28" s="38"/>
      <c r="K28" s="38"/>
      <c r="L28" s="39"/>
      <c r="N28" s="36"/>
      <c r="O28" s="38"/>
      <c r="P28" s="38"/>
    </row>
    <row r="29" spans="8:38" ht="21" customHeight="1">
      <c r="H29" s="45"/>
      <c r="I29" s="36"/>
      <c r="J29" s="38"/>
      <c r="K29" s="38"/>
      <c r="L29" s="36"/>
      <c r="M29" s="31"/>
      <c r="N29" s="36"/>
      <c r="O29" s="38"/>
      <c r="P29" s="38"/>
      <c r="Q29" s="36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8:38" ht="18" customHeight="1">
      <c r="I30" s="36"/>
      <c r="J30" s="38"/>
      <c r="K30" s="38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</row>
    <row r="31" spans="8:38" ht="19.5" customHeight="1">
      <c r="I31" s="36"/>
      <c r="J31" s="38"/>
      <c r="K31" s="38"/>
      <c r="M31" s="29"/>
      <c r="N31" s="29"/>
      <c r="O31" s="29"/>
      <c r="P31" s="29"/>
      <c r="Q31" s="29"/>
    </row>
    <row r="32" spans="8:38" ht="20.25" customHeight="1">
      <c r="H32" s="31"/>
      <c r="I32" s="36"/>
      <c r="J32" s="46"/>
      <c r="K32" s="38"/>
      <c r="L32" s="36"/>
      <c r="M32" s="36"/>
      <c r="N32" s="32"/>
      <c r="O32" s="32"/>
      <c r="P32" s="32"/>
      <c r="Q32" s="32"/>
    </row>
    <row r="33" spans="8:38" ht="15.75" customHeight="1"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8:38" ht="15.75" customHeight="1">
      <c r="H34" s="98"/>
      <c r="I34" s="98"/>
      <c r="J34" s="98"/>
      <c r="K34" s="98"/>
      <c r="L34" s="98"/>
    </row>
    <row r="35" spans="8:38" ht="18" customHeight="1">
      <c r="H35" s="41"/>
      <c r="I35" s="44"/>
      <c r="J35" s="44"/>
      <c r="K35" s="44"/>
      <c r="L35" s="44"/>
      <c r="M35" s="49"/>
      <c r="N35" s="29"/>
      <c r="O35" s="29"/>
      <c r="P35" s="29"/>
      <c r="Q35" s="29"/>
    </row>
    <row r="36" spans="8:38" ht="15.75" customHeight="1">
      <c r="H36" s="40"/>
      <c r="I36" s="38"/>
      <c r="J36" s="38"/>
      <c r="K36" s="38"/>
      <c r="L36" s="38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8:38" ht="15.75" customHeight="1">
      <c r="H37" s="40"/>
      <c r="I37" s="38"/>
      <c r="J37" s="38"/>
      <c r="K37" s="38"/>
      <c r="L37" s="38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45"/>
    </row>
    <row r="38" spans="8:38" ht="15.75" customHeight="1">
      <c r="H38" s="48"/>
      <c r="I38" s="48"/>
      <c r="J38" s="48"/>
      <c r="K38" s="48"/>
      <c r="L38" s="48"/>
      <c r="M38" s="29"/>
      <c r="N38" s="29"/>
      <c r="O38" s="29"/>
      <c r="P38" s="29"/>
      <c r="Q38" s="29"/>
    </row>
    <row r="39" spans="8:38" ht="17.25" customHeight="1">
      <c r="N39" s="36"/>
      <c r="O39" s="32"/>
      <c r="P39" s="32"/>
      <c r="Q39" s="32"/>
    </row>
    <row r="40" spans="8:38" ht="15.75" customHeight="1"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 spans="8:38" ht="15.75" customHeight="1"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</row>
    <row r="42" spans="8:38" ht="15.75" customHeight="1">
      <c r="M42" s="29"/>
      <c r="N42" s="29"/>
      <c r="O42" s="29"/>
      <c r="P42" s="29"/>
      <c r="Q42" s="29"/>
    </row>
    <row r="43" spans="8:38" ht="15.75" customHeight="1">
      <c r="M43" s="49"/>
      <c r="N43" s="49"/>
      <c r="O43" s="32"/>
      <c r="P43" s="32"/>
      <c r="Q43" s="32"/>
    </row>
    <row r="44" spans="8:38" ht="15.75" customHeight="1">
      <c r="M44" s="49"/>
      <c r="N44" s="4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 spans="8:38" ht="15.75" customHeight="1">
      <c r="M45" s="36"/>
      <c r="N45" s="36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45"/>
    </row>
    <row r="48" spans="8:38" ht="15.75" customHeight="1">
      <c r="M48" s="49"/>
      <c r="N48" s="4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</row>
    <row r="49" spans="8:38" ht="15.75" customHeight="1"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1" spans="8:38" ht="15.75" customHeight="1">
      <c r="H51" s="49"/>
      <c r="I51" s="49"/>
      <c r="J51" s="49"/>
      <c r="K51" s="49"/>
      <c r="L51" s="49"/>
    </row>
  </sheetData>
  <sheetProtection algorithmName="SHA-512" hashValue="+c2BmBQMnRTUFpIurkmH4T39Fmj5u37NqC8sPOE8RhteknNqfHXWSPQ+BTNEmkXYm9jfBUZjeCFUhw3lZJeIBw==" saltValue="+zvR7O8Tmb+6qJJeC58Rtw==" spinCount="100000" sheet="1" objects="1" scenarios="1"/>
  <mergeCells count="4">
    <mergeCell ref="H4:L4"/>
    <mergeCell ref="H10:L10"/>
    <mergeCell ref="H14:L14"/>
    <mergeCell ref="M24:Q24"/>
  </mergeCells>
  <conditionalFormatting sqref="H12 H16 H29:L29 R49:AL49 H36:L36 R27:AK27 R24:AL24 M45:AK45 H26:K26 R30:AL30 H32:Q32 R41:AL41 O43:Q43 R10:AI10 J12:P12 R14:AL14 J16:Q16 R37:AK37 N39:Q39 J6:AL6 H7:I7 H17:L19">
    <cfRule type="expression" dxfId="37" priority="25">
      <formula>VLOOKUP(H6,ImportantDates,1,FALSE)=H6</formula>
    </cfRule>
    <cfRule type="expression" dxfId="36" priority="27">
      <formula>H6=DateToday</formula>
    </cfRule>
  </conditionalFormatting>
  <conditionalFormatting sqref="H11 H35:K35 R23:AL23 M44:AK44 H21:L21 R29:AL29 M31:Q31 R48:AL48 R9:AI9 J11:Q11 R13:AL13 L15:Q15 R36:AK36 N38:Q38 R40:AL40 J5:AL5 H15 M42:Q42 H25:K25 L23:L28">
    <cfRule type="expression" dxfId="35" priority="26">
      <formula>H6=DateToday</formula>
    </cfRule>
    <cfRule type="expression" dxfId="34" priority="28">
      <formula>VLOOKUP(H6,ImportantDates,1,FALSE)=H6</formula>
    </cfRule>
  </conditionalFormatting>
  <conditionalFormatting sqref="M26:Q26 M29:Q29">
    <cfRule type="expression" dxfId="33" priority="21">
      <formula>VLOOKUP(M26,ImportantDates,1,FALSE)=M26</formula>
    </cfRule>
    <cfRule type="expression" dxfId="32" priority="23">
      <formula>M26=DateToday</formula>
    </cfRule>
  </conditionalFormatting>
  <conditionalFormatting sqref="M25:Q25">
    <cfRule type="expression" dxfId="31" priority="22">
      <formula>M26=DateToday</formula>
    </cfRule>
    <cfRule type="expression" dxfId="30" priority="24">
      <formula>VLOOKUP(M26,ImportantDates,1,FALSE)=M26</formula>
    </cfRule>
  </conditionalFormatting>
  <conditionalFormatting sqref="I12">
    <cfRule type="expression" dxfId="29" priority="17">
      <formula>VLOOKUP(I12,ImportantDates,1,FALSE)=I12</formula>
    </cfRule>
    <cfRule type="expression" dxfId="28" priority="19">
      <formula>I12=DateToday</formula>
    </cfRule>
  </conditionalFormatting>
  <conditionalFormatting sqref="I11">
    <cfRule type="expression" dxfId="27" priority="18">
      <formula>I12=DateToday</formula>
    </cfRule>
    <cfRule type="expression" dxfId="26" priority="20">
      <formula>VLOOKUP(I12,ImportantDates,1,FALSE)=I12</formula>
    </cfRule>
  </conditionalFormatting>
  <conditionalFormatting sqref="I16">
    <cfRule type="expression" dxfId="25" priority="13">
      <formula>VLOOKUP(I16,ImportantDates,1,FALSE)=I16</formula>
    </cfRule>
    <cfRule type="expression" dxfId="24" priority="15">
      <formula>I16=DateToday</formula>
    </cfRule>
  </conditionalFormatting>
  <conditionalFormatting sqref="L35 R17:AK17 M19:Q22">
    <cfRule type="expression" dxfId="23" priority="29">
      <formula>#REF!=DateToday</formula>
    </cfRule>
    <cfRule type="expression" dxfId="22" priority="30">
      <formula>VLOOKUP(#REF!,ImportantDates,1,FALSE)=#REF!</formula>
    </cfRule>
  </conditionalFormatting>
  <conditionalFormatting sqref="R33:AL33 M35:Q35">
    <cfRule type="expression" dxfId="21" priority="31">
      <formula>#REF!=DateToday</formula>
    </cfRule>
    <cfRule type="expression" dxfId="20" priority="32">
      <formula>VLOOKUP(#REF!,ImportantDates,1,FALSE)=#REF!</formula>
    </cfRule>
  </conditionalFormatting>
  <conditionalFormatting sqref="M38">
    <cfRule type="expression" dxfId="19" priority="33">
      <formula>L36=DateToday</formula>
    </cfRule>
    <cfRule type="expression" dxfId="18" priority="34">
      <formula>VLOOKUP(L36,ImportantDates,1,FALSE)=L36</formula>
    </cfRule>
  </conditionalFormatting>
  <conditionalFormatting sqref="M48:Q48 H51:L51">
    <cfRule type="expression" dxfId="17" priority="35">
      <formula>#REF!=DateToday</formula>
    </cfRule>
    <cfRule type="expression" dxfId="16" priority="36">
      <formula>VLOOKUP(#REF!,ImportantDates,1,FALSE)=#REF!</formula>
    </cfRule>
  </conditionalFormatting>
  <conditionalFormatting sqref="M43:N43">
    <cfRule type="expression" dxfId="15" priority="37">
      <formula>#REF!=DateToday</formula>
    </cfRule>
    <cfRule type="expression" dxfId="14" priority="38">
      <formula>VLOOKUP(#REF!,ImportantDates,1,FALSE)=#REF!</formula>
    </cfRule>
  </conditionalFormatting>
  <conditionalFormatting sqref="H5:I5">
    <cfRule type="expression" dxfId="13" priority="39">
      <formula>H7=DateToday</formula>
    </cfRule>
    <cfRule type="expression" dxfId="12" priority="40">
      <formula>VLOOKUP(H7,ImportantDates,1,FALSE)=H7</formula>
    </cfRule>
  </conditionalFormatting>
  <conditionalFormatting sqref="H8:I8">
    <cfRule type="expression" dxfId="11" priority="11">
      <formula>VLOOKUP(H8,ImportantDates,1,FALSE)=H8</formula>
    </cfRule>
    <cfRule type="expression" dxfId="10" priority="12">
      <formula>H8=DateToday</formula>
    </cfRule>
  </conditionalFormatting>
  <conditionalFormatting sqref="H6:I6">
    <cfRule type="expression" dxfId="9" priority="9">
      <formula>VLOOKUP(H6,ImportantDates,1,FALSE)=H6</formula>
    </cfRule>
    <cfRule type="expression" dxfId="8" priority="10">
      <formula>H6=DateToday</formula>
    </cfRule>
  </conditionalFormatting>
  <conditionalFormatting sqref="AJ9">
    <cfRule type="expression" dxfId="7" priority="7">
      <formula>VLOOKUP(AJ9,ImportantDates,1,FALSE)=AJ9</formula>
    </cfRule>
    <cfRule type="expression" dxfId="6" priority="8">
      <formula>AJ9=DateToday</formula>
    </cfRule>
  </conditionalFormatting>
  <conditionalFormatting sqref="I15:J15">
    <cfRule type="expression" dxfId="5" priority="43">
      <formula>J16=DateToday</formula>
    </cfRule>
    <cfRule type="expression" dxfId="4" priority="44">
      <formula>VLOOKUP(J16,ImportantDates,1,FALSE)=J16</formula>
    </cfRule>
  </conditionalFormatting>
  <conditionalFormatting sqref="H22:K22">
    <cfRule type="expression" dxfId="3" priority="1">
      <formula>H23=DateToday</formula>
    </cfRule>
    <cfRule type="expression" dxfId="2" priority="2">
      <formula>VLOOKUP(H23,ImportantDates,1,FALSE)=H23</formula>
    </cfRule>
  </conditionalFormatting>
  <conditionalFormatting sqref="L22">
    <cfRule type="expression" dxfId="1" priority="3">
      <formula>#REF!=DateToday</formula>
    </cfRule>
    <cfRule type="expression" dxfId="0" priority="4">
      <formula>VLOOKUP(#REF!,ImportantDates,1,FALSE)=#REF!</formula>
    </cfRule>
  </conditionalFormatting>
  <dataValidations count="1">
    <dataValidation type="decimal" allowBlank="1" showInputMessage="1" showErrorMessage="1" sqref="I5:I8" xr:uid="{1F2A0B18-15A5-4B5D-8936-F0A88BABAC6C}">
      <formula1>0</formula1>
      <formula2>999</formula2>
    </dataValidation>
  </dataValidations>
  <printOptions horizontalCentered="1"/>
  <pageMargins left="0.25" right="0.25" top="0.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S54"/>
  <sheetViews>
    <sheetView showGridLines="0" workbookViewId="0">
      <selection activeCell="C48" sqref="C48"/>
    </sheetView>
  </sheetViews>
  <sheetFormatPr defaultColWidth="14.08984375" defaultRowHeight="14" customHeight="1"/>
  <cols>
    <col min="1" max="1" width="10.453125" style="1" customWidth="1"/>
    <col min="2" max="2" width="23.81640625" style="1" bestFit="1" customWidth="1"/>
    <col min="3" max="3" width="18.1796875" style="113" bestFit="1" customWidth="1"/>
    <col min="4" max="4" width="14.6328125" style="113" bestFit="1" customWidth="1"/>
    <col min="5" max="5" width="29.08984375" style="113" bestFit="1" customWidth="1"/>
    <col min="6" max="6" width="29.08984375" style="113" customWidth="1"/>
    <col min="7" max="7" width="29.08984375" style="113" bestFit="1" customWidth="1"/>
    <col min="8" max="8" width="29.08984375" style="113" customWidth="1"/>
    <col min="9" max="9" width="29.08984375" style="113" bestFit="1" customWidth="1"/>
    <col min="10" max="10" width="29.08984375" style="113" customWidth="1"/>
    <col min="11" max="11" width="29.08984375" style="113" bestFit="1" customWidth="1"/>
    <col min="12" max="12" width="29.08984375" style="113" customWidth="1"/>
    <col min="13" max="13" width="29.08984375" style="113" bestFit="1" customWidth="1"/>
    <col min="14" max="14" width="29.08984375" style="113" customWidth="1"/>
    <col min="15" max="15" width="29.08984375" style="113" bestFit="1" customWidth="1"/>
    <col min="16" max="16" width="29.08984375" style="113" customWidth="1"/>
    <col min="17" max="17" width="29.08984375" style="113" bestFit="1" customWidth="1"/>
    <col min="18" max="18" width="29.08984375" style="113" customWidth="1"/>
    <col min="19" max="19" width="29.08984375" style="113" bestFit="1" customWidth="1"/>
    <col min="20" max="20" width="29.08984375" style="113" customWidth="1"/>
    <col min="21" max="253" width="14.08984375" style="1" customWidth="1"/>
    <col min="254" max="16384" width="14.08984375" style="140"/>
  </cols>
  <sheetData>
    <row r="1" spans="1:20" ht="15" customHeight="1">
      <c r="A1" s="2" t="s">
        <v>37</v>
      </c>
      <c r="B1" s="3"/>
      <c r="C1" s="4"/>
      <c r="D1" s="5"/>
      <c r="E1" s="111" t="s">
        <v>105</v>
      </c>
      <c r="F1" s="111" t="s">
        <v>106</v>
      </c>
      <c r="G1" s="111" t="s">
        <v>105</v>
      </c>
      <c r="H1" s="111" t="s">
        <v>106</v>
      </c>
      <c r="I1" s="111" t="s">
        <v>105</v>
      </c>
      <c r="J1" s="111" t="s">
        <v>106</v>
      </c>
      <c r="K1" s="111" t="s">
        <v>105</v>
      </c>
      <c r="L1" s="111" t="s">
        <v>106</v>
      </c>
      <c r="M1" s="111" t="s">
        <v>105</v>
      </c>
      <c r="N1" s="111" t="s">
        <v>106</v>
      </c>
      <c r="O1" s="111" t="s">
        <v>105</v>
      </c>
      <c r="P1" s="111" t="s">
        <v>106</v>
      </c>
      <c r="Q1" s="111" t="s">
        <v>105</v>
      </c>
      <c r="R1" s="111" t="s">
        <v>106</v>
      </c>
      <c r="S1" s="111" t="s">
        <v>105</v>
      </c>
      <c r="T1" s="111" t="s">
        <v>106</v>
      </c>
    </row>
    <row r="2" spans="1:20" ht="15" customHeight="1">
      <c r="A2" s="6"/>
      <c r="B2" s="7" t="s">
        <v>41</v>
      </c>
      <c r="C2" s="16" t="s">
        <v>102</v>
      </c>
      <c r="D2" s="141" t="s">
        <v>103</v>
      </c>
      <c r="E2" s="9" t="s">
        <v>0</v>
      </c>
      <c r="F2" s="9" t="s">
        <v>0</v>
      </c>
      <c r="G2" s="9" t="s">
        <v>1</v>
      </c>
      <c r="H2" s="9" t="s">
        <v>1</v>
      </c>
      <c r="I2" s="9" t="s">
        <v>2</v>
      </c>
      <c r="J2" s="9" t="s">
        <v>2</v>
      </c>
      <c r="K2" s="9" t="s">
        <v>17</v>
      </c>
      <c r="L2" s="9" t="s">
        <v>17</v>
      </c>
      <c r="M2" s="9" t="s">
        <v>3</v>
      </c>
      <c r="N2" s="9" t="s">
        <v>3</v>
      </c>
      <c r="O2" s="9" t="s">
        <v>4</v>
      </c>
      <c r="P2" s="9" t="s">
        <v>4</v>
      </c>
      <c r="Q2" s="9" t="s">
        <v>5</v>
      </c>
      <c r="R2" s="9" t="s">
        <v>5</v>
      </c>
      <c r="S2" s="9" t="s">
        <v>6</v>
      </c>
      <c r="T2" s="9" t="s">
        <v>6</v>
      </c>
    </row>
    <row r="3" spans="1:20" ht="14.75" customHeight="1">
      <c r="A3" s="10"/>
      <c r="B3" s="11"/>
      <c r="C3" s="142"/>
      <c r="D3" s="143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</row>
    <row r="4" spans="1:20" ht="14.75" customHeight="1">
      <c r="A4" s="10"/>
      <c r="B4" s="12"/>
      <c r="C4" s="143"/>
      <c r="D4" s="143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</row>
    <row r="5" spans="1:20" ht="14.75" customHeight="1">
      <c r="A5" s="10"/>
      <c r="B5" s="12"/>
      <c r="C5" s="142"/>
      <c r="D5" s="143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</row>
    <row r="6" spans="1:20" ht="14.75" customHeight="1">
      <c r="A6" s="10"/>
      <c r="B6" s="11"/>
      <c r="C6" s="142"/>
      <c r="D6" s="144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20" ht="14.75" customHeight="1">
      <c r="A7" s="13"/>
      <c r="B7" s="11"/>
      <c r="C7" s="142"/>
      <c r="D7" s="144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</row>
    <row r="8" spans="1:20" ht="14.75" customHeight="1">
      <c r="A8" s="14"/>
      <c r="B8" s="11"/>
      <c r="C8" s="142"/>
      <c r="D8" s="144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</row>
    <row r="9" spans="1:20" ht="15" customHeight="1">
      <c r="A9" s="15"/>
      <c r="B9" s="11"/>
      <c r="C9" s="142"/>
      <c r="D9" s="144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</row>
    <row r="10" spans="1:20" ht="15" customHeight="1">
      <c r="A10" s="16" t="s">
        <v>38</v>
      </c>
      <c r="B10" s="17"/>
      <c r="C10" s="145"/>
      <c r="D10" s="146"/>
      <c r="E10" s="111" t="s">
        <v>105</v>
      </c>
      <c r="F10" s="111" t="s">
        <v>106</v>
      </c>
      <c r="G10" s="111" t="s">
        <v>105</v>
      </c>
      <c r="H10" s="111" t="s">
        <v>106</v>
      </c>
      <c r="I10" s="111" t="s">
        <v>105</v>
      </c>
      <c r="J10" s="111" t="s">
        <v>106</v>
      </c>
      <c r="K10" s="111" t="s">
        <v>105</v>
      </c>
      <c r="L10" s="111" t="s">
        <v>106</v>
      </c>
      <c r="M10" s="111" t="s">
        <v>105</v>
      </c>
      <c r="N10" s="111" t="s">
        <v>106</v>
      </c>
      <c r="O10" s="111" t="s">
        <v>105</v>
      </c>
      <c r="P10" s="111" t="s">
        <v>106</v>
      </c>
      <c r="Q10" s="111" t="s">
        <v>105</v>
      </c>
      <c r="R10" s="111" t="s">
        <v>106</v>
      </c>
      <c r="S10" s="111" t="s">
        <v>105</v>
      </c>
      <c r="T10" s="111" t="s">
        <v>106</v>
      </c>
    </row>
    <row r="11" spans="1:20" ht="15" customHeight="1">
      <c r="A11" s="6"/>
      <c r="B11" s="8" t="s">
        <v>41</v>
      </c>
      <c r="C11" s="16" t="s">
        <v>102</v>
      </c>
      <c r="D11" s="141" t="s">
        <v>103</v>
      </c>
      <c r="E11" s="9" t="s">
        <v>0</v>
      </c>
      <c r="F11" s="9" t="s">
        <v>0</v>
      </c>
      <c r="G11" s="9" t="s">
        <v>1</v>
      </c>
      <c r="H11" s="9" t="s">
        <v>1</v>
      </c>
      <c r="I11" s="9" t="s">
        <v>2</v>
      </c>
      <c r="J11" s="9" t="s">
        <v>2</v>
      </c>
      <c r="K11" s="9" t="s">
        <v>17</v>
      </c>
      <c r="L11" s="9" t="s">
        <v>17</v>
      </c>
      <c r="M11" s="9" t="s">
        <v>3</v>
      </c>
      <c r="N11" s="9" t="s">
        <v>3</v>
      </c>
      <c r="O11" s="9" t="s">
        <v>4</v>
      </c>
      <c r="P11" s="9" t="s">
        <v>4</v>
      </c>
      <c r="Q11" s="9" t="s">
        <v>5</v>
      </c>
      <c r="R11" s="9" t="s">
        <v>5</v>
      </c>
      <c r="S11" s="9" t="s">
        <v>6</v>
      </c>
      <c r="T11" s="9" t="s">
        <v>6</v>
      </c>
    </row>
    <row r="12" spans="1:20" ht="14.75" customHeight="1">
      <c r="A12" s="10"/>
      <c r="B12" s="12"/>
      <c r="C12" s="143"/>
      <c r="D12" s="143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</row>
    <row r="13" spans="1:20" ht="14.75" customHeight="1">
      <c r="A13" s="10"/>
      <c r="B13" s="12"/>
      <c r="C13" s="143"/>
      <c r="D13" s="143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</row>
    <row r="14" spans="1:20" ht="14.75" customHeight="1">
      <c r="A14" s="10"/>
      <c r="B14" s="12"/>
      <c r="C14" s="142"/>
      <c r="D14" s="143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</row>
    <row r="15" spans="1:20" ht="14.75" customHeight="1">
      <c r="A15" s="10"/>
      <c r="B15" s="12"/>
      <c r="C15" s="142"/>
      <c r="D15" s="143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</row>
    <row r="16" spans="1:20" ht="14.75" customHeight="1">
      <c r="A16" s="13"/>
      <c r="B16" s="12"/>
      <c r="C16" s="142"/>
      <c r="D16" s="143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</row>
    <row r="17" spans="1:20" ht="14.75" customHeight="1">
      <c r="A17" s="14"/>
      <c r="B17" s="12"/>
      <c r="C17" s="142"/>
      <c r="D17" s="143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</row>
    <row r="18" spans="1:20" ht="15" customHeight="1">
      <c r="A18" s="15"/>
      <c r="B18" s="11"/>
      <c r="C18" s="142"/>
      <c r="D18" s="144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</row>
    <row r="19" spans="1:20" ht="15" customHeight="1">
      <c r="A19" s="16" t="s">
        <v>39</v>
      </c>
      <c r="B19" s="17"/>
      <c r="C19" s="145"/>
      <c r="D19" s="146"/>
      <c r="E19" s="111" t="s">
        <v>105</v>
      </c>
      <c r="F19" s="111" t="s">
        <v>106</v>
      </c>
      <c r="G19" s="111" t="s">
        <v>105</v>
      </c>
      <c r="H19" s="111" t="s">
        <v>106</v>
      </c>
      <c r="I19" s="111" t="s">
        <v>105</v>
      </c>
      <c r="J19" s="111" t="s">
        <v>106</v>
      </c>
      <c r="K19" s="111" t="s">
        <v>105</v>
      </c>
      <c r="L19" s="111" t="s">
        <v>106</v>
      </c>
      <c r="M19" s="111" t="s">
        <v>105</v>
      </c>
      <c r="N19" s="111" t="s">
        <v>106</v>
      </c>
      <c r="O19" s="111" t="s">
        <v>105</v>
      </c>
      <c r="P19" s="111" t="s">
        <v>106</v>
      </c>
      <c r="Q19" s="111" t="s">
        <v>105</v>
      </c>
      <c r="R19" s="111" t="s">
        <v>106</v>
      </c>
      <c r="S19" s="111" t="s">
        <v>105</v>
      </c>
      <c r="T19" s="111" t="s">
        <v>106</v>
      </c>
    </row>
    <row r="20" spans="1:20" ht="15" customHeight="1">
      <c r="A20" s="6"/>
      <c r="B20" s="8" t="s">
        <v>41</v>
      </c>
      <c r="C20" s="16" t="s">
        <v>102</v>
      </c>
      <c r="D20" s="141" t="s">
        <v>103</v>
      </c>
      <c r="E20" s="9" t="s">
        <v>0</v>
      </c>
      <c r="F20" s="9" t="s">
        <v>0</v>
      </c>
      <c r="G20" s="9" t="s">
        <v>1</v>
      </c>
      <c r="H20" s="9" t="s">
        <v>1</v>
      </c>
      <c r="I20" s="9" t="s">
        <v>2</v>
      </c>
      <c r="J20" s="9" t="s">
        <v>2</v>
      </c>
      <c r="K20" s="9" t="s">
        <v>17</v>
      </c>
      <c r="L20" s="9" t="s">
        <v>17</v>
      </c>
      <c r="M20" s="9" t="s">
        <v>3</v>
      </c>
      <c r="N20" s="9" t="s">
        <v>3</v>
      </c>
      <c r="O20" s="9" t="s">
        <v>4</v>
      </c>
      <c r="P20" s="9" t="s">
        <v>4</v>
      </c>
      <c r="Q20" s="9" t="s">
        <v>5</v>
      </c>
      <c r="R20" s="9" t="s">
        <v>5</v>
      </c>
      <c r="S20" s="9" t="s">
        <v>6</v>
      </c>
      <c r="T20" s="9" t="s">
        <v>6</v>
      </c>
    </row>
    <row r="21" spans="1:20" ht="14.75" customHeight="1">
      <c r="A21" s="10"/>
      <c r="B21" s="11"/>
      <c r="C21" s="142"/>
      <c r="D21" s="143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</row>
    <row r="22" spans="1:20" ht="14.75" customHeight="1">
      <c r="A22" s="10"/>
      <c r="B22" s="12"/>
      <c r="C22" s="143"/>
      <c r="D22" s="143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</row>
    <row r="23" spans="1:20" ht="14.75" customHeight="1">
      <c r="A23" s="10"/>
      <c r="B23" s="12"/>
      <c r="C23" s="142"/>
      <c r="D23" s="143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</row>
    <row r="24" spans="1:20" ht="14.75" customHeight="1">
      <c r="A24" s="10"/>
      <c r="B24" s="12"/>
      <c r="C24" s="142"/>
      <c r="D24" s="143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</row>
    <row r="25" spans="1:20" ht="14.75" customHeight="1">
      <c r="A25" s="10"/>
      <c r="B25" s="12"/>
      <c r="C25" s="142"/>
      <c r="D25" s="143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</row>
    <row r="26" spans="1:20" ht="14.75" customHeight="1">
      <c r="A26" s="10"/>
      <c r="B26" s="12"/>
      <c r="C26" s="142"/>
      <c r="D26" s="143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</row>
    <row r="27" spans="1:20" ht="14.75" customHeight="1">
      <c r="A27" s="18"/>
      <c r="B27" s="11"/>
      <c r="C27" s="142"/>
      <c r="D27" s="144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</row>
    <row r="28" spans="1:20" ht="15" customHeight="1">
      <c r="A28" s="16" t="s">
        <v>40</v>
      </c>
      <c r="B28" s="17"/>
      <c r="C28" s="145"/>
      <c r="D28" s="146"/>
      <c r="E28" s="111" t="s">
        <v>105</v>
      </c>
      <c r="F28" s="111" t="s">
        <v>106</v>
      </c>
      <c r="G28" s="111" t="s">
        <v>105</v>
      </c>
      <c r="H28" s="111" t="s">
        <v>106</v>
      </c>
      <c r="I28" s="111" t="s">
        <v>105</v>
      </c>
      <c r="J28" s="111" t="s">
        <v>106</v>
      </c>
      <c r="K28" s="111" t="s">
        <v>105</v>
      </c>
      <c r="L28" s="111" t="s">
        <v>106</v>
      </c>
      <c r="M28" s="111" t="s">
        <v>105</v>
      </c>
      <c r="N28" s="111" t="s">
        <v>106</v>
      </c>
      <c r="O28" s="111" t="s">
        <v>105</v>
      </c>
      <c r="P28" s="111" t="s">
        <v>106</v>
      </c>
      <c r="Q28" s="111" t="s">
        <v>105</v>
      </c>
      <c r="R28" s="111" t="s">
        <v>106</v>
      </c>
      <c r="S28" s="111" t="s">
        <v>105</v>
      </c>
      <c r="T28" s="111" t="s">
        <v>106</v>
      </c>
    </row>
    <row r="29" spans="1:20" ht="15" customHeight="1">
      <c r="A29" s="6"/>
      <c r="B29" s="8" t="s">
        <v>41</v>
      </c>
      <c r="C29" s="16" t="s">
        <v>102</v>
      </c>
      <c r="D29" s="141" t="s">
        <v>103</v>
      </c>
      <c r="E29" s="9" t="s">
        <v>0</v>
      </c>
      <c r="F29" s="9" t="s">
        <v>0</v>
      </c>
      <c r="G29" s="9" t="s">
        <v>1</v>
      </c>
      <c r="H29" s="9" t="s">
        <v>1</v>
      </c>
      <c r="I29" s="9" t="s">
        <v>2</v>
      </c>
      <c r="J29" s="9" t="s">
        <v>2</v>
      </c>
      <c r="K29" s="9" t="s">
        <v>17</v>
      </c>
      <c r="L29" s="9" t="s">
        <v>17</v>
      </c>
      <c r="M29" s="9" t="s">
        <v>3</v>
      </c>
      <c r="N29" s="9" t="s">
        <v>3</v>
      </c>
      <c r="O29" s="9" t="s">
        <v>4</v>
      </c>
      <c r="P29" s="9" t="s">
        <v>4</v>
      </c>
      <c r="Q29" s="9" t="s">
        <v>5</v>
      </c>
      <c r="R29" s="9" t="s">
        <v>5</v>
      </c>
      <c r="S29" s="9" t="s">
        <v>6</v>
      </c>
      <c r="T29" s="9" t="s">
        <v>6</v>
      </c>
    </row>
    <row r="30" spans="1:20" ht="14.75" customHeight="1">
      <c r="A30" s="10"/>
      <c r="B30" s="11"/>
      <c r="C30" s="142"/>
      <c r="D30" s="144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</row>
    <row r="31" spans="1:20" ht="14.75" customHeight="1">
      <c r="A31" s="10"/>
      <c r="B31" s="11"/>
      <c r="C31" s="142"/>
      <c r="D31" s="144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</row>
    <row r="32" spans="1:20" ht="14.75" customHeight="1">
      <c r="A32" s="10"/>
      <c r="B32" s="11"/>
      <c r="C32" s="142"/>
      <c r="D32" s="144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</row>
    <row r="33" spans="1:20" ht="14.75" customHeight="1">
      <c r="A33" s="10"/>
      <c r="B33" s="11"/>
      <c r="C33" s="142"/>
      <c r="D33" s="144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</row>
    <row r="34" spans="1:20" ht="14.75" customHeight="1">
      <c r="A34" s="10"/>
      <c r="B34" s="11"/>
      <c r="C34" s="142"/>
      <c r="D34" s="144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</row>
    <row r="35" spans="1:20" ht="14.75" customHeight="1">
      <c r="A35" s="10"/>
      <c r="B35" s="11"/>
      <c r="C35" s="142"/>
      <c r="D35" s="144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</row>
    <row r="36" spans="1:20" ht="14.75" customHeight="1">
      <c r="A36" s="19"/>
      <c r="B36" s="11"/>
      <c r="C36" s="142"/>
      <c r="D36" s="144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</row>
    <row r="37" spans="1:20" ht="14.75" customHeight="1">
      <c r="A37" s="2" t="s">
        <v>42</v>
      </c>
      <c r="B37" s="3"/>
      <c r="C37" s="4"/>
      <c r="D37" s="5"/>
      <c r="E37" s="111" t="s">
        <v>105</v>
      </c>
      <c r="F37" s="111" t="s">
        <v>104</v>
      </c>
      <c r="G37" s="111" t="s">
        <v>105</v>
      </c>
      <c r="H37" s="111" t="s">
        <v>106</v>
      </c>
      <c r="I37" s="111" t="s">
        <v>105</v>
      </c>
      <c r="J37" s="111" t="s">
        <v>106</v>
      </c>
      <c r="K37" s="111" t="s">
        <v>105</v>
      </c>
      <c r="L37" s="111" t="s">
        <v>106</v>
      </c>
      <c r="M37" s="111" t="s">
        <v>105</v>
      </c>
      <c r="N37" s="111" t="s">
        <v>106</v>
      </c>
      <c r="O37" s="111" t="s">
        <v>105</v>
      </c>
      <c r="P37" s="111" t="s">
        <v>106</v>
      </c>
      <c r="Q37" s="111" t="s">
        <v>105</v>
      </c>
      <c r="R37" s="111" t="s">
        <v>106</v>
      </c>
      <c r="S37" s="111" t="s">
        <v>105</v>
      </c>
      <c r="T37" s="111" t="s">
        <v>106</v>
      </c>
    </row>
    <row r="38" spans="1:20" ht="14.75" customHeight="1">
      <c r="A38" s="6"/>
      <c r="B38" s="7" t="s">
        <v>41</v>
      </c>
      <c r="C38" s="16" t="s">
        <v>102</v>
      </c>
      <c r="D38" s="141" t="s">
        <v>103</v>
      </c>
      <c r="E38" s="9" t="s">
        <v>0</v>
      </c>
      <c r="F38" s="9" t="s">
        <v>0</v>
      </c>
      <c r="G38" s="9" t="s">
        <v>1</v>
      </c>
      <c r="H38" s="9" t="s">
        <v>1</v>
      </c>
      <c r="I38" s="9" t="s">
        <v>2</v>
      </c>
      <c r="J38" s="9" t="s">
        <v>2</v>
      </c>
      <c r="K38" s="9" t="s">
        <v>17</v>
      </c>
      <c r="L38" s="9" t="s">
        <v>17</v>
      </c>
      <c r="M38" s="9" t="s">
        <v>3</v>
      </c>
      <c r="N38" s="9" t="s">
        <v>3</v>
      </c>
      <c r="O38" s="9" t="s">
        <v>0</v>
      </c>
      <c r="P38" s="9" t="s">
        <v>0</v>
      </c>
      <c r="Q38" s="9" t="s">
        <v>0</v>
      </c>
      <c r="R38" s="9" t="s">
        <v>0</v>
      </c>
      <c r="S38" s="9" t="s">
        <v>6</v>
      </c>
      <c r="T38" s="9" t="s">
        <v>6</v>
      </c>
    </row>
    <row r="39" spans="1:20" ht="14" customHeight="1">
      <c r="A39" s="10"/>
      <c r="B39" s="11"/>
      <c r="C39" s="142"/>
      <c r="D39" s="143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</row>
    <row r="40" spans="1:20" ht="14" customHeight="1">
      <c r="A40" s="10"/>
      <c r="B40" s="12"/>
      <c r="C40" s="143"/>
      <c r="D40" s="143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</row>
    <row r="41" spans="1:20" ht="14" customHeight="1">
      <c r="A41" s="10"/>
      <c r="B41" s="12"/>
      <c r="C41" s="142"/>
      <c r="D41" s="143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</row>
    <row r="42" spans="1:20" ht="14" customHeight="1">
      <c r="A42" s="10"/>
      <c r="B42" s="11"/>
      <c r="C42" s="142"/>
      <c r="D42" s="144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</row>
    <row r="43" spans="1:20" ht="14" customHeight="1">
      <c r="A43" s="13"/>
      <c r="B43" s="11"/>
      <c r="C43" s="142"/>
      <c r="D43" s="144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</row>
    <row r="44" spans="1:20" ht="14" customHeight="1">
      <c r="A44" s="14"/>
      <c r="B44" s="11"/>
      <c r="C44" s="142"/>
      <c r="D44" s="144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</row>
    <row r="45" spans="1:20" ht="14" customHeight="1">
      <c r="A45" s="15"/>
      <c r="B45" s="11"/>
      <c r="C45" s="142"/>
      <c r="D45" s="144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</row>
    <row r="46" spans="1:20" ht="14" customHeight="1">
      <c r="A46" s="2" t="s">
        <v>43</v>
      </c>
      <c r="B46" s="3"/>
      <c r="C46" s="4"/>
      <c r="D46" s="5"/>
      <c r="E46" s="111" t="s">
        <v>105</v>
      </c>
      <c r="F46" s="111" t="s">
        <v>104</v>
      </c>
      <c r="G46" s="111" t="s">
        <v>105</v>
      </c>
      <c r="H46" s="111" t="s">
        <v>106</v>
      </c>
      <c r="I46" s="111" t="s">
        <v>105</v>
      </c>
      <c r="J46" s="111" t="s">
        <v>106</v>
      </c>
      <c r="K46" s="111" t="s">
        <v>105</v>
      </c>
      <c r="L46" s="111" t="s">
        <v>106</v>
      </c>
      <c r="M46" s="111" t="s">
        <v>105</v>
      </c>
      <c r="N46" s="111" t="s">
        <v>106</v>
      </c>
      <c r="O46" s="111" t="s">
        <v>105</v>
      </c>
      <c r="P46" s="111" t="s">
        <v>106</v>
      </c>
      <c r="Q46" s="111" t="s">
        <v>105</v>
      </c>
      <c r="R46" s="111" t="s">
        <v>106</v>
      </c>
      <c r="S46" s="111" t="s">
        <v>105</v>
      </c>
      <c r="T46" s="111" t="s">
        <v>106</v>
      </c>
    </row>
    <row r="47" spans="1:20" ht="14" customHeight="1">
      <c r="A47" s="6"/>
      <c r="B47" s="7" t="s">
        <v>41</v>
      </c>
      <c r="C47" s="16" t="s">
        <v>102</v>
      </c>
      <c r="D47" s="141" t="s">
        <v>103</v>
      </c>
      <c r="E47" s="9" t="s">
        <v>0</v>
      </c>
      <c r="F47" s="9" t="s">
        <v>0</v>
      </c>
      <c r="G47" s="9" t="s">
        <v>1</v>
      </c>
      <c r="H47" s="9" t="s">
        <v>1</v>
      </c>
      <c r="I47" s="9" t="s">
        <v>2</v>
      </c>
      <c r="J47" s="9" t="s">
        <v>2</v>
      </c>
      <c r="K47" s="9" t="s">
        <v>17</v>
      </c>
      <c r="L47" s="9" t="s">
        <v>17</v>
      </c>
      <c r="M47" s="9" t="s">
        <v>3</v>
      </c>
      <c r="N47" s="9" t="s">
        <v>3</v>
      </c>
      <c r="O47" s="9" t="s">
        <v>4</v>
      </c>
      <c r="P47" s="9" t="s">
        <v>4</v>
      </c>
      <c r="Q47" s="9" t="s">
        <v>5</v>
      </c>
      <c r="R47" s="9" t="s">
        <v>5</v>
      </c>
      <c r="S47" s="9" t="s">
        <v>6</v>
      </c>
      <c r="T47" s="9" t="s">
        <v>6</v>
      </c>
    </row>
    <row r="48" spans="1:20" ht="14" customHeight="1">
      <c r="A48" s="10"/>
      <c r="B48" s="11"/>
      <c r="C48" s="142"/>
      <c r="D48" s="143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</row>
    <row r="49" spans="1:20" ht="14" customHeight="1">
      <c r="A49" s="10"/>
      <c r="B49" s="12"/>
      <c r="C49" s="143"/>
      <c r="D49" s="143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</row>
    <row r="50" spans="1:20" ht="14" customHeight="1">
      <c r="A50" s="10"/>
      <c r="B50" s="12"/>
      <c r="C50" s="142"/>
      <c r="D50" s="143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</row>
    <row r="51" spans="1:20" ht="14" customHeight="1">
      <c r="A51" s="10"/>
      <c r="B51" s="11"/>
      <c r="C51" s="142"/>
      <c r="D51" s="144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</row>
    <row r="52" spans="1:20" ht="14" customHeight="1">
      <c r="A52" s="13"/>
      <c r="B52" s="11"/>
      <c r="C52" s="142"/>
      <c r="D52" s="144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</row>
    <row r="53" spans="1:20" ht="14" customHeight="1">
      <c r="A53" s="14"/>
      <c r="B53" s="11"/>
      <c r="C53" s="142"/>
      <c r="D53" s="144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</row>
    <row r="54" spans="1:20" ht="14" customHeight="1">
      <c r="A54" s="15"/>
      <c r="B54" s="11"/>
      <c r="C54" s="142"/>
      <c r="D54" s="144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</row>
  </sheetData>
  <pageMargins left="0.78740100000000002" right="0.78740100000000002" top="0.78740100000000002" bottom="0.78740100000000002" header="0.39370100000000002" footer="0.3937010000000000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5</vt:i4>
      </vt:variant>
      <vt:variant>
        <vt:lpstr>Benoemde bereiken</vt:lpstr>
      </vt:variant>
      <vt:variant>
        <vt:i4>8</vt:i4>
      </vt:variant>
    </vt:vector>
  </HeadingPairs>
  <TitlesOfParts>
    <vt:vector size="13" baseType="lpstr">
      <vt:lpstr>Calculator vetverlies</vt:lpstr>
      <vt:lpstr>Dagelijks gewicht</vt:lpstr>
      <vt:lpstr>Progressie Tabel</vt:lpstr>
      <vt:lpstr>Calculator onderhoud</vt:lpstr>
      <vt:lpstr>Training Data</vt:lpstr>
      <vt:lpstr>'Calculator onderhoud'!Afdrukbereik</vt:lpstr>
      <vt:lpstr>'Calculator vetverlies'!Afdrukbereik</vt:lpstr>
      <vt:lpstr>'Calculator onderhoud'!CalendarYear</vt:lpstr>
      <vt:lpstr>CalendarYear</vt:lpstr>
      <vt:lpstr>'Calculator onderhoud'!DateToday</vt:lpstr>
      <vt:lpstr>DateToday</vt:lpstr>
      <vt:lpstr>'Calculator onderhoud'!ImportantDates</vt:lpstr>
      <vt:lpstr>ImportantDates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rinusvanofferen@outlook.com</dc:creator>
  <cp:lastModifiedBy>Iersel, N ()</cp:lastModifiedBy>
  <cp:lastPrinted>2017-07-23T19:02:27Z</cp:lastPrinted>
  <dcterms:created xsi:type="dcterms:W3CDTF">2017-06-26T00:24:06Z</dcterms:created>
  <dcterms:modified xsi:type="dcterms:W3CDTF">2020-10-20T14:30:19Z</dcterms:modified>
</cp:coreProperties>
</file>